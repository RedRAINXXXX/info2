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showInkAnnotation="0" codeName="ThisWorkbook"/>
  <mc:AlternateContent xmlns:mc="http://schemas.openxmlformats.org/markup-compatibility/2006">
    <mc:Choice Requires="x15">
      <x15ac:absPath xmlns:x15ac="http://schemas.microsoft.com/office/spreadsheetml/2010/11/ac" url="G:\01.项目模板\07.公司债券申报材料模板\"/>
    </mc:Choice>
  </mc:AlternateContent>
  <xr:revisionPtr revIDLastSave="0" documentId="13_ncr:1_{522A0EF2-FE2D-401A-B169-DAEA83ECE98B}" xr6:coauthVersionLast="47" xr6:coauthVersionMax="47" xr10:uidLastSave="{00000000-0000-0000-0000-000000000000}"/>
  <bookViews>
    <workbookView xWindow="-108" yWindow="-108" windowWidth="23256" windowHeight="12576" tabRatio="500" xr2:uid="{00000000-000D-0000-FFFF-FFFF00000000}"/>
  </bookViews>
  <sheets>
    <sheet name="替换要素" sheetId="33" r:id="rId1"/>
    <sheet name="Sheet1" sheetId="34" r:id="rId2"/>
  </sheets>
  <definedNames>
    <definedName name="_xlnm._FilterDatabase" localSheetId="0" hidden="1">替换要素!$A$1:$L$1</definedName>
  </definedNames>
  <calcPr calcId="181029"/>
</workbook>
</file>

<file path=xl/calcChain.xml><?xml version="1.0" encoding="utf-8"?>
<calcChain xmlns="http://schemas.openxmlformats.org/spreadsheetml/2006/main">
  <c r="B2" i="33" l="1"/>
  <c r="B31" i="33" l="1"/>
  <c r="B142" i="33"/>
  <c r="N142" i="33" s="1"/>
  <c r="B139" i="33"/>
  <c r="N139" i="33" s="1"/>
  <c r="B140" i="33"/>
  <c r="N140" i="33" s="1"/>
  <c r="B141" i="33"/>
  <c r="N141" i="33" s="1"/>
  <c r="B170" i="33" l="1"/>
  <c r="N170" i="33" s="1"/>
  <c r="B171" i="33"/>
  <c r="N171" i="33" s="1"/>
  <c r="B172" i="33"/>
  <c r="N172" i="33" s="1"/>
  <c r="B173" i="33"/>
  <c r="N173" i="33" s="1"/>
  <c r="B174" i="33"/>
  <c r="N174" i="33" s="1"/>
  <c r="B175" i="33"/>
  <c r="N175" i="33" s="1"/>
  <c r="B176" i="33"/>
  <c r="N176" i="33" s="1"/>
  <c r="B177" i="33"/>
  <c r="N177" i="33" s="1"/>
  <c r="B178" i="33"/>
  <c r="N178" i="33" s="1"/>
  <c r="B179" i="33"/>
  <c r="N179" i="33" s="1"/>
  <c r="B169" i="33"/>
  <c r="N169" i="33" s="1"/>
  <c r="B145" i="33"/>
  <c r="N145" i="33" s="1"/>
  <c r="B146" i="33"/>
  <c r="N146" i="33" s="1"/>
  <c r="B147" i="33"/>
  <c r="N147" i="33" s="1"/>
  <c r="B148" i="33"/>
  <c r="N148" i="33" s="1"/>
  <c r="B149" i="33"/>
  <c r="N149" i="33" s="1"/>
  <c r="B150" i="33"/>
  <c r="N150" i="33" s="1"/>
  <c r="B151" i="33"/>
  <c r="N151" i="33" s="1"/>
  <c r="B152" i="33"/>
  <c r="N152" i="33" s="1"/>
  <c r="B153" i="33"/>
  <c r="N153" i="33" s="1"/>
  <c r="B154" i="33"/>
  <c r="N154" i="33" s="1"/>
  <c r="B155" i="33"/>
  <c r="N155" i="33" s="1"/>
  <c r="B156" i="33"/>
  <c r="N156" i="33" s="1"/>
  <c r="B157" i="33"/>
  <c r="N157" i="33" s="1"/>
  <c r="B158" i="33"/>
  <c r="N158" i="33" s="1"/>
  <c r="B159" i="33"/>
  <c r="N159" i="33" s="1"/>
  <c r="B160" i="33"/>
  <c r="N160" i="33" s="1"/>
  <c r="B161" i="33"/>
  <c r="N161" i="33" s="1"/>
  <c r="B162" i="33"/>
  <c r="N162" i="33" s="1"/>
  <c r="B163" i="33"/>
  <c r="N163" i="33" s="1"/>
  <c r="B144" i="33"/>
  <c r="N144" i="33" s="1"/>
  <c r="B120" i="33"/>
  <c r="N120" i="33" s="1"/>
  <c r="N31" i="33"/>
  <c r="B29" i="33"/>
  <c r="N29" i="33" s="1"/>
  <c r="B28" i="33"/>
  <c r="N28" i="33" s="1"/>
  <c r="B27" i="33"/>
  <c r="N27" i="33" s="1"/>
  <c r="B30" i="33"/>
  <c r="N30" i="33" s="1"/>
  <c r="B32" i="33"/>
  <c r="N32" i="33" s="1"/>
  <c r="B34" i="33"/>
  <c r="N34" i="33" s="1"/>
  <c r="B35" i="33"/>
  <c r="N35" i="33" s="1"/>
  <c r="B25" i="33"/>
  <c r="N25" i="33" s="1"/>
  <c r="B26" i="33"/>
  <c r="N26" i="33" s="1"/>
  <c r="B36" i="33"/>
  <c r="N36" i="33" s="1"/>
  <c r="B37" i="33"/>
  <c r="N37" i="33" s="1"/>
  <c r="B38" i="33"/>
  <c r="N38" i="33" s="1"/>
  <c r="B39" i="33"/>
  <c r="N39" i="33" s="1"/>
  <c r="B40" i="33"/>
  <c r="N40" i="33" s="1"/>
  <c r="B41" i="33"/>
  <c r="N41" i="33" s="1"/>
  <c r="B42" i="33"/>
  <c r="N42" i="33" s="1"/>
  <c r="B43" i="33"/>
  <c r="N43" i="33" s="1"/>
  <c r="B44" i="33"/>
  <c r="N44" i="33" s="1"/>
  <c r="B45" i="33"/>
  <c r="N45" i="33" s="1"/>
  <c r="B46" i="33"/>
  <c r="N46" i="33" s="1"/>
  <c r="B47" i="33"/>
  <c r="N47" i="33" s="1"/>
  <c r="B48" i="33"/>
  <c r="N48" i="33" s="1"/>
  <c r="B49" i="33"/>
  <c r="N49" i="33" s="1"/>
  <c r="B50" i="33"/>
  <c r="N50" i="33" s="1"/>
  <c r="B51" i="33"/>
  <c r="N51" i="33" s="1"/>
  <c r="B52" i="33"/>
  <c r="N52" i="33" s="1"/>
  <c r="B53" i="33"/>
  <c r="N53" i="33" s="1"/>
  <c r="B54" i="33"/>
  <c r="N54" i="33" s="1"/>
  <c r="B55" i="33"/>
  <c r="N55" i="33" s="1"/>
  <c r="B56" i="33"/>
  <c r="N56" i="33" s="1"/>
  <c r="B57" i="33"/>
  <c r="N57" i="33" s="1"/>
  <c r="B58" i="33"/>
  <c r="N58" i="33" s="1"/>
  <c r="B59" i="33"/>
  <c r="N59" i="33" s="1"/>
  <c r="B60" i="33"/>
  <c r="N60" i="33" s="1"/>
  <c r="B61" i="33"/>
  <c r="N61" i="33" s="1"/>
  <c r="B62" i="33"/>
  <c r="N62" i="33" s="1"/>
  <c r="B63" i="33"/>
  <c r="N63" i="33" s="1"/>
  <c r="B64" i="33"/>
  <c r="N64" i="33" s="1"/>
  <c r="B65" i="33"/>
  <c r="N65" i="33" s="1"/>
  <c r="B66" i="33"/>
  <c r="N66" i="33" s="1"/>
  <c r="B67" i="33"/>
  <c r="N67" i="33" s="1"/>
  <c r="B68" i="33"/>
  <c r="N68" i="33" s="1"/>
  <c r="B69" i="33"/>
  <c r="N69" i="33" s="1"/>
  <c r="B70" i="33"/>
  <c r="N70" i="33" s="1"/>
  <c r="B71" i="33"/>
  <c r="N71" i="33" s="1"/>
  <c r="B72" i="33"/>
  <c r="N72" i="33" s="1"/>
  <c r="B73" i="33"/>
  <c r="N73" i="33" s="1"/>
  <c r="B74" i="33"/>
  <c r="N74" i="33" s="1"/>
  <c r="B75" i="33"/>
  <c r="N75" i="33" s="1"/>
  <c r="B76" i="33"/>
  <c r="N76" i="33" s="1"/>
  <c r="B77" i="33"/>
  <c r="N77" i="33" s="1"/>
  <c r="B78" i="33"/>
  <c r="N78" i="33" s="1"/>
  <c r="B79" i="33"/>
  <c r="N79" i="33" s="1"/>
  <c r="B80" i="33"/>
  <c r="N80" i="33" s="1"/>
  <c r="B81" i="33"/>
  <c r="N81" i="33" s="1"/>
  <c r="B82" i="33"/>
  <c r="N82" i="33" s="1"/>
  <c r="B83" i="33"/>
  <c r="N83" i="33" s="1"/>
  <c r="B84" i="33"/>
  <c r="N84" i="33" s="1"/>
  <c r="B85" i="33"/>
  <c r="N85" i="33" s="1"/>
  <c r="B86" i="33"/>
  <c r="N86" i="33" s="1"/>
  <c r="B88" i="33"/>
  <c r="N88" i="33" s="1"/>
  <c r="B89" i="33"/>
  <c r="N89" i="33" s="1"/>
  <c r="B90" i="33"/>
  <c r="N90" i="33" s="1"/>
  <c r="B91" i="33"/>
  <c r="N91" i="33" s="1"/>
  <c r="B92" i="33"/>
  <c r="N92" i="33" s="1"/>
  <c r="B93" i="33"/>
  <c r="N93" i="33" s="1"/>
  <c r="B94" i="33"/>
  <c r="N94" i="33" s="1"/>
  <c r="B95" i="33"/>
  <c r="N95" i="33" s="1"/>
  <c r="B96" i="33"/>
  <c r="N96" i="33" s="1"/>
  <c r="B97" i="33"/>
  <c r="N97" i="33" s="1"/>
  <c r="B98" i="33"/>
  <c r="N98" i="33" s="1"/>
  <c r="B99" i="33"/>
  <c r="N99" i="33" s="1"/>
  <c r="B100" i="33"/>
  <c r="N100" i="33" s="1"/>
  <c r="B101" i="33"/>
  <c r="N101" i="33" s="1"/>
  <c r="B102" i="33"/>
  <c r="N102" i="33" s="1"/>
  <c r="B103" i="33"/>
  <c r="N103" i="33" s="1"/>
  <c r="B104" i="33"/>
  <c r="N104" i="33" s="1"/>
  <c r="B105" i="33"/>
  <c r="N105" i="33" s="1"/>
  <c r="B106" i="33"/>
  <c r="N106" i="33" s="1"/>
  <c r="B107" i="33"/>
  <c r="N107" i="33" s="1"/>
  <c r="B108" i="33"/>
  <c r="N108" i="33" s="1"/>
  <c r="B109" i="33"/>
  <c r="N109" i="33" s="1"/>
  <c r="B110" i="33"/>
  <c r="N110" i="33" s="1"/>
  <c r="B111" i="33"/>
  <c r="N111" i="33" s="1"/>
  <c r="B112" i="33"/>
  <c r="N112" i="33" s="1"/>
  <c r="B113" i="33"/>
  <c r="N113" i="33" s="1"/>
  <c r="B114" i="33"/>
  <c r="N114" i="33" s="1"/>
  <c r="B115" i="33"/>
  <c r="N115" i="33" s="1"/>
  <c r="B116" i="33"/>
  <c r="N116" i="33" s="1"/>
  <c r="B117" i="33"/>
  <c r="N117" i="33" s="1"/>
  <c r="B118" i="33"/>
  <c r="N118" i="33" s="1"/>
  <c r="B119" i="33"/>
  <c r="N119" i="33" s="1"/>
  <c r="B121" i="33"/>
  <c r="N121" i="33" s="1"/>
  <c r="B122" i="33"/>
  <c r="N122" i="33" s="1"/>
  <c r="B123" i="33"/>
  <c r="N123" i="33" s="1"/>
  <c r="B124" i="33"/>
  <c r="N124" i="33" s="1"/>
  <c r="B125" i="33"/>
  <c r="N125" i="33" s="1"/>
  <c r="B126" i="33"/>
  <c r="N126" i="33" s="1"/>
  <c r="B127" i="33"/>
  <c r="N127" i="33" s="1"/>
  <c r="B128" i="33"/>
  <c r="N128" i="33" s="1"/>
  <c r="B129" i="33"/>
  <c r="N129" i="33" s="1"/>
  <c r="B130" i="33"/>
  <c r="N130" i="33" s="1"/>
  <c r="B131" i="33"/>
  <c r="N131" i="33" s="1"/>
  <c r="B132" i="33"/>
  <c r="N132" i="33" s="1"/>
  <c r="B133" i="33"/>
  <c r="N133" i="33" s="1"/>
  <c r="B134" i="33"/>
  <c r="N134" i="33" s="1"/>
  <c r="B135" i="33"/>
  <c r="N135" i="33" s="1"/>
  <c r="B136" i="33"/>
  <c r="N136" i="33" s="1"/>
  <c r="B137" i="33"/>
  <c r="N137" i="33" s="1"/>
  <c r="B138" i="33"/>
  <c r="N138" i="33" s="1"/>
  <c r="B143" i="33"/>
  <c r="N143" i="33" s="1"/>
  <c r="B164" i="33"/>
  <c r="N164" i="33" s="1"/>
  <c r="B165" i="33"/>
  <c r="N165" i="33" s="1"/>
  <c r="B166" i="33"/>
  <c r="N166" i="33" s="1"/>
  <c r="B167" i="33"/>
  <c r="N167" i="33" s="1"/>
  <c r="B168" i="33"/>
  <c r="N168" i="33" s="1"/>
  <c r="B24" i="33"/>
  <c r="N24" i="33" s="1"/>
  <c r="B23" i="33"/>
  <c r="N23" i="33" s="1"/>
  <c r="B22" i="33"/>
  <c r="N22" i="33" s="1"/>
  <c r="B21" i="33"/>
  <c r="N21" i="33" s="1"/>
  <c r="B20" i="33"/>
  <c r="N20" i="33" s="1"/>
  <c r="B19" i="33"/>
  <c r="N19" i="33" s="1"/>
  <c r="B18" i="33"/>
  <c r="N18" i="33" s="1"/>
  <c r="B16" i="33"/>
  <c r="N16" i="33" s="1"/>
  <c r="B15" i="33"/>
  <c r="N15" i="33" s="1"/>
  <c r="B14" i="33"/>
  <c r="N14" i="33" s="1"/>
  <c r="B13" i="33"/>
  <c r="N13" i="33" s="1"/>
  <c r="B12" i="33"/>
  <c r="N12" i="33" s="1"/>
  <c r="B11" i="33"/>
  <c r="N11" i="33" s="1"/>
  <c r="B10" i="33"/>
  <c r="N10" i="33" s="1"/>
  <c r="B9" i="33"/>
  <c r="N9" i="33" s="1"/>
  <c r="B8" i="33"/>
  <c r="N8" i="33" s="1"/>
  <c r="B7" i="33"/>
  <c r="N7" i="33" s="1"/>
  <c r="B5" i="33"/>
  <c r="N5" i="33" s="1"/>
  <c r="B3" i="33"/>
  <c r="N3" i="33" s="1"/>
  <c r="N2"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3" authorId="0" shapeId="0" xr:uid="{20F8F955-6992-4B9C-ABD9-B8E4F19C5343}">
      <text>
        <r>
          <rPr>
            <b/>
            <sz val="10"/>
            <color rgb="FF000000"/>
            <rFont val="Microsoft YaHei UI"/>
            <family val="2"/>
            <charset val="134"/>
          </rPr>
          <t>user:</t>
        </r>
        <r>
          <rPr>
            <sz val="10"/>
            <color rgb="FF000000"/>
            <rFont val="Microsoft YaHei UI"/>
            <family val="2"/>
            <charset val="134"/>
          </rPr>
          <t xml:space="preserve">
</t>
        </r>
        <r>
          <rPr>
            <sz val="10"/>
            <color rgb="FF000000"/>
            <rFont val="等线"/>
            <family val="4"/>
            <charset val="134"/>
          </rPr>
          <t>2020</t>
        </r>
        <r>
          <rPr>
            <sz val="10"/>
            <color rgb="FF000000"/>
            <rFont val="等线"/>
            <family val="4"/>
            <charset val="134"/>
          </rPr>
          <t>年非公开发行公司债券</t>
        </r>
      </text>
    </comment>
    <comment ref="A5" authorId="0" shapeId="0" xr:uid="{2A1E7D06-8A6B-4ED4-B693-F2368910DD52}">
      <text>
        <r>
          <rPr>
            <b/>
            <sz val="10"/>
            <color rgb="FF000000"/>
            <rFont val="Microsoft YaHei UI"/>
            <family val="2"/>
            <charset val="134"/>
          </rPr>
          <t>user:</t>
        </r>
        <r>
          <rPr>
            <sz val="10"/>
            <color rgb="FF000000"/>
            <rFont val="Microsoft YaHei UI"/>
            <family val="2"/>
            <charset val="134"/>
          </rPr>
          <t xml:space="preserve">
</t>
        </r>
        <r>
          <rPr>
            <sz val="10"/>
            <color rgb="FF000000"/>
            <rFont val="等线"/>
            <family val="4"/>
            <charset val="134"/>
          </rPr>
          <t>2020</t>
        </r>
        <r>
          <rPr>
            <sz val="10"/>
            <color rgb="FF000000"/>
            <rFont val="等线"/>
            <family val="4"/>
            <charset val="134"/>
          </rPr>
          <t>年非公开发行公司债券</t>
        </r>
      </text>
    </comment>
    <comment ref="A7" authorId="0" shapeId="0" xr:uid="{552C6189-0475-4A3D-8EE0-F19A9A7B6CC0}">
      <text>
        <r>
          <rPr>
            <b/>
            <sz val="10"/>
            <color rgb="FF000000"/>
            <rFont val="Microsoft YaHei UI"/>
            <family val="2"/>
            <charset val="134"/>
          </rPr>
          <t>user:</t>
        </r>
        <r>
          <rPr>
            <sz val="10"/>
            <color rgb="FF000000"/>
            <rFont val="Microsoft YaHei UI"/>
            <family val="2"/>
            <charset val="134"/>
          </rPr>
          <t xml:space="preserve">
</t>
        </r>
        <r>
          <rPr>
            <sz val="10"/>
            <color rgb="FF000000"/>
            <rFont val="宋体"/>
            <family val="4"/>
            <charset val="134"/>
            <scheme val="minor"/>
          </rPr>
          <t>非公开发行公司债券</t>
        </r>
        <r>
          <rPr>
            <sz val="10"/>
            <color rgb="FF000000"/>
            <rFont val="等线"/>
            <family val="4"/>
            <charset val="134"/>
          </rPr>
          <t>/</t>
        </r>
        <r>
          <rPr>
            <sz val="10"/>
            <color rgb="FF000000"/>
            <rFont val="等线"/>
            <family val="4"/>
            <charset val="134"/>
          </rPr>
          <t>公开发行公司债券等</t>
        </r>
      </text>
    </comment>
    <comment ref="A9" authorId="0" shapeId="0" xr:uid="{675145C7-2A91-489F-AFDF-70886CC6177A}">
      <text>
        <r>
          <rPr>
            <b/>
            <sz val="10"/>
            <color rgb="FF000000"/>
            <rFont val="Microsoft YaHei UI"/>
            <family val="2"/>
            <charset val="134"/>
          </rPr>
          <t>user:</t>
        </r>
        <r>
          <rPr>
            <sz val="10"/>
            <color rgb="FF000000"/>
            <rFont val="Microsoft YaHei UI"/>
            <family val="2"/>
            <charset val="134"/>
          </rPr>
          <t xml:space="preserve">
</t>
        </r>
        <r>
          <rPr>
            <sz val="10"/>
            <color rgb="FF000000"/>
            <rFont val="等线"/>
            <family val="4"/>
            <charset val="134"/>
          </rPr>
          <t>10</t>
        </r>
        <r>
          <rPr>
            <sz val="10"/>
            <color rgb="FF000000"/>
            <rFont val="等线"/>
            <family val="4"/>
            <charset val="134"/>
          </rPr>
          <t>亿</t>
        </r>
      </text>
    </comment>
    <comment ref="A10" authorId="0" shapeId="0" xr:uid="{75F2E187-906B-4C2E-95D3-59DCB7B52C02}">
      <text>
        <r>
          <rPr>
            <b/>
            <sz val="10"/>
            <color rgb="FF000000"/>
            <rFont val="Microsoft YaHei UI"/>
            <family val="2"/>
            <charset val="134"/>
          </rPr>
          <t>user:</t>
        </r>
        <r>
          <rPr>
            <sz val="10"/>
            <color rgb="FF000000"/>
            <rFont val="Microsoft YaHei UI"/>
            <family val="2"/>
            <charset val="134"/>
          </rPr>
          <t xml:space="preserve">
</t>
        </r>
        <r>
          <rPr>
            <sz val="10"/>
            <color rgb="FF000000"/>
            <rFont val="等线"/>
            <family val="4"/>
            <charset val="134"/>
          </rPr>
          <t>5</t>
        </r>
        <r>
          <rPr>
            <sz val="10"/>
            <color rgb="FF000000"/>
            <rFont val="等线"/>
            <family val="4"/>
            <charset val="134"/>
          </rPr>
          <t>亿</t>
        </r>
      </text>
    </comment>
    <comment ref="A11" authorId="0" shapeId="0" xr:uid="{E0A10857-D499-47BB-A0CA-23D4885F7D5C}">
      <text>
        <r>
          <rPr>
            <b/>
            <sz val="10"/>
            <color rgb="FF000000"/>
            <rFont val="Microsoft YaHei UI"/>
            <family val="2"/>
            <charset val="134"/>
          </rPr>
          <t>user:</t>
        </r>
        <r>
          <rPr>
            <sz val="10"/>
            <color rgb="FF000000"/>
            <rFont val="Microsoft YaHei UI"/>
            <family val="2"/>
            <charset val="134"/>
          </rPr>
          <t xml:space="preserve">
</t>
        </r>
        <r>
          <rPr>
            <sz val="10"/>
            <color rgb="FF000000"/>
            <rFont val="等线"/>
            <family val="4"/>
            <charset val="134"/>
          </rPr>
          <t>5</t>
        </r>
        <r>
          <rPr>
            <sz val="10"/>
            <color rgb="FF000000"/>
            <rFont val="等线"/>
            <family val="4"/>
            <charset val="134"/>
          </rPr>
          <t>亿</t>
        </r>
      </text>
    </comment>
    <comment ref="A12" authorId="0" shapeId="0" xr:uid="{B62E8885-F36C-44DA-8057-8A4C51215DF4}">
      <text>
        <r>
          <rPr>
            <b/>
            <sz val="10"/>
            <color rgb="FF000000"/>
            <rFont val="Microsoft YaHei UI"/>
            <family val="2"/>
            <charset val="134"/>
          </rPr>
          <t>user:</t>
        </r>
        <r>
          <rPr>
            <sz val="10"/>
            <color rgb="FF000000"/>
            <rFont val="Microsoft YaHei UI"/>
            <family val="2"/>
            <charset val="134"/>
          </rPr>
          <t xml:space="preserve">
</t>
        </r>
        <r>
          <rPr>
            <sz val="10"/>
            <color rgb="FF000000"/>
            <rFont val="宋体"/>
            <family val="4"/>
            <charset val="134"/>
            <scheme val="minor"/>
          </rPr>
          <t>5</t>
        </r>
        <r>
          <rPr>
            <sz val="10"/>
            <color rgb="FF000000"/>
            <rFont val="Microsoft YaHei UI"/>
            <family val="2"/>
            <charset val="134"/>
          </rPr>
          <t>亿</t>
        </r>
      </text>
    </comment>
    <comment ref="A13" authorId="0" shapeId="0" xr:uid="{4FDF11CF-8C4C-4F50-AF2C-8D84212F0979}">
      <text>
        <r>
          <rPr>
            <b/>
            <sz val="10"/>
            <color rgb="FF000000"/>
            <rFont val="Microsoft YaHei UI"/>
            <family val="2"/>
            <charset val="134"/>
          </rPr>
          <t>user:</t>
        </r>
        <r>
          <rPr>
            <sz val="10"/>
            <color rgb="FF000000"/>
            <rFont val="Microsoft YaHei UI"/>
            <family val="2"/>
            <charset val="134"/>
          </rPr>
          <t xml:space="preserve">
</t>
        </r>
        <r>
          <rPr>
            <sz val="10"/>
            <color rgb="FF000000"/>
            <rFont val="宋体"/>
            <family val="4"/>
            <charset val="134"/>
            <scheme val="minor"/>
          </rPr>
          <t>5</t>
        </r>
        <r>
          <rPr>
            <sz val="10"/>
            <color rgb="FF000000"/>
            <rFont val="Microsoft YaHei UI"/>
            <family val="2"/>
            <charset val="134"/>
          </rPr>
          <t>亿</t>
        </r>
      </text>
    </comment>
    <comment ref="A19" authorId="0" shapeId="0" xr:uid="{7BAAF2C4-D49F-4624-9CD7-675969C7D2B6}">
      <text>
        <r>
          <rPr>
            <b/>
            <sz val="10"/>
            <color rgb="FF000000"/>
            <rFont val="Microsoft YaHei UI"/>
            <family val="2"/>
            <charset val="134"/>
          </rPr>
          <t>user:</t>
        </r>
        <r>
          <rPr>
            <sz val="10"/>
            <color rgb="FF000000"/>
            <rFont val="Microsoft YaHei UI"/>
            <family val="2"/>
            <charset val="134"/>
          </rPr>
          <t xml:space="preserve">
</t>
        </r>
        <r>
          <rPr>
            <sz val="10"/>
            <color rgb="FF000000"/>
            <rFont val="宋体"/>
            <family val="4"/>
            <charset val="134"/>
            <scheme val="minor"/>
          </rPr>
          <t>例：不超过</t>
        </r>
        <r>
          <rPr>
            <sz val="10"/>
            <color rgb="FF000000"/>
            <rFont val="等线"/>
            <family val="4"/>
            <charset val="134"/>
          </rPr>
          <t>5</t>
        </r>
        <r>
          <rPr>
            <sz val="10"/>
            <color rgb="FF000000"/>
            <rFont val="等线"/>
            <family val="4"/>
            <charset val="134"/>
          </rPr>
          <t>年（含</t>
        </r>
        <r>
          <rPr>
            <sz val="10"/>
            <color rgb="FF000000"/>
            <rFont val="等线"/>
            <family val="4"/>
            <charset val="134"/>
          </rPr>
          <t>5</t>
        </r>
        <r>
          <rPr>
            <sz val="10"/>
            <color rgb="FF000000"/>
            <rFont val="等线"/>
            <family val="4"/>
            <charset val="134"/>
          </rPr>
          <t>年）</t>
        </r>
      </text>
    </comment>
    <comment ref="A20" authorId="0" shapeId="0" xr:uid="{CC092B8F-9FA6-4D84-B695-F17A6EE5BB0F}">
      <text>
        <r>
          <rPr>
            <b/>
            <sz val="10"/>
            <color rgb="FF000000"/>
            <rFont val="Microsoft YaHei UI"/>
            <family val="2"/>
            <charset val="134"/>
          </rPr>
          <t>user:</t>
        </r>
        <r>
          <rPr>
            <sz val="10"/>
            <color rgb="FF000000"/>
            <rFont val="Microsoft YaHei UI"/>
            <family val="2"/>
            <charset val="134"/>
          </rPr>
          <t xml:space="preserve">
</t>
        </r>
        <r>
          <rPr>
            <sz val="10"/>
            <color rgb="FF000000"/>
            <rFont val="等线"/>
            <family val="4"/>
            <charset val="134"/>
          </rPr>
          <t>2020</t>
        </r>
        <r>
          <rPr>
            <sz val="10"/>
            <color rgb="FF000000"/>
            <rFont val="等线"/>
            <family val="4"/>
            <charset val="134"/>
          </rPr>
          <t>年</t>
        </r>
      </text>
    </comment>
    <comment ref="A23" authorId="0" shapeId="0" xr:uid="{0B619B35-7D83-40D7-8633-0919E362B503}">
      <text>
        <r>
          <rPr>
            <b/>
            <sz val="10"/>
            <color rgb="FF000000"/>
            <rFont val="Microsoft YaHei UI"/>
            <family val="2"/>
            <charset val="134"/>
          </rPr>
          <t>user:</t>
        </r>
        <r>
          <rPr>
            <sz val="10"/>
            <color rgb="FF000000"/>
            <rFont val="Microsoft YaHei UI"/>
            <family val="2"/>
            <charset val="134"/>
          </rPr>
          <t xml:space="preserve">
</t>
        </r>
        <r>
          <rPr>
            <sz val="10"/>
            <color rgb="FF000000"/>
            <rFont val="宋体"/>
            <family val="4"/>
            <charset val="134"/>
            <scheme val="minor"/>
          </rPr>
          <t>例：</t>
        </r>
        <r>
          <rPr>
            <sz val="10"/>
            <color rgb="FF000000"/>
            <rFont val="等线"/>
            <family val="4"/>
            <charset val="134"/>
          </rPr>
          <t>1000</t>
        </r>
        <r>
          <rPr>
            <sz val="10"/>
            <color rgb="FF000000"/>
            <rFont val="等线"/>
            <family val="4"/>
            <charset val="134"/>
          </rPr>
          <t>万元</t>
        </r>
      </text>
    </comment>
    <comment ref="A24" authorId="0" shapeId="0" xr:uid="{2B7F7F6E-B262-4D9F-ADAD-CCA006A9CB97}">
      <text>
        <r>
          <rPr>
            <b/>
            <sz val="10"/>
            <color rgb="FF000000"/>
            <rFont val="Microsoft YaHei UI"/>
            <family val="2"/>
            <charset val="134"/>
          </rPr>
          <t>user:</t>
        </r>
        <r>
          <rPr>
            <sz val="10"/>
            <color rgb="FF000000"/>
            <rFont val="Microsoft YaHei UI"/>
            <family val="2"/>
            <charset val="134"/>
          </rPr>
          <t xml:space="preserve">
</t>
        </r>
        <r>
          <rPr>
            <sz val="10"/>
            <color rgb="FF000000"/>
            <rFont val="Microsoft YaHei UI"/>
            <family val="2"/>
            <charset val="134"/>
          </rPr>
          <t>例：</t>
        </r>
        <r>
          <rPr>
            <sz val="10"/>
            <color rgb="FF000000"/>
            <rFont val="宋体"/>
            <family val="4"/>
            <charset val="134"/>
            <scheme val="minor"/>
          </rPr>
          <t>1000</t>
        </r>
        <r>
          <rPr>
            <sz val="10"/>
            <color rgb="FF000000"/>
            <rFont val="Microsoft YaHei UI"/>
            <family val="2"/>
            <charset val="134"/>
          </rPr>
          <t>万元</t>
        </r>
      </text>
    </comment>
    <comment ref="A31" authorId="0" shapeId="0" xr:uid="{2C8F2907-D31A-449D-BF07-66ADF9215217}">
      <text>
        <r>
          <rPr>
            <b/>
            <sz val="10"/>
            <color rgb="FF000000"/>
            <rFont val="Microsoft YaHei UI"/>
            <family val="2"/>
            <charset val="134"/>
          </rPr>
          <t>user:</t>
        </r>
        <r>
          <rPr>
            <sz val="10"/>
            <color rgb="FF000000"/>
            <rFont val="Microsoft YaHei UI"/>
            <family val="2"/>
            <charset val="134"/>
          </rPr>
          <t xml:space="preserve">
</t>
        </r>
        <r>
          <rPr>
            <sz val="10"/>
            <color rgb="FF000000"/>
            <rFont val="宋体"/>
            <family val="4"/>
            <charset val="134"/>
            <scheme val="minor"/>
          </rPr>
          <t>2020</t>
        </r>
        <r>
          <rPr>
            <sz val="10"/>
            <color rgb="FF000000"/>
            <rFont val="Microsoft YaHei UI"/>
            <family val="2"/>
            <charset val="134"/>
          </rPr>
          <t>年</t>
        </r>
        <r>
          <rPr>
            <sz val="10"/>
            <color rgb="FF000000"/>
            <rFont val="宋体"/>
            <family val="4"/>
            <charset val="134"/>
            <scheme val="minor"/>
          </rPr>
          <t>1</t>
        </r>
        <r>
          <rPr>
            <sz val="10"/>
            <color rgb="FF000000"/>
            <rFont val="Microsoft YaHei UI"/>
            <family val="2"/>
            <charset val="134"/>
          </rPr>
          <t>月</t>
        </r>
        <r>
          <rPr>
            <sz val="10"/>
            <color rgb="FF000000"/>
            <rFont val="宋体"/>
            <family val="4"/>
            <charset val="134"/>
            <scheme val="minor"/>
          </rPr>
          <t>1</t>
        </r>
        <r>
          <rPr>
            <sz val="10"/>
            <color rgb="FF000000"/>
            <rFont val="Microsoft YaHei UI"/>
            <family val="2"/>
            <charset val="134"/>
          </rPr>
          <t>日</t>
        </r>
      </text>
    </comment>
  </commentList>
</comments>
</file>

<file path=xl/sharedStrings.xml><?xml version="1.0" encoding="utf-8"?>
<sst xmlns="http://schemas.openxmlformats.org/spreadsheetml/2006/main" count="484" uniqueCount="294">
  <si>
    <t>{$发行人联系地址}</t>
  </si>
  <si>
    <t>{$发行人}</t>
  </si>
  <si>
    <t>{$受托管理人住所}</t>
  </si>
  <si>
    <t>{$受托管理人联系地址}</t>
  </si>
  <si>
    <t>{$受托管理人联系人}</t>
  </si>
  <si>
    <t>{$受托管理人联系电话}</t>
  </si>
  <si>
    <t>{$受托管理人传真}</t>
  </si>
  <si>
    <t>要素项目</t>
    <phoneticPr fontId="1" type="noConversion"/>
  </si>
  <si>
    <t>内容</t>
    <phoneticPr fontId="1" type="noConversion"/>
  </si>
  <si>
    <t>{$可超额配售不超过}</t>
  </si>
  <si>
    <t>{$本期偿债规模}</t>
  </si>
  <si>
    <t>{$本期补流规模}</t>
  </si>
  <si>
    <t>{$承销方式}</t>
  </si>
  <si>
    <t>{$债券年份}</t>
  </si>
  <si>
    <t>{$发行人公司类型}</t>
  </si>
  <si>
    <t>{$发行人信用代码}</t>
  </si>
  <si>
    <t>{$发行人实际控制人}</t>
  </si>
  <si>
    <t>{$发行人控股股东}</t>
  </si>
  <si>
    <t>{$主承销商联系人}</t>
  </si>
  <si>
    <t>{$主承销商电话}</t>
  </si>
  <si>
    <t>{$主承销商传真}</t>
  </si>
  <si>
    <t>{$主承销商邮编}</t>
  </si>
  <si>
    <t>{$主承销商项目负责人A}</t>
  </si>
  <si>
    <t>{$主承销商项目负责人B}</t>
  </si>
  <si>
    <t>{$受托管理人}</t>
  </si>
  <si>
    <t>{$受托管理人法定代表人}</t>
  </si>
  <si>
    <t>{$律所住所}</t>
  </si>
  <si>
    <t>{$律所联系地址}</t>
  </si>
  <si>
    <t>{$律所负责人}</t>
  </si>
  <si>
    <t>{$经办律师}</t>
  </si>
  <si>
    <t>{$律所电话}</t>
  </si>
  <si>
    <t>{$律所传真}</t>
  </si>
  <si>
    <t>{$律所邮编}</t>
  </si>
  <si>
    <t>{$会计师事务所}</t>
  </si>
  <si>
    <t>{$会所住所}</t>
  </si>
  <si>
    <t>{$会所联系地址}</t>
  </si>
  <si>
    <t>{$会所负责人}</t>
  </si>
  <si>
    <t>{$会所联系人}</t>
  </si>
  <si>
    <t>{$会所电话}</t>
  </si>
  <si>
    <t>{$会所传真}</t>
  </si>
  <si>
    <t>{$会所邮编}</t>
  </si>
  <si>
    <t>{$报告期文字表述}</t>
  </si>
  <si>
    <t>{$交易所住所}</t>
  </si>
  <si>
    <t>{$交易所总经理}</t>
  </si>
  <si>
    <t>{$交易所电话}</t>
  </si>
  <si>
    <t>{$交易所传真}</t>
  </si>
  <si>
    <t>{$交易所邮编}</t>
  </si>
  <si>
    <t>{$债券登记机构地址}</t>
  </si>
  <si>
    <t>{$债券登记机构负责人}</t>
  </si>
  <si>
    <t>{$债券登记机构电话}</t>
  </si>
  <si>
    <t>{$债券登记机构传真}</t>
  </si>
  <si>
    <t>{$债券登记机构邮编}</t>
  </si>
  <si>
    <t>{$交易所简称}</t>
  </si>
  <si>
    <t>{$交易平台}</t>
  </si>
  <si>
    <t>{$公司有权机构}</t>
  </si>
  <si>
    <t>{$董事批复文件}</t>
  </si>
  <si>
    <t>{$股东会代表数}</t>
  </si>
  <si>
    <t>{$主承销商}</t>
    <phoneticPr fontId="1" type="noConversion"/>
  </si>
  <si>
    <t>{$主承销商联系地址}</t>
    <phoneticPr fontId="1" type="noConversion"/>
  </si>
  <si>
    <t>最近两年</t>
  </si>
  <si>
    <t>股东决定</t>
  </si>
  <si>
    <t>董事会决议</t>
  </si>
  <si>
    <t>董事会</t>
  </si>
  <si>
    <t>股东</t>
  </si>
  <si>
    <t>余额包销</t>
    <phoneticPr fontId="1" type="noConversion"/>
  </si>
  <si>
    <t>不超过5年（含5年）</t>
    <phoneticPr fontId="1" type="noConversion"/>
  </si>
  <si>
    <t>2020年</t>
    <phoneticPr fontId="1" type="noConversion"/>
  </si>
  <si>
    <t>红河州开发区投资建设集团有限公司</t>
    <phoneticPr fontId="1" type="noConversion"/>
  </si>
  <si>
    <t>李庶</t>
    <phoneticPr fontId="1" type="noConversion"/>
  </si>
  <si>
    <t>91532500767091913M</t>
  </si>
  <si>
    <t>张俊辉，董事</t>
    <phoneticPr fontId="1" type="noConversion"/>
  </si>
  <si>
    <t>0873-3666092</t>
    <phoneticPr fontId="1" type="noConversion"/>
  </si>
  <si>
    <t>经营范围变更为市政基础建设、综合配套设施的开发投资；土地开发及配套设施、开发、建设、经营和管理；旅游资源、旅游项目、特色小镇投资开发建设、经营管理；物流、仓促及保税仓库（危险化学品除外）国际国内货运代理；报税商品展示展览、物业管理、商务信息咨询服务、企业登记代理服务；从事货物和技术的进口业务</t>
  </si>
  <si>
    <t>红河哈尼族彝族自治州人民政府国有资产监督管理委员会</t>
    <phoneticPr fontId="1" type="noConversion"/>
  </si>
  <si>
    <t>红塔证券股份有限公司</t>
    <phoneticPr fontId="1" type="noConversion"/>
  </si>
  <si>
    <t>云南省昆明市北京路155号附1号</t>
    <phoneticPr fontId="1" type="noConversion"/>
  </si>
  <si>
    <t>李素明</t>
    <phoneticPr fontId="1" type="noConversion"/>
  </si>
  <si>
    <t>刘宏、乐闻笛、陈韵、仕瑞林</t>
    <phoneticPr fontId="1" type="noConversion"/>
  </si>
  <si>
    <t>0871-63579825</t>
    <phoneticPr fontId="1" type="noConversion"/>
  </si>
  <si>
    <t>刘宏</t>
    <phoneticPr fontId="1" type="noConversion"/>
  </si>
  <si>
    <t>乐闻笛</t>
    <phoneticPr fontId="1" type="noConversion"/>
  </si>
  <si>
    <t>非公开发行公司债券</t>
    <phoneticPr fontId="1" type="noConversion"/>
  </si>
  <si>
    <t>云南省红河州蒙自市红河大道经开区管理委员会孵化园综合楼207室</t>
    <phoneticPr fontId="1" type="noConversion"/>
  </si>
  <si>
    <t>{$发行人决策机构}</t>
    <phoneticPr fontId="1" type="noConversion"/>
  </si>
  <si>
    <t>{$发行人简称}</t>
    <phoneticPr fontId="1" type="noConversion"/>
  </si>
  <si>
    <t>{$立项材料落款日期}</t>
    <phoneticPr fontId="1" type="noConversion"/>
  </si>
  <si>
    <t>{$拟任项目经理}</t>
    <phoneticPr fontId="1" type="noConversion"/>
  </si>
  <si>
    <t>{$拟任项目保荐代表人或拟任项目经理}</t>
    <phoneticPr fontId="1" type="noConversion"/>
  </si>
  <si>
    <t>{$项目组成员}</t>
    <phoneticPr fontId="1" type="noConversion"/>
  </si>
  <si>
    <t>{$第三年度}</t>
  </si>
  <si>
    <t>{$第二年度}</t>
  </si>
  <si>
    <t>{$第一年度}</t>
  </si>
  <si>
    <t>{$最近一期末}</t>
  </si>
  <si>
    <t>{$第三年末}</t>
  </si>
  <si>
    <t>{$第二年末}</t>
  </si>
  <si>
    <t>{$第一年末}</t>
  </si>
  <si>
    <t>{$N4}</t>
  </si>
  <si>
    <t>{$N3}</t>
  </si>
  <si>
    <t>{$N2}</t>
  </si>
  <si>
    <t>{$N1}</t>
  </si>
  <si>
    <t>2020年6月末/2020年1-6月</t>
    <phoneticPr fontId="1" type="noConversion"/>
  </si>
  <si>
    <t>2019年末/2019年度</t>
    <phoneticPr fontId="1" type="noConversion"/>
  </si>
  <si>
    <t>2018年末/2018年度</t>
    <phoneticPr fontId="1" type="noConversion"/>
  </si>
  <si>
    <t>2017年末/2017年度</t>
    <phoneticPr fontId="1" type="noConversion"/>
  </si>
  <si>
    <t>2020年1-6月</t>
    <phoneticPr fontId="1" type="noConversion"/>
  </si>
  <si>
    <t>2019年度</t>
    <phoneticPr fontId="1" type="noConversion"/>
  </si>
  <si>
    <t>示例</t>
    <phoneticPr fontId="1" type="noConversion"/>
  </si>
  <si>
    <t>冯斌</t>
    <phoneticPr fontId="1" type="noConversion"/>
  </si>
  <si>
    <t>15亿</t>
    <phoneticPr fontId="1" type="noConversion"/>
  </si>
  <si>
    <t>红河州开投</t>
    <phoneticPr fontId="1" type="noConversion"/>
  </si>
  <si>
    <t>仕瑞林</t>
    <phoneticPr fontId="1" type="noConversion"/>
  </si>
  <si>
    <t>{$项目类型}</t>
    <phoneticPr fontId="1" type="noConversion"/>
  </si>
  <si>
    <t>{$发行规模不超过}</t>
    <phoneticPr fontId="1" type="noConversion"/>
  </si>
  <si>
    <t>{$发行期限文字表述}</t>
    <phoneticPr fontId="1" type="noConversion"/>
  </si>
  <si>
    <t>{$募集资金用途}</t>
    <phoneticPr fontId="1" type="noConversion"/>
  </si>
  <si>
    <t>有限责任公司</t>
    <phoneticPr fontId="1" type="noConversion"/>
  </si>
  <si>
    <t>{$董事人数}</t>
    <phoneticPr fontId="1" type="noConversion"/>
  </si>
  <si>
    <t>{$股东批复文件}</t>
    <phoneticPr fontId="1" type="noConversion"/>
  </si>
  <si>
    <t>{$本次债券含年份去公司名全称}</t>
    <phoneticPr fontId="1" type="noConversion"/>
  </si>
  <si>
    <t>{$协议签订城市}</t>
    <phoneticPr fontId="1" type="noConversion"/>
  </si>
  <si>
    <t>{$发行人法定代表人}</t>
    <phoneticPr fontId="1" type="noConversion"/>
  </si>
  <si>
    <t>{$发行人住所}</t>
    <phoneticPr fontId="1" type="noConversion"/>
  </si>
  <si>
    <t>{$主承销商法定代表人}</t>
    <phoneticPr fontId="1" type="noConversion"/>
  </si>
  <si>
    <t>{$主承销商住所}</t>
    <phoneticPr fontId="1" type="noConversion"/>
  </si>
  <si>
    <t>5亿</t>
    <phoneticPr fontId="1" type="noConversion"/>
  </si>
  <si>
    <t>{$首期发行规模不超过}</t>
    <phoneticPr fontId="1" type="noConversion"/>
  </si>
  <si>
    <t>{$本次债券全称}</t>
    <phoneticPr fontId="1" type="noConversion"/>
  </si>
  <si>
    <t>{$交易所}</t>
    <phoneticPr fontId="1" type="noConversion"/>
  </si>
  <si>
    <t>{$债券登记机构}</t>
    <phoneticPr fontId="1" type="noConversion"/>
  </si>
  <si>
    <t>{$发行人邮编}</t>
    <phoneticPr fontId="1" type="noConversion"/>
  </si>
  <si>
    <t>{$发行人电话}</t>
    <phoneticPr fontId="1" type="noConversion"/>
  </si>
  <si>
    <t>{$发行人传真}</t>
    <phoneticPr fontId="1" type="noConversion"/>
  </si>
  <si>
    <t>10亿</t>
    <phoneticPr fontId="1" type="noConversion"/>
  </si>
  <si>
    <t>{$公司债性质}</t>
    <phoneticPr fontId="1" type="noConversion"/>
  </si>
  <si>
    <t>本次债券募集资金扣除发行费用后，拟将5亿元用于偿还公司债务，其余用于补充流动资金，其中拟使用不低于1.50亿元用于防疫物资采买及疫情期间向各建设项目施工场地的工人生活补助的发放，以及用于由于疫情，公司对各承租方免租期间的资产维护费用</t>
    <phoneticPr fontId="1" type="noConversion"/>
  </si>
  <si>
    <t>2020年7月12日</t>
    <phoneticPr fontId="1" type="noConversion"/>
  </si>
  <si>
    <t>2018年度</t>
    <phoneticPr fontId="1" type="noConversion"/>
  </si>
  <si>
    <t>2017年度</t>
    <phoneticPr fontId="1" type="noConversion"/>
  </si>
  <si>
    <t>2020年6月末</t>
    <phoneticPr fontId="1" type="noConversion"/>
  </si>
  <si>
    <r>
      <t>2019年末</t>
    </r>
    <r>
      <rPr>
        <sz val="9"/>
        <color theme="1"/>
        <rFont val="Times New Roman"/>
        <family val="1"/>
      </rPr>
      <t/>
    </r>
    <phoneticPr fontId="1" type="noConversion"/>
  </si>
  <si>
    <r>
      <t>2018年末</t>
    </r>
    <r>
      <rPr>
        <sz val="9"/>
        <color theme="1"/>
        <rFont val="Times New Roman"/>
        <family val="1"/>
      </rPr>
      <t/>
    </r>
    <phoneticPr fontId="1" type="noConversion"/>
  </si>
  <si>
    <r>
      <t>2017年末</t>
    </r>
    <r>
      <rPr>
        <sz val="9"/>
        <color theme="1"/>
        <rFont val="Times New Roman"/>
        <family val="1"/>
      </rPr>
      <t/>
    </r>
    <phoneticPr fontId="1" type="noConversion"/>
  </si>
  <si>
    <t>{$担保方}</t>
    <phoneticPr fontId="1" type="noConversion"/>
  </si>
  <si>
    <t>{$发行人协议联系人}</t>
    <phoneticPr fontId="1" type="noConversion"/>
  </si>
  <si>
    <t>{$评级机构}</t>
    <phoneticPr fontId="1" type="noConversion"/>
  </si>
  <si>
    <t>非公开</t>
    <phoneticPr fontId="1" type="noConversion"/>
  </si>
  <si>
    <t>{$受托管理人邮编}</t>
    <phoneticPr fontId="1" type="noConversion"/>
  </si>
  <si>
    <t>{$律师事务所}</t>
    <phoneticPr fontId="1" type="noConversion"/>
  </si>
  <si>
    <t>{$评级住所}</t>
    <phoneticPr fontId="1" type="noConversion"/>
  </si>
  <si>
    <t>{$评级联系地址}</t>
    <phoneticPr fontId="1" type="noConversion"/>
  </si>
  <si>
    <t>{$评级联系人}</t>
    <phoneticPr fontId="1" type="noConversion"/>
  </si>
  <si>
    <t>{$评级电话}</t>
    <phoneticPr fontId="1" type="noConversion"/>
  </si>
  <si>
    <t>{$评级传真}</t>
    <phoneticPr fontId="1" type="noConversion"/>
  </si>
  <si>
    <t>{$评级邮编}</t>
    <phoneticPr fontId="1" type="noConversion"/>
  </si>
  <si>
    <t>{$评级法定代表人}</t>
    <phoneticPr fontId="1" type="noConversion"/>
  </si>
  <si>
    <t>{$担保方注册资本}</t>
    <phoneticPr fontId="1" type="noConversion"/>
  </si>
  <si>
    <t>{$担保方设立日期}</t>
    <phoneticPr fontId="1" type="noConversion"/>
  </si>
  <si>
    <t>{$担保方经营范围}</t>
    <phoneticPr fontId="1" type="noConversion"/>
  </si>
  <si>
    <t>{$最近一期}</t>
    <phoneticPr fontId="1" type="noConversion"/>
  </si>
  <si>
    <t>{$主承销商简称}</t>
    <phoneticPr fontId="1" type="noConversion"/>
  </si>
  <si>
    <t>{$受托管理人简称}</t>
    <phoneticPr fontId="1" type="noConversion"/>
  </si>
  <si>
    <t>{$唯一股东}</t>
    <phoneticPr fontId="1" type="noConversion"/>
  </si>
  <si>
    <t>{$本次债券去年份全称}</t>
    <phoneticPr fontId="1" type="noConversion"/>
  </si>
  <si>
    <t>{$发行人所属行业}</t>
    <phoneticPr fontId="1" type="noConversion"/>
  </si>
  <si>
    <t>{$日志填表DAY1}</t>
    <phoneticPr fontId="1" type="noConversion"/>
  </si>
  <si>
    <t>{$日志填表DAY2}</t>
  </si>
  <si>
    <t>{$日志填表DAY3}</t>
  </si>
  <si>
    <t>{$日志填表DAY4}</t>
  </si>
  <si>
    <t>{$日志填表DAY5}</t>
  </si>
  <si>
    <t>{$日志填表DAY6}</t>
  </si>
  <si>
    <t>{$日志填表DAY7}</t>
  </si>
  <si>
    <t>{$日志填表DAY8}</t>
  </si>
  <si>
    <t>{$日志填表DAY9}</t>
  </si>
  <si>
    <t>{$日志填表DAY10}</t>
  </si>
  <si>
    <t>{$日志填表DAY11}</t>
  </si>
  <si>
    <t>{$日志填表DAY12}</t>
  </si>
  <si>
    <t>{$日志填表DAY13}</t>
  </si>
  <si>
    <t>{$日志填表DAY14}</t>
  </si>
  <si>
    <t>{$日志填表DAY15}</t>
  </si>
  <si>
    <t>{$日志填表DAY16}</t>
  </si>
  <si>
    <t>{$日志填表DAY17}</t>
  </si>
  <si>
    <t>{$日志填表DAY18}</t>
  </si>
  <si>
    <t>{$日志填表DAY19}</t>
  </si>
  <si>
    <t>{$日志填表DAY20}</t>
  </si>
  <si>
    <t>{$尽职调查报告期时间}</t>
    <phoneticPr fontId="1" type="noConversion"/>
  </si>
  <si>
    <t>{$股东类型}</t>
    <phoneticPr fontId="14" type="noConversion"/>
  </si>
  <si>
    <t>{$工作日志填报人1}</t>
    <phoneticPr fontId="1" type="noConversion"/>
  </si>
  <si>
    <t>{$工作日志填报人2}</t>
  </si>
  <si>
    <t>立项</t>
    <phoneticPr fontId="1" type="noConversion"/>
  </si>
  <si>
    <t>深圳证券交易所</t>
  </si>
  <si>
    <t>深圳市福田区莲花街道深南大道2012号</t>
  </si>
  <si>
    <t>王建军</t>
  </si>
  <si>
    <t>0755-82083333</t>
  </si>
  <si>
    <t>0755-82083667</t>
  </si>
  <si>
    <t>中国证券登记结算有限责任公司深圳分公司</t>
  </si>
  <si>
    <t>深圳市福田区莲花街道深南大道2012号深圳证券交易所广场25楼</t>
  </si>
  <si>
    <t>周宁</t>
  </si>
  <si>
    <t>0755-25938000</t>
  </si>
  <si>
    <t>0755-25988122</t>
  </si>
  <si>
    <t>深交所</t>
  </si>
  <si>
    <t>深圳证券交易所综合协议交易平台</t>
  </si>
  <si>
    <t>协议</t>
    <phoneticPr fontId="1" type="noConversion"/>
  </si>
  <si>
    <t>底稿</t>
    <phoneticPr fontId="1" type="noConversion"/>
  </si>
  <si>
    <t>签字页</t>
    <phoneticPr fontId="1" type="noConversion"/>
  </si>
  <si>
    <t>{$增信方式}</t>
    <phoneticPr fontId="1" type="noConversion"/>
  </si>
  <si>
    <t>{$担保方住所}</t>
    <phoneticPr fontId="1" type="noConversion"/>
  </si>
  <si>
    <t>{$担保方联系地址}</t>
  </si>
  <si>
    <t>{$担保方法定代表人}</t>
    <phoneticPr fontId="1" type="noConversion"/>
  </si>
  <si>
    <t>{$担保方联系人}</t>
  </si>
  <si>
    <t>{$担保方电话}</t>
  </si>
  <si>
    <t>{$担保方传真}</t>
  </si>
  <si>
    <t>{$担保方邮编}</t>
  </si>
  <si>
    <t>{$报告期末}</t>
    <phoneticPr fontId="14" type="noConversion"/>
  </si>
  <si>
    <t>{$报告期内}</t>
    <phoneticPr fontId="14" type="noConversion"/>
  </si>
  <si>
    <t>{$核查人1}</t>
  </si>
  <si>
    <r>
      <t>{$核查人2}</t>
    </r>
    <r>
      <rPr>
        <sz val="12"/>
        <color theme="1"/>
        <rFont val="宋体"/>
        <family val="2"/>
        <charset val="134"/>
        <scheme val="minor"/>
      </rPr>
      <t/>
    </r>
  </si>
  <si>
    <t>{$核查时间1}</t>
  </si>
  <si>
    <r>
      <t>{$核查时间2}</t>
    </r>
    <r>
      <rPr>
        <sz val="12"/>
        <color theme="1"/>
        <rFont val="宋体"/>
        <family val="2"/>
        <charset val="134"/>
        <scheme val="minor"/>
      </rPr>
      <t/>
    </r>
  </si>
  <si>
    <r>
      <t>{$核查时间3}</t>
    </r>
    <r>
      <rPr>
        <sz val="12"/>
        <color theme="1"/>
        <rFont val="宋体"/>
        <family val="2"/>
        <charset val="134"/>
        <scheme val="minor"/>
      </rPr>
      <t/>
    </r>
  </si>
  <si>
    <r>
      <t>{$核查时间4}</t>
    </r>
    <r>
      <rPr>
        <sz val="12"/>
        <color theme="1"/>
        <rFont val="宋体"/>
        <family val="2"/>
        <charset val="134"/>
        <scheme val="minor"/>
      </rPr>
      <t/>
    </r>
  </si>
  <si>
    <r>
      <t>{$核查时间5}</t>
    </r>
    <r>
      <rPr>
        <sz val="12"/>
        <color theme="1"/>
        <rFont val="宋体"/>
        <family val="2"/>
        <charset val="134"/>
        <scheme val="minor"/>
      </rPr>
      <t/>
    </r>
  </si>
  <si>
    <r>
      <t>{$核查时间6}</t>
    </r>
    <r>
      <rPr>
        <sz val="12"/>
        <color theme="1"/>
        <rFont val="宋体"/>
        <family val="2"/>
        <charset val="134"/>
        <scheme val="minor"/>
      </rPr>
      <t/>
    </r>
  </si>
  <si>
    <r>
      <t>{$核查时间7}</t>
    </r>
    <r>
      <rPr>
        <sz val="12"/>
        <color theme="1"/>
        <rFont val="宋体"/>
        <family val="2"/>
        <charset val="134"/>
        <scheme val="minor"/>
      </rPr>
      <t/>
    </r>
  </si>
  <si>
    <r>
      <t>{$核查时间8}</t>
    </r>
    <r>
      <rPr>
        <sz val="12"/>
        <color theme="1"/>
        <rFont val="宋体"/>
        <family val="2"/>
        <charset val="134"/>
        <scheme val="minor"/>
      </rPr>
      <t/>
    </r>
  </si>
  <si>
    <r>
      <t>{$核查时间9}</t>
    </r>
    <r>
      <rPr>
        <sz val="12"/>
        <color theme="1"/>
        <rFont val="宋体"/>
        <family val="2"/>
        <charset val="134"/>
        <scheme val="minor"/>
      </rPr>
      <t/>
    </r>
  </si>
  <si>
    <r>
      <t>{$核查时间10}</t>
    </r>
    <r>
      <rPr>
        <sz val="12"/>
        <color theme="1"/>
        <rFont val="宋体"/>
        <family val="2"/>
        <charset val="134"/>
        <scheme val="minor"/>
      </rPr>
      <t/>
    </r>
  </si>
  <si>
    <t>{$落款日期}</t>
    <phoneticPr fontId="14" type="noConversion"/>
  </si>
  <si>
    <t>红河州开发区投资建设集团有限公司非公开发行公司债券</t>
    <phoneticPr fontId="1" type="noConversion"/>
  </si>
  <si>
    <t>本次债券无评级/发行人的主体信用等级为【】，本次债券信用等级为【】</t>
    <phoneticPr fontId="1" type="noConversion"/>
  </si>
  <si>
    <t>自然人股东/法人股东/机关法人股东</t>
    <phoneticPr fontId="1" type="noConversion"/>
  </si>
  <si>
    <t>红塔证券</t>
    <phoneticPr fontId="1" type="noConversion"/>
  </si>
  <si>
    <t>2018年、2019年及2020年1-6月</t>
    <phoneticPr fontId="1" type="noConversion"/>
  </si>
  <si>
    <t>昆明</t>
    <phoneticPr fontId="1" type="noConversion"/>
  </si>
  <si>
    <t>100,000.00万元</t>
    <phoneticPr fontId="1" type="noConversion"/>
  </si>
  <si>
    <t>5,000.00万元</t>
    <phoneticPr fontId="1" type="noConversion"/>
  </si>
  <si>
    <t>批量处理</t>
    <phoneticPr fontId="1" type="noConversion"/>
  </si>
  <si>
    <t>本次债券为信用发行/本次债券由XX提供全额无条件不可撤销连带责任保证担保</t>
    <phoneticPr fontId="1" type="noConversion"/>
  </si>
  <si>
    <t>{$第三年}</t>
    <phoneticPr fontId="1" type="noConversion"/>
  </si>
  <si>
    <t>{$第二年}</t>
    <phoneticPr fontId="1" type="noConversion"/>
  </si>
  <si>
    <t>{$第一年}</t>
    <phoneticPr fontId="1" type="noConversion"/>
  </si>
  <si>
    <r>
      <t>2019年</t>
    </r>
    <r>
      <rPr>
        <sz val="9"/>
        <color theme="1"/>
        <rFont val="Times New Roman"/>
        <family val="1"/>
      </rPr>
      <t/>
    </r>
    <phoneticPr fontId="1" type="noConversion"/>
  </si>
  <si>
    <r>
      <t>2018年</t>
    </r>
    <r>
      <rPr>
        <sz val="9"/>
        <color theme="1"/>
        <rFont val="Times New Roman"/>
        <family val="1"/>
      </rPr>
      <t/>
    </r>
    <phoneticPr fontId="1" type="noConversion"/>
  </si>
  <si>
    <r>
      <t>2017年</t>
    </r>
    <r>
      <rPr>
        <sz val="9"/>
        <color theme="1"/>
        <rFont val="Times New Roman"/>
        <family val="1"/>
      </rPr>
      <t/>
    </r>
    <phoneticPr fontId="1" type="noConversion"/>
  </si>
  <si>
    <t>{$发行人信息披露事务联系人}</t>
    <phoneticPr fontId="1" type="noConversion"/>
  </si>
  <si>
    <t>张俊辉</t>
    <phoneticPr fontId="1" type="noConversion"/>
  </si>
  <si>
    <t>{$发行人信息披露事务负责人及职务}</t>
    <phoneticPr fontId="1" type="noConversion"/>
  </si>
  <si>
    <t>{$发行人信息披露事务负责人}</t>
    <phoneticPr fontId="1" type="noConversion"/>
  </si>
  <si>
    <t>保密协议</t>
    <phoneticPr fontId="1" type="noConversion"/>
  </si>
  <si>
    <t>√</t>
    <phoneticPr fontId="1" type="noConversion"/>
  </si>
  <si>
    <t>此栏勿动</t>
    <phoneticPr fontId="1" type="noConversion"/>
  </si>
  <si>
    <t>项目负责人</t>
    <phoneticPr fontId="1" type="noConversion"/>
  </si>
  <si>
    <t>现场负责人</t>
    <phoneticPr fontId="1" type="noConversion"/>
  </si>
  <si>
    <t>{$发行人经营范围}</t>
    <phoneticPr fontId="1" type="noConversion"/>
  </si>
  <si>
    <t>{$发行人注册资本}</t>
    <phoneticPr fontId="1" type="noConversion"/>
  </si>
  <si>
    <t>{$发行人实收资本}</t>
    <phoneticPr fontId="1" type="noConversion"/>
  </si>
  <si>
    <t>{$发行人成立时间}</t>
    <phoneticPr fontId="1" type="noConversion"/>
  </si>
  <si>
    <t>上海证券交易所</t>
  </si>
  <si>
    <t>上海市浦东南路528号证券大厦</t>
  </si>
  <si>
    <t>黄红元</t>
  </si>
  <si>
    <t>021-68808888</t>
  </si>
  <si>
    <t>021-68804868</t>
  </si>
  <si>
    <t>中国证券登记结算有限责任公司上海分公司</t>
  </si>
  <si>
    <t>中国（上海）自由贸易试验区陆家嘴东路166号</t>
  </si>
  <si>
    <t>高斌</t>
  </si>
  <si>
    <t>021-68870172</t>
  </si>
  <si>
    <t>021-38874800</t>
  </si>
  <si>
    <t>上交所</t>
  </si>
  <si>
    <t>上海证券交易所固定收益平台</t>
  </si>
  <si>
    <t>红河州开发区投资建设集团有限公司2020年面向专业投资者非公开发行公司债券</t>
    <phoneticPr fontId="1" type="noConversion"/>
  </si>
  <si>
    <t>2020年面向专业投资者非公开发行公司债券</t>
  </si>
  <si>
    <r>
      <t>{$</t>
    </r>
    <r>
      <rPr>
        <sz val="12"/>
        <color rgb="FFFF0000"/>
        <rFont val="宋体"/>
        <family val="3"/>
        <charset val="134"/>
        <scheme val="minor"/>
      </rPr>
      <t>模拟变动基准日</t>
    </r>
    <r>
      <rPr>
        <sz val="12"/>
        <color rgb="FFFF0000"/>
        <rFont val="Times New Roman"/>
        <family val="1"/>
      </rPr>
      <t>}</t>
    </r>
  </si>
  <si>
    <t>{$发行总额}</t>
  </si>
  <si>
    <t>15亿元</t>
    <phoneticPr fontId="1" type="noConversion"/>
  </si>
  <si>
    <t>没有填“无”</t>
    <phoneticPr fontId="1" type="noConversion"/>
  </si>
  <si>
    <t>{$评级情况}</t>
    <phoneticPr fontId="1" type="noConversion"/>
  </si>
  <si>
    <t>{$评级结果}</t>
    <phoneticPr fontId="1" type="noConversion"/>
  </si>
  <si>
    <t>AA/无</t>
    <phoneticPr fontId="1" type="noConversion"/>
  </si>
  <si>
    <t>{$发行方式}</t>
    <phoneticPr fontId="1" type="noConversion"/>
  </si>
  <si>
    <t>非公开发行/公开发行</t>
    <phoneticPr fontId="1" type="noConversion"/>
  </si>
  <si>
    <t>T1</t>
    <phoneticPr fontId="1" type="noConversion"/>
  </si>
  <si>
    <t>T2</t>
    <phoneticPr fontId="1" type="noConversion"/>
  </si>
  <si>
    <t>T3</t>
    <phoneticPr fontId="1" type="noConversion"/>
  </si>
  <si>
    <t>T4</t>
    <phoneticPr fontId="1" type="noConversion"/>
  </si>
  <si>
    <t>昆明滇池国家旅游度假区国有资产投资经营管理（集团）有限责任公司2021年面向专业投资者非公开发行短期公司债券</t>
    <phoneticPr fontId="1" type="noConversion"/>
  </si>
  <si>
    <t>2021年面向专业投资者非公开发行短期公司债券</t>
  </si>
  <si>
    <t>20亿元</t>
    <phoneticPr fontId="1" type="noConversion"/>
  </si>
  <si>
    <t>非公开发行</t>
    <phoneticPr fontId="1" type="noConversion"/>
  </si>
  <si>
    <t>16.50亿</t>
    <phoneticPr fontId="1" type="noConversion"/>
  </si>
  <si>
    <t>本次债券募集资金扣除发行费用后，拟将16.50亿元用于偿还公司债务，其余用于补充流动资金</t>
    <phoneticPr fontId="1" type="noConversion"/>
  </si>
  <si>
    <t>无</t>
    <phoneticPr fontId="1" type="noConversion"/>
  </si>
  <si>
    <t>AA+/无债项评级</t>
    <phoneticPr fontId="1" type="noConversion"/>
  </si>
  <si>
    <t>昆明滇池国家旅游度假区国有资产投资经营管理（集团）有限责任公司</t>
  </si>
  <si>
    <t>滇池管委会</t>
    <phoneticPr fontId="1" type="noConversion"/>
  </si>
  <si>
    <t>3.50亿</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</si>
</sst>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76" formatCode="_(* #,##0.00_);_(* \(#,##0.00\);_(* &quot;-&quot;??_);_(@_)"/>
  </numFmts>
  <fonts count="20" x14ac:knownFonts="1">
    <font>
      <sz val="12"/>
      <color theme="1"/>
      <name val="宋体"/>
      <family val="2"/>
      <charset val="134"/>
      <scheme val="minor"/>
    </font>
    <font>
      <sz val="9"/>
      <name val="宋体"/>
      <family val="2"/>
      <charset val="134"/>
      <scheme val="minor"/>
    </font>
    <font>
      <sz val="12"/>
      <color theme="1"/>
      <name val="宋体"/>
      <family val="2"/>
      <charset val="134"/>
      <scheme val="minor"/>
    </font>
    <font>
      <sz val="9"/>
      <color theme="1"/>
      <name val="Times New Roman"/>
      <family val="1"/>
    </font>
    <font>
      <sz val="12"/>
      <name val="宋体"/>
      <family val="3"/>
      <charset val="134"/>
    </font>
    <font>
      <b/>
      <sz val="9"/>
      <color theme="1"/>
      <name val="宋体"/>
      <family val="3"/>
      <charset val="134"/>
    </font>
    <font>
      <sz val="10"/>
      <color rgb="FF000000"/>
      <name val="Microsoft YaHei UI"/>
      <family val="2"/>
      <charset val="134"/>
    </font>
    <font>
      <sz val="10"/>
      <color rgb="FF000000"/>
      <name val="等线"/>
      <family val="4"/>
      <charset val="134"/>
    </font>
    <font>
      <sz val="10"/>
      <color rgb="FF000000"/>
      <name val="宋体"/>
      <family val="4"/>
      <charset val="134"/>
      <scheme val="minor"/>
    </font>
    <font>
      <b/>
      <sz val="12"/>
      <name val="宋体"/>
      <family val="3"/>
      <charset val="134"/>
    </font>
    <font>
      <b/>
      <sz val="10"/>
      <color rgb="FF000000"/>
      <name val="Microsoft YaHei UI"/>
      <family val="2"/>
      <charset val="134"/>
    </font>
    <font>
      <sz val="12"/>
      <color theme="1"/>
      <name val="宋体"/>
      <family val="3"/>
      <charset val="134"/>
      <scheme val="minor"/>
    </font>
    <font>
      <b/>
      <sz val="12"/>
      <color theme="1"/>
      <name val="宋体"/>
      <family val="3"/>
      <charset val="134"/>
      <scheme val="minor"/>
    </font>
    <font>
      <sz val="12"/>
      <name val="宋体"/>
      <family val="3"/>
      <charset val="134"/>
      <scheme val="minor"/>
    </font>
    <font>
      <sz val="9"/>
      <name val="宋体"/>
      <family val="3"/>
      <charset val="134"/>
      <scheme val="minor"/>
    </font>
    <font>
      <sz val="12"/>
      <color rgb="FFFF0000"/>
      <name val="宋体"/>
      <family val="3"/>
      <charset val="134"/>
    </font>
    <font>
      <sz val="12"/>
      <color rgb="FFFF0000"/>
      <name val="宋体"/>
      <family val="3"/>
      <charset val="134"/>
      <scheme val="minor"/>
    </font>
    <font>
      <b/>
      <sz val="12"/>
      <color rgb="FFFF0000"/>
      <name val="宋体"/>
      <family val="3"/>
      <charset val="134"/>
      <scheme val="minor"/>
    </font>
    <font>
      <sz val="12"/>
      <color rgb="FFFF0000"/>
      <name val="宋体"/>
      <family val="2"/>
      <charset val="134"/>
      <scheme val="minor"/>
    </font>
    <font>
      <sz val="12"/>
      <color rgb="FFFF0000"/>
      <name val="Times New Roman"/>
      <family val="1"/>
    </font>
  </fonts>
  <fills count="7">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s>
  <borders count="1">
    <border>
      <left/>
      <right/>
      <top/>
      <bottom/>
      <diagonal/>
    </border>
  </borders>
  <cellStyleXfs count="9">
    <xf numFmtId="0" fontId="0" fillId="0" borderId="0"/>
    <xf numFmtId="43" fontId="2" fillId="0" borderId="0" applyFont="0" applyFill="0" applyBorder="0" applyAlignment="0" applyProtection="0">
      <alignment vertical="center"/>
    </xf>
    <xf numFmtId="176" fontId="2" fillId="0" borderId="0" applyFont="0" applyFill="0" applyBorder="0" applyAlignment="0" applyProtection="0">
      <alignment vertical="center"/>
    </xf>
    <xf numFmtId="0" fontId="11" fillId="0" borderId="0">
      <alignment vertical="center"/>
    </xf>
    <xf numFmtId="43" fontId="2" fillId="0" borderId="0" applyFont="0" applyFill="0" applyBorder="0" applyAlignment="0" applyProtection="0">
      <alignment vertical="center"/>
    </xf>
    <xf numFmtId="43" fontId="2" fillId="0" borderId="0" applyFont="0" applyFill="0" applyBorder="0" applyAlignment="0" applyProtection="0">
      <alignment vertical="center"/>
    </xf>
    <xf numFmtId="43" fontId="2" fillId="0" borderId="0" applyFont="0" applyFill="0" applyBorder="0" applyAlignment="0" applyProtection="0">
      <alignment vertical="center"/>
    </xf>
    <xf numFmtId="43" fontId="2" fillId="0" borderId="0" applyFont="0" applyFill="0" applyBorder="0" applyAlignment="0" applyProtection="0">
      <alignment vertical="center"/>
    </xf>
    <xf numFmtId="43" fontId="2" fillId="0" borderId="0" applyFont="0" applyFill="0" applyBorder="0" applyAlignment="0" applyProtection="0">
      <alignment vertical="center"/>
    </xf>
  </cellStyleXfs>
  <cellXfs count="63">
    <xf numFmtId="0" fontId="0" fillId="0" borderId="0" xfId="0"/>
    <xf numFmtId="0" fontId="9" fillId="4"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4" fillId="4" borderId="0" xfId="0" applyFont="1" applyFill="1" applyBorder="1" applyAlignment="1">
      <alignment vertical="center" wrapText="1"/>
    </xf>
    <xf numFmtId="0" fontId="4" fillId="0" borderId="0" xfId="0" applyFont="1" applyFill="1" applyBorder="1" applyAlignment="1">
      <alignment vertical="center" wrapText="1"/>
    </xf>
    <xf numFmtId="0" fontId="4" fillId="0" borderId="0" xfId="0" applyFont="1" applyFill="1" applyBorder="1" applyAlignment="1">
      <alignment horizontal="justify" vertical="center" wrapText="1"/>
    </xf>
    <xf numFmtId="0" fontId="4" fillId="2" borderId="0" xfId="0" applyFont="1" applyFill="1" applyBorder="1" applyAlignment="1">
      <alignment vertical="center"/>
    </xf>
    <xf numFmtId="0" fontId="9" fillId="3" borderId="0" xfId="0" applyFont="1" applyFill="1" applyBorder="1" applyAlignment="1">
      <alignment horizontal="center" vertical="center"/>
    </xf>
    <xf numFmtId="0" fontId="4" fillId="0" borderId="0" xfId="0" applyFont="1" applyFill="1" applyBorder="1" applyAlignment="1">
      <alignment vertical="center"/>
    </xf>
    <xf numFmtId="0" fontId="12" fillId="0" borderId="0" xfId="0" applyFont="1" applyFill="1" applyAlignment="1">
      <alignment vertical="center"/>
    </xf>
    <xf numFmtId="0" fontId="5" fillId="0" borderId="0" xfId="0" applyFont="1" applyFill="1" applyBorder="1" applyAlignment="1">
      <alignment horizontal="center" vertical="center"/>
    </xf>
    <xf numFmtId="0" fontId="0" fillId="0" borderId="0" xfId="0" applyFill="1" applyAlignment="1">
      <alignment vertical="center"/>
    </xf>
    <xf numFmtId="43" fontId="4" fillId="0" borderId="0" xfId="1" applyFont="1" applyFill="1" applyBorder="1" applyAlignment="1">
      <alignment vertical="center" wrapText="1"/>
    </xf>
    <xf numFmtId="43" fontId="5" fillId="0" borderId="0" xfId="1" applyFont="1" applyFill="1" applyBorder="1" applyAlignment="1">
      <alignment horizontal="center" vertical="center"/>
    </xf>
    <xf numFmtId="0" fontId="0" fillId="0" borderId="0" xfId="0" applyFill="1" applyAlignment="1">
      <alignment horizontal="center" vertical="center"/>
    </xf>
    <xf numFmtId="0" fontId="0" fillId="0" borderId="0" xfId="0" applyFill="1" applyBorder="1" applyAlignment="1">
      <alignment vertical="center"/>
    </xf>
    <xf numFmtId="0" fontId="4" fillId="0" borderId="0" xfId="0" applyFont="1" applyBorder="1" applyAlignment="1">
      <alignment vertical="center"/>
    </xf>
    <xf numFmtId="0" fontId="0" fillId="0" borderId="0" xfId="0" applyFill="1" applyBorder="1" applyAlignment="1">
      <alignment horizontal="center" vertical="center"/>
    </xf>
    <xf numFmtId="0" fontId="9" fillId="6" borderId="0" xfId="0" applyFont="1" applyFill="1" applyBorder="1" applyAlignment="1">
      <alignment horizontal="center" vertical="center" wrapText="1"/>
    </xf>
    <xf numFmtId="0" fontId="4" fillId="6" borderId="0" xfId="0" applyFont="1" applyFill="1" applyBorder="1" applyAlignment="1">
      <alignment vertical="center" wrapText="1"/>
    </xf>
    <xf numFmtId="0" fontId="4" fillId="0" borderId="0" xfId="0" applyFont="1" applyFill="1" applyBorder="1" applyAlignment="1">
      <alignment horizontal="left" vertical="center" wrapText="1"/>
    </xf>
    <xf numFmtId="0" fontId="15" fillId="2" borderId="0" xfId="0" applyFont="1" applyFill="1" applyBorder="1" applyAlignment="1">
      <alignment vertical="center"/>
    </xf>
    <xf numFmtId="0" fontId="15" fillId="6" borderId="0" xfId="0" applyFont="1" applyFill="1" applyBorder="1" applyAlignment="1">
      <alignment vertical="center" wrapText="1"/>
    </xf>
    <xf numFmtId="0" fontId="15" fillId="4" borderId="0" xfId="0" applyFont="1" applyFill="1" applyBorder="1" applyAlignment="1">
      <alignment vertical="center" wrapText="1"/>
    </xf>
    <xf numFmtId="0" fontId="15" fillId="0" borderId="0" xfId="0" applyFont="1" applyFill="1" applyBorder="1" applyAlignment="1">
      <alignment vertical="center" wrapText="1"/>
    </xf>
    <xf numFmtId="0" fontId="16" fillId="0" borderId="0" xfId="0" applyFont="1" applyFill="1" applyBorder="1" applyAlignment="1">
      <alignment vertical="center"/>
    </xf>
    <xf numFmtId="0" fontId="16" fillId="0" borderId="0" xfId="0" applyFont="1" applyFill="1" applyBorder="1" applyAlignment="1">
      <alignment horizontal="center" vertical="center"/>
    </xf>
    <xf numFmtId="0" fontId="16" fillId="5" borderId="0" xfId="0" applyFont="1" applyFill="1" applyBorder="1" applyAlignment="1">
      <alignment horizontal="center" vertical="center"/>
    </xf>
    <xf numFmtId="0" fontId="16" fillId="0" borderId="0" xfId="0" applyFont="1" applyFill="1" applyAlignment="1">
      <alignment horizontal="center" vertical="center"/>
    </xf>
    <xf numFmtId="0" fontId="16" fillId="0" borderId="0" xfId="0" applyFont="1" applyFill="1" applyAlignment="1">
      <alignment vertical="center"/>
    </xf>
    <xf numFmtId="0" fontId="17" fillId="0" borderId="0" xfId="0" applyFont="1" applyFill="1" applyBorder="1" applyAlignment="1">
      <alignment vertical="center"/>
    </xf>
    <xf numFmtId="0" fontId="17" fillId="0" borderId="0" xfId="0" applyFont="1" applyFill="1" applyBorder="1" applyAlignment="1">
      <alignment horizontal="center" vertical="center"/>
    </xf>
    <xf numFmtId="0" fontId="17" fillId="5" borderId="0" xfId="0" applyFont="1" applyFill="1" applyBorder="1" applyAlignment="1">
      <alignment horizontal="center" vertical="center"/>
    </xf>
    <xf numFmtId="0" fontId="18" fillId="0" borderId="0" xfId="0" applyFont="1" applyFill="1" applyBorder="1" applyAlignment="1">
      <alignment vertical="center"/>
    </xf>
    <xf numFmtId="0" fontId="18" fillId="0" borderId="0" xfId="0" applyFont="1" applyFill="1" applyBorder="1" applyAlignment="1">
      <alignment horizontal="center" vertical="center"/>
    </xf>
    <xf numFmtId="0" fontId="18" fillId="5" borderId="0" xfId="0" applyFont="1" applyFill="1" applyBorder="1" applyAlignment="1">
      <alignment horizontal="center" vertical="center"/>
    </xf>
    <xf numFmtId="0" fontId="15" fillId="0" borderId="0" xfId="0" applyFont="1" applyFill="1" applyBorder="1" applyAlignment="1">
      <alignment vertical="center"/>
    </xf>
    <xf numFmtId="0" fontId="15" fillId="4" borderId="0" xfId="0" applyFont="1" applyFill="1" applyBorder="1" applyAlignment="1">
      <alignment horizontal="justify" vertical="center" wrapText="1"/>
    </xf>
    <xf numFmtId="0" fontId="15" fillId="0" borderId="0" xfId="0" applyFont="1" applyFill="1" applyBorder="1" applyAlignment="1">
      <alignment horizontal="justify" vertical="center" wrapText="1"/>
    </xf>
    <xf numFmtId="0" fontId="15" fillId="0" borderId="0" xfId="0" applyFont="1" applyBorder="1" applyAlignment="1">
      <alignment vertical="center"/>
    </xf>
    <xf numFmtId="0" fontId="15" fillId="5" borderId="0" xfId="0" applyFont="1" applyFill="1" applyBorder="1" applyAlignment="1">
      <alignment horizontal="center" vertical="center"/>
    </xf>
    <xf numFmtId="43" fontId="15" fillId="4" borderId="0" xfId="1" applyFont="1" applyFill="1" applyBorder="1" applyAlignment="1">
      <alignment vertical="center" wrapText="1"/>
    </xf>
    <xf numFmtId="43" fontId="15" fillId="0" borderId="0" xfId="1" applyFont="1" applyFill="1" applyBorder="1" applyAlignment="1">
      <alignment vertical="center" wrapText="1"/>
    </xf>
    <xf numFmtId="31" fontId="15" fillId="4" borderId="0" xfId="0" applyNumberFormat="1" applyFont="1" applyFill="1" applyBorder="1" applyAlignment="1">
      <alignment horizontal="left" vertical="center" wrapText="1"/>
    </xf>
    <xf numFmtId="31" fontId="15" fillId="0" borderId="0" xfId="0" applyNumberFormat="1" applyFont="1" applyFill="1" applyBorder="1" applyAlignment="1">
      <alignment horizontal="left" vertical="center" wrapText="1"/>
    </xf>
    <xf numFmtId="0" fontId="15" fillId="4" borderId="0" xfId="0" applyFont="1" applyFill="1" applyBorder="1" applyAlignment="1">
      <alignment horizontal="left" vertical="center" wrapText="1"/>
    </xf>
    <xf numFmtId="0" fontId="15" fillId="0" borderId="0" xfId="0" applyFont="1" applyFill="1" applyBorder="1" applyAlignment="1">
      <alignment horizontal="left" vertical="center" wrapText="1"/>
    </xf>
    <xf numFmtId="0" fontId="18" fillId="0" borderId="0" xfId="0" applyFont="1" applyFill="1" applyBorder="1" applyAlignment="1">
      <alignment horizontal="left" vertical="center"/>
    </xf>
    <xf numFmtId="0" fontId="15" fillId="0" borderId="0" xfId="0" applyFont="1" applyFill="1" applyBorder="1" applyAlignment="1">
      <alignment horizontal="center" vertical="center"/>
    </xf>
    <xf numFmtId="0" fontId="15" fillId="4" borderId="0" xfId="1" applyNumberFormat="1" applyFont="1" applyFill="1" applyBorder="1" applyAlignment="1">
      <alignment vertical="center" wrapText="1"/>
    </xf>
    <xf numFmtId="0" fontId="15" fillId="0" borderId="0" xfId="1" applyNumberFormat="1" applyFont="1" applyFill="1" applyBorder="1" applyAlignment="1">
      <alignment vertical="center" wrapText="1"/>
    </xf>
    <xf numFmtId="49" fontId="15" fillId="4" borderId="0" xfId="1" applyNumberFormat="1" applyFont="1" applyFill="1" applyBorder="1" applyAlignment="1">
      <alignment vertical="center" wrapText="1"/>
    </xf>
    <xf numFmtId="49" fontId="15" fillId="0" borderId="0" xfId="1" applyNumberFormat="1" applyFont="1" applyFill="1" applyBorder="1" applyAlignment="1">
      <alignment vertical="center" wrapText="1"/>
    </xf>
    <xf numFmtId="0" fontId="15" fillId="2" borderId="0" xfId="0" applyFont="1" applyFill="1" applyBorder="1" applyAlignment="1">
      <alignment horizontal="left" vertical="center"/>
    </xf>
    <xf numFmtId="31" fontId="15" fillId="4" borderId="0" xfId="1" applyNumberFormat="1" applyFont="1" applyFill="1" applyBorder="1" applyAlignment="1">
      <alignment vertical="center" wrapText="1"/>
    </xf>
    <xf numFmtId="31" fontId="15" fillId="0" borderId="0" xfId="1" applyNumberFormat="1" applyFont="1" applyFill="1" applyBorder="1" applyAlignment="1">
      <alignment vertical="center" wrapText="1"/>
    </xf>
    <xf numFmtId="0" fontId="15" fillId="0" borderId="0" xfId="0" applyFont="1" applyBorder="1" applyAlignment="1">
      <alignment horizontal="justify"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0" fontId="13" fillId="5" borderId="0" xfId="0" applyFont="1" applyFill="1" applyBorder="1" applyAlignment="1">
      <alignment horizontal="center" vertical="center"/>
    </xf>
    <xf numFmtId="0" fontId="13" fillId="0" borderId="0" xfId="0" applyFont="1" applyFill="1" applyAlignment="1">
      <alignment horizontal="center" vertical="center"/>
    </xf>
    <xf numFmtId="0" fontId="13" fillId="0" borderId="0" xfId="0" applyFont="1" applyFill="1" applyAlignment="1">
      <alignment vertical="center"/>
    </xf>
    <xf numFmtId="0" fontId="4" fillId="4" borderId="0" xfId="0" applyFont="1" applyFill="1" applyAlignment="1">
      <alignment vertical="center" wrapText="1"/>
    </xf>
  </cellXfs>
  <cellStyles count="9">
    <cellStyle name="常规" xfId="0" builtinId="0"/>
    <cellStyle name="常规 2" xfId="3" xr:uid="{78E954D5-F980-4802-9C24-880750E80F66}"/>
    <cellStyle name="千位分隔" xfId="1" builtinId="3"/>
    <cellStyle name="千位分隔 2" xfId="2" xr:uid="{861A24F2-BEA2-482F-A39F-43F633B0BBFC}"/>
    <cellStyle name="千位分隔 2 2" xfId="5" xr:uid="{5033CF8E-800C-4076-95F6-44B591DC4405}"/>
    <cellStyle name="千位分隔 2 2 2" xfId="8" xr:uid="{C87B9D36-3AD5-48DE-B986-803B4B28757B}"/>
    <cellStyle name="千位分隔 3" xfId="4" xr:uid="{9E175CCE-9710-4118-83EA-8CCF428BA997}"/>
    <cellStyle name="千位分隔 3 2" xfId="7" xr:uid="{E2DE9788-C9DB-4611-B056-A178B1BCBE23}"/>
    <cellStyle name="千位分隔 4" xfId="6" xr:uid="{5EA2AFC0-8DED-4EF8-9DA9-8A90026DA94B}"/>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19360</xdr:colOff>
      <xdr:row>1</xdr:row>
      <xdr:rowOff>128</xdr:rowOff>
    </xdr:from>
    <xdr:to>
      <xdr:col>5</xdr:col>
      <xdr:colOff>0</xdr:colOff>
      <xdr:row>2</xdr:row>
      <xdr:rowOff>197222</xdr:rowOff>
    </xdr:to>
    <xdr:sp macro="[0]!替换" textlink="">
      <xdr:nvSpPr>
        <xdr:cNvPr id="2" name="矩形 1">
          <a:extLst>
            <a:ext uri="{FF2B5EF4-FFF2-40B4-BE49-F238E27FC236}">
              <a16:creationId xmlns:a16="http://schemas.microsoft.com/office/drawing/2014/main" id="{8620A7C4-9602-4AA0-A794-8470EC1A7FBA}"/>
            </a:ext>
          </a:extLst>
        </xdr:cNvPr>
        <xdr:cNvSpPr/>
      </xdr:nvSpPr>
      <xdr:spPr>
        <a:xfrm>
          <a:off x="7845548" y="197352"/>
          <a:ext cx="652993" cy="59154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400"/>
            <a:t>替换</a:t>
          </a:r>
        </a:p>
      </xdr:txBody>
    </xdr:sp>
    <xdr:clientData/>
  </xdr:twoCellAnchor>
  <xdr:twoCellAnchor>
    <xdr:from>
      <xdr:col>3</xdr:col>
      <xdr:colOff>2680447</xdr:colOff>
      <xdr:row>6</xdr:row>
      <xdr:rowOff>10328</xdr:rowOff>
    </xdr:from>
    <xdr:to>
      <xdr:col>4</xdr:col>
      <xdr:colOff>1335741</xdr:colOff>
      <xdr:row>9</xdr:row>
      <xdr:rowOff>17928</xdr:rowOff>
    </xdr:to>
    <xdr:sp macro="[0]!停止" textlink="">
      <xdr:nvSpPr>
        <xdr:cNvPr id="3" name="矩形 2">
          <a:extLst>
            <a:ext uri="{FF2B5EF4-FFF2-40B4-BE49-F238E27FC236}">
              <a16:creationId xmlns:a16="http://schemas.microsoft.com/office/drawing/2014/main" id="{B237A61B-9136-4E58-82DD-263C216932C9}"/>
            </a:ext>
          </a:extLst>
        </xdr:cNvPr>
        <xdr:cNvSpPr/>
      </xdr:nvSpPr>
      <xdr:spPr>
        <a:xfrm>
          <a:off x="10506635" y="1193669"/>
          <a:ext cx="1344706" cy="599271"/>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400"/>
            <a:t>停止</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785D2-87E4-45A2-96DC-9291E6DDA084}">
  <sheetPr codeName="Sheet9">
    <tabColor theme="4" tint="0.59999389629810485"/>
  </sheetPr>
  <dimension ref="A1:N179"/>
  <sheetViews>
    <sheetView tabSelected="1" zoomScale="85" zoomScaleNormal="85" workbookViewId="0">
      <pane xSplit="5" ySplit="1" topLeftCell="F2" activePane="bottomRight" state="frozen"/>
      <selection pane="topRight" activeCell="E1" sqref="E1"/>
      <selection pane="bottomLeft" activeCell="A2" sqref="A2"/>
      <selection pane="bottomRight" activeCell="C3" sqref="C3"/>
    </sheetView>
  </sheetViews>
  <sheetFormatPr defaultColWidth="8.796875" defaultRowHeight="15.6" x14ac:dyDescent="0.25"/>
  <cols>
    <col min="1" max="1" width="37.796875" style="8" customWidth="1"/>
    <col min="2" max="2" width="17.296875" style="12" customWidth="1"/>
    <col min="3" max="4" width="35.296875" style="12" customWidth="1"/>
    <col min="5" max="5" width="17.59765625" style="15" customWidth="1"/>
    <col min="6" max="6" width="10.796875" style="17" customWidth="1"/>
    <col min="7" max="8" width="6" style="17" customWidth="1"/>
    <col min="9" max="9" width="7.3984375" style="17" customWidth="1"/>
    <col min="10" max="10" width="6" style="17" customWidth="1"/>
    <col min="11" max="11" width="6" style="14" customWidth="1"/>
    <col min="12" max="16384" width="8.796875" style="11"/>
  </cols>
  <sheetData>
    <row r="1" spans="1:14" s="9" customFormat="1" x14ac:dyDescent="0.25">
      <c r="A1" s="7" t="s">
        <v>7</v>
      </c>
      <c r="B1" s="18" t="s">
        <v>249</v>
      </c>
      <c r="C1" s="1" t="s">
        <v>8</v>
      </c>
      <c r="D1" s="2" t="s">
        <v>106</v>
      </c>
      <c r="E1" s="30"/>
      <c r="F1" s="31" t="s">
        <v>247</v>
      </c>
      <c r="G1" s="32" t="s">
        <v>188</v>
      </c>
      <c r="H1" s="32" t="s">
        <v>201</v>
      </c>
      <c r="I1" s="32" t="s">
        <v>203</v>
      </c>
      <c r="J1" s="32" t="s">
        <v>202</v>
      </c>
      <c r="K1" s="10"/>
      <c r="L1" s="13"/>
      <c r="N1" s="9" t="s">
        <v>235</v>
      </c>
    </row>
    <row r="2" spans="1:14" ht="109.2" x14ac:dyDescent="0.25">
      <c r="A2" s="6" t="s">
        <v>126</v>
      </c>
      <c r="B2" s="19" t="str">
        <f t="shared" ref="B2:B24" si="0">TRIM(C2)</f>
        <v>昆明滇池国家旅游度假区国有资产投资经营管理（集团）有限责任公司2021年面向专业投资者非公开发行短期公司债券</v>
      </c>
      <c r="C2" s="62" t="s">
        <v>283</v>
      </c>
      <c r="D2" s="4" t="s">
        <v>268</v>
      </c>
      <c r="E2" s="33"/>
      <c r="F2" s="34"/>
      <c r="G2" s="34" t="s">
        <v>248</v>
      </c>
      <c r="H2" s="35" t="s">
        <v>201</v>
      </c>
      <c r="I2" s="35" t="s">
        <v>203</v>
      </c>
      <c r="J2" s="35"/>
      <c r="N2" s="11" t="str">
        <f t="shared" ref="N2:N30" si="1">A2&amp;";"&amp;B2</f>
        <v>{$本次债券全称};昆明滇池国家旅游度假区国有资产投资经营管理（集团）有限责任公司2021年面向专业投资者非公开发行短期公司债券</v>
      </c>
    </row>
    <row r="3" spans="1:14" ht="46.8" x14ac:dyDescent="0.25">
      <c r="A3" s="6" t="s">
        <v>118</v>
      </c>
      <c r="B3" s="19" t="str">
        <f t="shared" si="0"/>
        <v>2021年面向专业投资者非公开发行短期公司债券</v>
      </c>
      <c r="C3" s="3" t="s">
        <v>284</v>
      </c>
      <c r="D3" s="4" t="s">
        <v>269</v>
      </c>
      <c r="E3" s="33"/>
      <c r="F3" s="34"/>
      <c r="G3" s="35"/>
      <c r="H3" s="35" t="s">
        <v>201</v>
      </c>
      <c r="I3" s="35" t="s">
        <v>203</v>
      </c>
      <c r="J3" s="35"/>
      <c r="N3" s="11" t="str">
        <f t="shared" si="1"/>
        <v>{$本次债券含年份去公司名全称};2021年面向专业投资者非公开发行短期公司债券</v>
      </c>
    </row>
    <row r="4" spans="1:14" x14ac:dyDescent="0.25">
      <c r="A4" s="6" t="s">
        <v>271</v>
      </c>
      <c r="B4" s="19"/>
      <c r="C4" s="3" t="s">
        <v>285</v>
      </c>
      <c r="D4" s="4" t="s">
        <v>272</v>
      </c>
      <c r="E4" s="33"/>
      <c r="F4" s="34"/>
      <c r="G4" s="35"/>
      <c r="H4" s="35"/>
      <c r="I4" s="35"/>
      <c r="J4" s="35"/>
    </row>
    <row r="5" spans="1:14" s="29" customFormat="1" ht="31.2" x14ac:dyDescent="0.25">
      <c r="A5" s="21" t="s">
        <v>162</v>
      </c>
      <c r="B5" s="22" t="str">
        <f t="shared" si="0"/>
        <v/>
      </c>
      <c r="C5" s="23"/>
      <c r="D5" s="24" t="s">
        <v>227</v>
      </c>
      <c r="E5" s="25"/>
      <c r="F5" s="26"/>
      <c r="G5" s="27"/>
      <c r="H5" s="27" t="s">
        <v>201</v>
      </c>
      <c r="I5" s="27" t="s">
        <v>203</v>
      </c>
      <c r="J5" s="27"/>
      <c r="K5" s="28"/>
      <c r="N5" s="29" t="str">
        <f t="shared" si="1"/>
        <v>{$本次债券去年份全称};</v>
      </c>
    </row>
    <row r="6" spans="1:14" s="61" customFormat="1" x14ac:dyDescent="0.25">
      <c r="A6" s="6" t="s">
        <v>277</v>
      </c>
      <c r="B6" s="19"/>
      <c r="C6" s="3" t="s">
        <v>286</v>
      </c>
      <c r="D6" s="4" t="s">
        <v>278</v>
      </c>
      <c r="E6" s="57"/>
      <c r="F6" s="58"/>
      <c r="G6" s="59"/>
      <c r="H6" s="59"/>
      <c r="I6" s="59"/>
      <c r="J6" s="59"/>
      <c r="K6" s="60"/>
    </row>
    <row r="7" spans="1:14" x14ac:dyDescent="0.25">
      <c r="A7" s="21" t="s">
        <v>111</v>
      </c>
      <c r="B7" s="22" t="str">
        <f t="shared" si="0"/>
        <v/>
      </c>
      <c r="C7" s="23"/>
      <c r="D7" s="24" t="s">
        <v>81</v>
      </c>
      <c r="E7" s="33"/>
      <c r="F7" s="34" t="s">
        <v>248</v>
      </c>
      <c r="G7" s="34" t="s">
        <v>248</v>
      </c>
      <c r="H7" s="35" t="s">
        <v>201</v>
      </c>
      <c r="I7" s="35" t="s">
        <v>203</v>
      </c>
      <c r="J7" s="35"/>
      <c r="N7" s="11" t="str">
        <f t="shared" si="1"/>
        <v>{$项目类型};</v>
      </c>
    </row>
    <row r="8" spans="1:14" x14ac:dyDescent="0.25">
      <c r="A8" s="21" t="s">
        <v>133</v>
      </c>
      <c r="B8" s="22" t="str">
        <f t="shared" si="0"/>
        <v/>
      </c>
      <c r="C8" s="23"/>
      <c r="D8" s="24" t="s">
        <v>145</v>
      </c>
      <c r="E8" s="33"/>
      <c r="F8" s="34"/>
      <c r="G8" s="35"/>
      <c r="H8" s="35" t="s">
        <v>201</v>
      </c>
      <c r="I8" s="35"/>
      <c r="J8" s="35"/>
      <c r="N8" s="11" t="str">
        <f t="shared" si="1"/>
        <v>{$公司债性质};</v>
      </c>
    </row>
    <row r="9" spans="1:14" x14ac:dyDescent="0.25">
      <c r="A9" s="21" t="s">
        <v>112</v>
      </c>
      <c r="B9" s="22" t="str">
        <f t="shared" si="0"/>
        <v/>
      </c>
      <c r="C9" s="23"/>
      <c r="D9" s="24" t="s">
        <v>108</v>
      </c>
      <c r="E9" s="33"/>
      <c r="F9" s="34"/>
      <c r="G9" s="34" t="s">
        <v>248</v>
      </c>
      <c r="H9" s="35" t="s">
        <v>201</v>
      </c>
      <c r="I9" s="35"/>
      <c r="J9" s="35" t="s">
        <v>202</v>
      </c>
      <c r="N9" s="11" t="str">
        <f t="shared" si="1"/>
        <v>{$发行规模不超过};</v>
      </c>
    </row>
    <row r="10" spans="1:14" x14ac:dyDescent="0.25">
      <c r="A10" s="36" t="s">
        <v>125</v>
      </c>
      <c r="B10" s="22" t="str">
        <f t="shared" si="0"/>
        <v/>
      </c>
      <c r="C10" s="23"/>
      <c r="D10" s="24" t="s">
        <v>124</v>
      </c>
      <c r="E10" s="33"/>
      <c r="F10" s="34"/>
      <c r="G10" s="35"/>
      <c r="H10" s="35"/>
      <c r="I10" s="35"/>
      <c r="J10" s="35"/>
      <c r="N10" s="11" t="str">
        <f t="shared" si="1"/>
        <v>{$首期发行规模不超过};</v>
      </c>
    </row>
    <row r="11" spans="1:14" x14ac:dyDescent="0.25">
      <c r="A11" s="36" t="s">
        <v>9</v>
      </c>
      <c r="B11" s="22" t="str">
        <f t="shared" si="0"/>
        <v/>
      </c>
      <c r="C11" s="23"/>
      <c r="D11" s="24" t="s">
        <v>132</v>
      </c>
      <c r="E11" s="33"/>
      <c r="F11" s="34"/>
      <c r="G11" s="35"/>
      <c r="H11" s="35"/>
      <c r="I11" s="35"/>
      <c r="J11" s="35"/>
      <c r="N11" s="11" t="str">
        <f t="shared" si="1"/>
        <v>{$可超额配售不超过};</v>
      </c>
    </row>
    <row r="12" spans="1:14" x14ac:dyDescent="0.25">
      <c r="A12" s="8" t="s">
        <v>10</v>
      </c>
      <c r="B12" s="22" t="str">
        <f t="shared" si="0"/>
        <v>16.50亿</v>
      </c>
      <c r="C12" s="23" t="s">
        <v>287</v>
      </c>
      <c r="D12" s="24" t="s">
        <v>124</v>
      </c>
      <c r="E12" s="33"/>
      <c r="F12" s="34"/>
      <c r="G12" s="35"/>
      <c r="H12" s="35"/>
      <c r="I12" s="35"/>
      <c r="J12" s="35" t="s">
        <v>202</v>
      </c>
      <c r="N12" s="11" t="str">
        <f t="shared" si="1"/>
        <v>{$本期偿债规模};16.50亿</v>
      </c>
    </row>
    <row r="13" spans="1:14" x14ac:dyDescent="0.25">
      <c r="A13" s="8" t="s">
        <v>11</v>
      </c>
      <c r="B13" s="22" t="str">
        <f t="shared" si="0"/>
        <v>3.50亿</v>
      </c>
      <c r="C13" s="23" t="s">
        <v>293</v>
      </c>
      <c r="D13" s="24" t="s">
        <v>124</v>
      </c>
      <c r="E13" s="33"/>
      <c r="F13" s="34"/>
      <c r="G13" s="35"/>
      <c r="H13" s="35"/>
      <c r="I13" s="35"/>
      <c r="J13" s="35" t="s">
        <v>202</v>
      </c>
      <c r="N13" s="11" t="str">
        <f t="shared" si="1"/>
        <v>{$本期补流规模};3.50亿</v>
      </c>
    </row>
    <row r="14" spans="1:14" ht="109.2" x14ac:dyDescent="0.25">
      <c r="A14" s="6" t="s">
        <v>114</v>
      </c>
      <c r="B14" s="22" t="str">
        <f t="shared" si="0"/>
        <v>本次债券募集资金扣除发行费用后，拟将16.50亿元用于偿还公司债务，其余用于补充流动资金</v>
      </c>
      <c r="C14" s="37" t="s">
        <v>288</v>
      </c>
      <c r="D14" s="38" t="s">
        <v>134</v>
      </c>
      <c r="E14" s="33"/>
      <c r="F14" s="34" t="s">
        <v>248</v>
      </c>
      <c r="G14" s="34" t="s">
        <v>248</v>
      </c>
      <c r="H14" s="35" t="s">
        <v>201</v>
      </c>
      <c r="I14" s="35"/>
      <c r="J14" s="35" t="s">
        <v>202</v>
      </c>
      <c r="N14" s="11" t="str">
        <f t="shared" si="1"/>
        <v>{$募集资金用途};本次债券募集资金扣除发行费用后，拟将16.50亿元用于偿还公司债务，其余用于补充流动资金</v>
      </c>
    </row>
    <row r="15" spans="1:14" ht="46.8" x14ac:dyDescent="0.25">
      <c r="A15" s="16" t="s">
        <v>204</v>
      </c>
      <c r="B15" s="22" t="str">
        <f t="shared" si="0"/>
        <v>无</v>
      </c>
      <c r="C15" s="37" t="s">
        <v>289</v>
      </c>
      <c r="D15" s="5" t="s">
        <v>236</v>
      </c>
      <c r="E15" s="33"/>
      <c r="F15" s="34"/>
      <c r="G15" s="34" t="s">
        <v>248</v>
      </c>
      <c r="H15" s="35"/>
      <c r="I15" s="35"/>
      <c r="J15" s="35" t="s">
        <v>202</v>
      </c>
      <c r="N15" s="11" t="str">
        <f t="shared" si="1"/>
        <v>{$增信方式};无</v>
      </c>
    </row>
    <row r="16" spans="1:14" ht="31.2" x14ac:dyDescent="0.25">
      <c r="A16" s="39" t="s">
        <v>274</v>
      </c>
      <c r="B16" s="22" t="str">
        <f t="shared" si="0"/>
        <v/>
      </c>
      <c r="C16" s="37"/>
      <c r="D16" s="38" t="s">
        <v>228</v>
      </c>
      <c r="E16" s="33"/>
      <c r="F16" s="34"/>
      <c r="G16" s="35"/>
      <c r="H16" s="35"/>
      <c r="I16" s="35"/>
      <c r="J16" s="35"/>
      <c r="N16" s="11" t="str">
        <f t="shared" si="1"/>
        <v>{$评级情况};</v>
      </c>
    </row>
    <row r="17" spans="1:14" x14ac:dyDescent="0.25">
      <c r="A17" s="16" t="s">
        <v>275</v>
      </c>
      <c r="B17" s="22"/>
      <c r="C17" s="37" t="s">
        <v>290</v>
      </c>
      <c r="D17" s="5" t="s">
        <v>276</v>
      </c>
      <c r="E17" s="33"/>
      <c r="F17" s="34"/>
      <c r="G17" s="35"/>
      <c r="H17" s="35"/>
      <c r="I17" s="35"/>
      <c r="J17" s="35"/>
    </row>
    <row r="18" spans="1:14" x14ac:dyDescent="0.25">
      <c r="A18" s="36" t="s">
        <v>12</v>
      </c>
      <c r="B18" s="22" t="str">
        <f t="shared" si="0"/>
        <v/>
      </c>
      <c r="C18" s="23"/>
      <c r="D18" s="24" t="s">
        <v>64</v>
      </c>
      <c r="E18" s="33"/>
      <c r="F18" s="34"/>
      <c r="G18" s="35"/>
      <c r="H18" s="35"/>
      <c r="I18" s="35"/>
      <c r="J18" s="35"/>
      <c r="N18" s="11" t="str">
        <f t="shared" si="1"/>
        <v>{$承销方式};</v>
      </c>
    </row>
    <row r="19" spans="1:14" x14ac:dyDescent="0.25">
      <c r="A19" s="21" t="s">
        <v>113</v>
      </c>
      <c r="B19" s="22" t="str">
        <f t="shared" si="0"/>
        <v/>
      </c>
      <c r="C19" s="23"/>
      <c r="D19" s="24" t="s">
        <v>65</v>
      </c>
      <c r="E19" s="33"/>
      <c r="F19" s="34"/>
      <c r="G19" s="34" t="s">
        <v>248</v>
      </c>
      <c r="H19" s="35" t="s">
        <v>201</v>
      </c>
      <c r="I19" s="35"/>
      <c r="J19" s="35" t="s">
        <v>202</v>
      </c>
      <c r="N19" s="11" t="str">
        <f t="shared" si="1"/>
        <v>{$发行期限文字表述};</v>
      </c>
    </row>
    <row r="20" spans="1:14" x14ac:dyDescent="0.25">
      <c r="A20" s="21" t="s">
        <v>13</v>
      </c>
      <c r="B20" s="22" t="str">
        <f t="shared" si="0"/>
        <v/>
      </c>
      <c r="C20" s="23"/>
      <c r="D20" s="24" t="s">
        <v>66</v>
      </c>
      <c r="E20" s="33"/>
      <c r="F20" s="34"/>
      <c r="G20" s="35"/>
      <c r="H20" s="35" t="s">
        <v>201</v>
      </c>
      <c r="I20" s="35"/>
      <c r="J20" s="35"/>
      <c r="N20" s="11" t="str">
        <f t="shared" si="1"/>
        <v>{$债券年份};</v>
      </c>
    </row>
    <row r="21" spans="1:14" ht="62.4" x14ac:dyDescent="0.25">
      <c r="A21" s="6" t="s">
        <v>1</v>
      </c>
      <c r="B21" s="19" t="str">
        <f t="shared" si="0"/>
        <v>昆明滇池国家旅游度假区国有资产投资经营管理（集团）有限责任公司</v>
      </c>
      <c r="C21" s="3" t="s">
        <v>291</v>
      </c>
      <c r="D21" s="4" t="s">
        <v>67</v>
      </c>
      <c r="E21" s="33"/>
      <c r="F21" s="34" t="s">
        <v>248</v>
      </c>
      <c r="G21" s="34" t="s">
        <v>248</v>
      </c>
      <c r="H21" s="35" t="s">
        <v>201</v>
      </c>
      <c r="I21" s="35" t="s">
        <v>203</v>
      </c>
      <c r="J21" s="35" t="s">
        <v>202</v>
      </c>
      <c r="N21" s="11" t="str">
        <f t="shared" si="1"/>
        <v>{$发行人};昆明滇池国家旅游度假区国有资产投资经营管理（集团）有限责任公司</v>
      </c>
    </row>
    <row r="22" spans="1:14" x14ac:dyDescent="0.25">
      <c r="A22" s="21" t="s">
        <v>84</v>
      </c>
      <c r="B22" s="22" t="str">
        <f t="shared" si="0"/>
        <v/>
      </c>
      <c r="C22" s="23"/>
      <c r="D22" s="24" t="s">
        <v>109</v>
      </c>
      <c r="E22" s="33"/>
      <c r="F22" s="34"/>
      <c r="G22" s="34" t="s">
        <v>248</v>
      </c>
      <c r="H22" s="35"/>
      <c r="I22" s="35"/>
      <c r="J22" s="35"/>
      <c r="N22" s="11" t="str">
        <f t="shared" si="1"/>
        <v>{$发行人简称};</v>
      </c>
    </row>
    <row r="23" spans="1:14" x14ac:dyDescent="0.25">
      <c r="A23" s="36" t="s">
        <v>253</v>
      </c>
      <c r="B23" s="22" t="str">
        <f t="shared" si="0"/>
        <v/>
      </c>
      <c r="C23" s="23"/>
      <c r="D23" s="24" t="s">
        <v>233</v>
      </c>
      <c r="E23" s="33"/>
      <c r="F23" s="34"/>
      <c r="G23" s="34" t="s">
        <v>248</v>
      </c>
      <c r="H23" s="35"/>
      <c r="I23" s="35"/>
      <c r="J23" s="35"/>
      <c r="N23" s="11" t="str">
        <f t="shared" si="1"/>
        <v>{$发行人注册资本};</v>
      </c>
    </row>
    <row r="24" spans="1:14" x14ac:dyDescent="0.25">
      <c r="A24" s="36" t="s">
        <v>254</v>
      </c>
      <c r="B24" s="22" t="str">
        <f t="shared" si="0"/>
        <v/>
      </c>
      <c r="C24" s="23"/>
      <c r="D24" s="24" t="s">
        <v>234</v>
      </c>
      <c r="E24" s="33"/>
      <c r="F24" s="34"/>
      <c r="G24" s="34" t="s">
        <v>248</v>
      </c>
      <c r="H24" s="35"/>
      <c r="I24" s="35"/>
      <c r="J24" s="35"/>
      <c r="N24" s="11" t="str">
        <f t="shared" si="1"/>
        <v>{$发行人实收资本};</v>
      </c>
    </row>
    <row r="25" spans="1:14" ht="31.2" x14ac:dyDescent="0.25">
      <c r="A25" s="21" t="s">
        <v>121</v>
      </c>
      <c r="B25" s="22" t="str">
        <f t="shared" ref="B25:B90" si="2">TRIM(C25)</f>
        <v/>
      </c>
      <c r="C25" s="37"/>
      <c r="D25" s="38" t="s">
        <v>82</v>
      </c>
      <c r="E25" s="33"/>
      <c r="F25" s="34" t="s">
        <v>248</v>
      </c>
      <c r="G25" s="34" t="s">
        <v>248</v>
      </c>
      <c r="H25" s="35" t="s">
        <v>201</v>
      </c>
      <c r="I25" s="35" t="s">
        <v>203</v>
      </c>
      <c r="J25" s="35"/>
      <c r="N25" s="11" t="str">
        <f t="shared" si="1"/>
        <v>{$发行人住所};</v>
      </c>
    </row>
    <row r="26" spans="1:14" ht="31.2" x14ac:dyDescent="0.25">
      <c r="A26" s="21" t="s">
        <v>0</v>
      </c>
      <c r="B26" s="22" t="str">
        <f t="shared" si="2"/>
        <v/>
      </c>
      <c r="C26" s="37"/>
      <c r="D26" s="38" t="s">
        <v>82</v>
      </c>
      <c r="E26" s="33"/>
      <c r="F26" s="34"/>
      <c r="G26" s="35"/>
      <c r="H26" s="35" t="s">
        <v>201</v>
      </c>
      <c r="I26" s="35"/>
      <c r="J26" s="35"/>
      <c r="N26" s="11" t="str">
        <f t="shared" si="1"/>
        <v>{$发行人联系地址};</v>
      </c>
    </row>
    <row r="27" spans="1:14" x14ac:dyDescent="0.25">
      <c r="A27" s="21" t="s">
        <v>120</v>
      </c>
      <c r="B27" s="22" t="str">
        <f t="shared" si="2"/>
        <v/>
      </c>
      <c r="C27" s="23"/>
      <c r="D27" s="24" t="s">
        <v>68</v>
      </c>
      <c r="E27" s="33"/>
      <c r="F27" s="34" t="s">
        <v>248</v>
      </c>
      <c r="G27" s="34" t="s">
        <v>248</v>
      </c>
      <c r="H27" s="35" t="s">
        <v>201</v>
      </c>
      <c r="I27" s="35" t="s">
        <v>203</v>
      </c>
      <c r="J27" s="35"/>
      <c r="N27" s="11" t="str">
        <f t="shared" si="1"/>
        <v>{$发行人法定代表人};</v>
      </c>
    </row>
    <row r="28" spans="1:14" x14ac:dyDescent="0.25">
      <c r="A28" s="36" t="s">
        <v>15</v>
      </c>
      <c r="B28" s="22" t="str">
        <f>TRIM(C28)</f>
        <v/>
      </c>
      <c r="C28" s="23"/>
      <c r="D28" s="24" t="s">
        <v>69</v>
      </c>
      <c r="E28" s="33"/>
      <c r="F28" s="34"/>
      <c r="G28" s="40"/>
      <c r="H28" s="40"/>
      <c r="I28" s="40"/>
      <c r="J28" s="35"/>
      <c r="N28" s="11" t="str">
        <f t="shared" si="1"/>
        <v>{$发行人信用代码};</v>
      </c>
    </row>
    <row r="29" spans="1:14" x14ac:dyDescent="0.25">
      <c r="A29" s="36" t="s">
        <v>163</v>
      </c>
      <c r="B29" s="22" t="str">
        <f>TRIM(C29)</f>
        <v/>
      </c>
      <c r="C29" s="23"/>
      <c r="D29" s="24"/>
      <c r="E29" s="33"/>
      <c r="F29" s="34"/>
      <c r="G29" s="40"/>
      <c r="H29" s="40"/>
      <c r="I29" s="40"/>
      <c r="J29" s="35" t="s">
        <v>202</v>
      </c>
      <c r="N29" s="11" t="str">
        <f t="shared" si="1"/>
        <v>{$发行人所属行业};</v>
      </c>
    </row>
    <row r="30" spans="1:14" x14ac:dyDescent="0.25">
      <c r="A30" s="21" t="s">
        <v>14</v>
      </c>
      <c r="B30" s="22" t="str">
        <f t="shared" si="2"/>
        <v/>
      </c>
      <c r="C30" s="41"/>
      <c r="D30" s="42" t="s">
        <v>115</v>
      </c>
      <c r="E30" s="33"/>
      <c r="F30" s="34"/>
      <c r="G30" s="35"/>
      <c r="H30" s="35" t="s">
        <v>201</v>
      </c>
      <c r="I30" s="35"/>
      <c r="J30" s="35"/>
      <c r="N30" s="11" t="str">
        <f t="shared" si="1"/>
        <v>{$发行人公司类型};</v>
      </c>
    </row>
    <row r="31" spans="1:14" x14ac:dyDescent="0.25">
      <c r="A31" s="36" t="s">
        <v>255</v>
      </c>
      <c r="B31" s="22" t="str">
        <f>TEXT(TRIM(C31),"yyyy年mm月dd日")</f>
        <v/>
      </c>
      <c r="C31" s="43"/>
      <c r="D31" s="44">
        <v>38338</v>
      </c>
      <c r="E31" s="33"/>
      <c r="F31" s="34" t="s">
        <v>248</v>
      </c>
      <c r="G31" s="40"/>
      <c r="H31" s="40"/>
      <c r="I31" s="40"/>
      <c r="J31" s="35"/>
      <c r="N31" s="11" t="str">
        <f>A31&amp;";"&amp;TEXT(B31,"yyyy年mm月dd日")</f>
        <v>{$发行人成立时间};</v>
      </c>
    </row>
    <row r="32" spans="1:14" x14ac:dyDescent="0.25">
      <c r="A32" s="36" t="s">
        <v>245</v>
      </c>
      <c r="B32" s="22" t="str">
        <f t="shared" si="2"/>
        <v/>
      </c>
      <c r="C32" s="23"/>
      <c r="D32" s="24" t="s">
        <v>70</v>
      </c>
      <c r="E32" s="33"/>
      <c r="F32" s="34"/>
      <c r="G32" s="40"/>
      <c r="H32" s="40"/>
      <c r="I32" s="40"/>
      <c r="J32" s="35"/>
      <c r="N32" s="11" t="str">
        <f>A32&amp;";"&amp;B32</f>
        <v>{$发行人信息披露事务负责人及职务};</v>
      </c>
    </row>
    <row r="33" spans="1:14" x14ac:dyDescent="0.25">
      <c r="A33" s="36" t="s">
        <v>246</v>
      </c>
      <c r="B33" s="22"/>
      <c r="C33" s="23"/>
      <c r="D33" s="24"/>
      <c r="E33" s="33"/>
      <c r="F33" s="34"/>
      <c r="G33" s="40"/>
      <c r="H33" s="40"/>
      <c r="I33" s="40"/>
      <c r="J33" s="35"/>
    </row>
    <row r="34" spans="1:14" x14ac:dyDescent="0.25">
      <c r="A34" s="36" t="s">
        <v>243</v>
      </c>
      <c r="B34" s="22" t="str">
        <f t="shared" si="2"/>
        <v/>
      </c>
      <c r="C34" s="23"/>
      <c r="D34" s="24" t="s">
        <v>244</v>
      </c>
      <c r="E34" s="33"/>
      <c r="F34" s="34"/>
      <c r="G34" s="35"/>
      <c r="H34" s="35"/>
      <c r="I34" s="35"/>
      <c r="J34" s="35"/>
      <c r="N34" s="11" t="str">
        <f t="shared" ref="N34:N65" si="3">A34&amp;";"&amp;B34</f>
        <v>{$发行人信息披露事务联系人};</v>
      </c>
    </row>
    <row r="35" spans="1:14" x14ac:dyDescent="0.25">
      <c r="A35" s="21" t="s">
        <v>143</v>
      </c>
      <c r="B35" s="22" t="str">
        <f t="shared" si="2"/>
        <v/>
      </c>
      <c r="C35" s="41"/>
      <c r="D35" s="42"/>
      <c r="E35" s="33"/>
      <c r="F35" s="34"/>
      <c r="G35" s="35"/>
      <c r="H35" s="35" t="s">
        <v>201</v>
      </c>
      <c r="I35" s="35"/>
      <c r="J35" s="35"/>
      <c r="N35" s="11" t="str">
        <f t="shared" si="3"/>
        <v>{$发行人协议联系人};</v>
      </c>
    </row>
    <row r="36" spans="1:14" x14ac:dyDescent="0.25">
      <c r="A36" s="21" t="s">
        <v>130</v>
      </c>
      <c r="B36" s="22" t="str">
        <f t="shared" si="2"/>
        <v/>
      </c>
      <c r="C36" s="23"/>
      <c r="D36" s="24" t="s">
        <v>71</v>
      </c>
      <c r="E36" s="33"/>
      <c r="F36" s="34"/>
      <c r="G36" s="35"/>
      <c r="H36" s="35" t="s">
        <v>201</v>
      </c>
      <c r="I36" s="35"/>
      <c r="J36" s="35"/>
      <c r="N36" s="11" t="str">
        <f t="shared" si="3"/>
        <v>{$发行人电话};</v>
      </c>
    </row>
    <row r="37" spans="1:14" x14ac:dyDescent="0.25">
      <c r="A37" s="21" t="s">
        <v>131</v>
      </c>
      <c r="B37" s="22" t="str">
        <f t="shared" si="2"/>
        <v/>
      </c>
      <c r="C37" s="23"/>
      <c r="D37" s="24" t="s">
        <v>71</v>
      </c>
      <c r="E37" s="33"/>
      <c r="F37" s="34"/>
      <c r="G37" s="35"/>
      <c r="H37" s="35" t="s">
        <v>201</v>
      </c>
      <c r="I37" s="35"/>
      <c r="J37" s="35"/>
      <c r="N37" s="11" t="str">
        <f t="shared" si="3"/>
        <v>{$发行人传真};</v>
      </c>
    </row>
    <row r="38" spans="1:14" x14ac:dyDescent="0.25">
      <c r="A38" s="21" t="s">
        <v>129</v>
      </c>
      <c r="B38" s="22" t="str">
        <f t="shared" si="2"/>
        <v/>
      </c>
      <c r="C38" s="45"/>
      <c r="D38" s="46">
        <v>661100</v>
      </c>
      <c r="E38" s="33"/>
      <c r="F38" s="34"/>
      <c r="G38" s="35"/>
      <c r="H38" s="35" t="s">
        <v>201</v>
      </c>
      <c r="I38" s="35"/>
      <c r="J38" s="35"/>
      <c r="N38" s="11" t="str">
        <f t="shared" si="3"/>
        <v>{$发行人邮编};</v>
      </c>
    </row>
    <row r="39" spans="1:14" ht="140.4" x14ac:dyDescent="0.25">
      <c r="A39" s="36" t="s">
        <v>252</v>
      </c>
      <c r="B39" s="22" t="str">
        <f t="shared" si="2"/>
        <v/>
      </c>
      <c r="C39" s="23"/>
      <c r="D39" s="24" t="s">
        <v>72</v>
      </c>
      <c r="E39" s="33"/>
      <c r="F39" s="34" t="s">
        <v>248</v>
      </c>
      <c r="G39" s="35"/>
      <c r="H39" s="35"/>
      <c r="I39" s="35"/>
      <c r="J39" s="35"/>
      <c r="N39" s="11" t="str">
        <f t="shared" si="3"/>
        <v>{$发行人经营范围};</v>
      </c>
    </row>
    <row r="40" spans="1:14" ht="31.2" x14ac:dyDescent="0.25">
      <c r="A40" s="36" t="s">
        <v>16</v>
      </c>
      <c r="B40" s="22" t="str">
        <f t="shared" si="2"/>
        <v/>
      </c>
      <c r="C40" s="23"/>
      <c r="D40" s="24" t="s">
        <v>73</v>
      </c>
      <c r="E40" s="33"/>
      <c r="F40" s="34"/>
      <c r="G40" s="35"/>
      <c r="H40" s="35"/>
      <c r="I40" s="35"/>
      <c r="J40" s="35" t="s">
        <v>202</v>
      </c>
      <c r="N40" s="11" t="str">
        <f t="shared" si="3"/>
        <v>{$发行人实际控制人};</v>
      </c>
    </row>
    <row r="41" spans="1:14" ht="31.2" x14ac:dyDescent="0.25">
      <c r="A41" s="36" t="s">
        <v>17</v>
      </c>
      <c r="B41" s="22" t="str">
        <f t="shared" si="2"/>
        <v/>
      </c>
      <c r="C41" s="23"/>
      <c r="D41" s="24" t="s">
        <v>73</v>
      </c>
      <c r="E41" s="33"/>
      <c r="F41" s="34"/>
      <c r="G41" s="35"/>
      <c r="H41" s="35"/>
      <c r="I41" s="35"/>
      <c r="J41" s="35" t="s">
        <v>202</v>
      </c>
      <c r="N41" s="11" t="str">
        <f t="shared" si="3"/>
        <v>{$发行人控股股东};</v>
      </c>
    </row>
    <row r="42" spans="1:14" x14ac:dyDescent="0.25">
      <c r="A42" s="39" t="s">
        <v>185</v>
      </c>
      <c r="B42" s="22" t="str">
        <f t="shared" si="2"/>
        <v/>
      </c>
      <c r="C42" s="23"/>
      <c r="D42" s="24" t="s">
        <v>229</v>
      </c>
      <c r="E42" s="33"/>
      <c r="F42" s="34"/>
      <c r="G42" s="35"/>
      <c r="H42" s="35"/>
      <c r="I42" s="35"/>
      <c r="J42" s="35" t="s">
        <v>202</v>
      </c>
      <c r="N42" s="11" t="str">
        <f t="shared" si="3"/>
        <v>{$股东类型};</v>
      </c>
    </row>
    <row r="43" spans="1:14" ht="31.2" x14ac:dyDescent="0.25">
      <c r="A43" s="8" t="s">
        <v>57</v>
      </c>
      <c r="B43" s="19" t="str">
        <f t="shared" si="2"/>
        <v>红塔证券股份有限公司</v>
      </c>
      <c r="C43" s="4" t="s">
        <v>74</v>
      </c>
      <c r="D43" s="4" t="s">
        <v>74</v>
      </c>
      <c r="E43" s="33"/>
      <c r="F43" s="34"/>
      <c r="G43" s="35"/>
      <c r="H43" s="35" t="s">
        <v>201</v>
      </c>
      <c r="I43" s="35" t="s">
        <v>203</v>
      </c>
      <c r="J43" s="35" t="s">
        <v>202</v>
      </c>
      <c r="N43" s="11" t="str">
        <f t="shared" si="3"/>
        <v>{$主承销商};红塔证券股份有限公司</v>
      </c>
    </row>
    <row r="44" spans="1:14" x14ac:dyDescent="0.25">
      <c r="A44" s="36" t="s">
        <v>159</v>
      </c>
      <c r="B44" s="22" t="str">
        <f t="shared" si="2"/>
        <v/>
      </c>
      <c r="C44" s="23"/>
      <c r="D44" s="24" t="s">
        <v>230</v>
      </c>
      <c r="E44" s="33"/>
      <c r="F44" s="34"/>
      <c r="G44" s="35"/>
      <c r="H44" s="35" t="s">
        <v>201</v>
      </c>
      <c r="I44" s="35"/>
      <c r="J44" s="35" t="s">
        <v>202</v>
      </c>
      <c r="N44" s="11" t="str">
        <f t="shared" si="3"/>
        <v>{$主承销商简称};</v>
      </c>
    </row>
    <row r="45" spans="1:14" x14ac:dyDescent="0.25">
      <c r="A45" s="36" t="s">
        <v>123</v>
      </c>
      <c r="B45" s="22" t="str">
        <f t="shared" si="2"/>
        <v/>
      </c>
      <c r="C45" s="23"/>
      <c r="D45" s="24" t="s">
        <v>75</v>
      </c>
      <c r="E45" s="33"/>
      <c r="F45" s="34"/>
      <c r="G45" s="35"/>
      <c r="H45" s="35" t="s">
        <v>201</v>
      </c>
      <c r="I45" s="35" t="s">
        <v>203</v>
      </c>
      <c r="J45" s="35"/>
      <c r="N45" s="11" t="str">
        <f t="shared" si="3"/>
        <v>{$主承销商住所};</v>
      </c>
    </row>
    <row r="46" spans="1:14" x14ac:dyDescent="0.25">
      <c r="A46" s="36" t="s">
        <v>58</v>
      </c>
      <c r="B46" s="22" t="str">
        <f t="shared" si="2"/>
        <v/>
      </c>
      <c r="C46" s="23"/>
      <c r="D46" s="24" t="s">
        <v>75</v>
      </c>
      <c r="E46" s="33"/>
      <c r="F46" s="34"/>
      <c r="G46" s="35"/>
      <c r="H46" s="35" t="s">
        <v>201</v>
      </c>
      <c r="I46" s="35"/>
      <c r="J46" s="35"/>
      <c r="N46" s="11" t="str">
        <f t="shared" si="3"/>
        <v>{$主承销商联系地址};</v>
      </c>
    </row>
    <row r="47" spans="1:14" x14ac:dyDescent="0.25">
      <c r="A47" s="36" t="s">
        <v>122</v>
      </c>
      <c r="B47" s="22" t="str">
        <f t="shared" si="2"/>
        <v/>
      </c>
      <c r="C47" s="23"/>
      <c r="D47" s="24" t="s">
        <v>76</v>
      </c>
      <c r="E47" s="33"/>
      <c r="F47" s="34"/>
      <c r="G47" s="35"/>
      <c r="H47" s="35" t="s">
        <v>201</v>
      </c>
      <c r="I47" s="35" t="s">
        <v>203</v>
      </c>
      <c r="J47" s="35"/>
      <c r="N47" s="11" t="str">
        <f t="shared" si="3"/>
        <v>{$主承销商法定代表人};</v>
      </c>
    </row>
    <row r="48" spans="1:14" x14ac:dyDescent="0.25">
      <c r="A48" s="36" t="s">
        <v>18</v>
      </c>
      <c r="B48" s="22" t="str">
        <f t="shared" si="2"/>
        <v/>
      </c>
      <c r="C48" s="23"/>
      <c r="D48" s="24" t="s">
        <v>77</v>
      </c>
      <c r="E48" s="33"/>
      <c r="F48" s="34"/>
      <c r="G48" s="35"/>
      <c r="H48" s="35"/>
      <c r="I48" s="35"/>
      <c r="J48" s="35"/>
      <c r="N48" s="11" t="str">
        <f t="shared" si="3"/>
        <v>{$主承销商联系人};</v>
      </c>
    </row>
    <row r="49" spans="1:14" x14ac:dyDescent="0.25">
      <c r="A49" s="36" t="s">
        <v>19</v>
      </c>
      <c r="B49" s="22" t="str">
        <f t="shared" si="2"/>
        <v/>
      </c>
      <c r="C49" s="23"/>
      <c r="D49" s="24" t="s">
        <v>78</v>
      </c>
      <c r="E49" s="33"/>
      <c r="F49" s="34"/>
      <c r="G49" s="35"/>
      <c r="H49" s="35" t="s">
        <v>201</v>
      </c>
      <c r="I49" s="35"/>
      <c r="J49" s="35"/>
      <c r="N49" s="11" t="str">
        <f t="shared" si="3"/>
        <v>{$主承销商电话};</v>
      </c>
    </row>
    <row r="50" spans="1:14" x14ac:dyDescent="0.25">
      <c r="A50" s="36" t="s">
        <v>20</v>
      </c>
      <c r="B50" s="22" t="str">
        <f t="shared" si="2"/>
        <v/>
      </c>
      <c r="C50" s="23"/>
      <c r="D50" s="24" t="s">
        <v>78</v>
      </c>
      <c r="E50" s="33"/>
      <c r="F50" s="34"/>
      <c r="G50" s="35"/>
      <c r="H50" s="35" t="s">
        <v>201</v>
      </c>
      <c r="I50" s="35"/>
      <c r="J50" s="35"/>
      <c r="N50" s="11" t="str">
        <f t="shared" si="3"/>
        <v>{$主承销商传真};</v>
      </c>
    </row>
    <row r="51" spans="1:14" x14ac:dyDescent="0.25">
      <c r="A51" s="36" t="s">
        <v>21</v>
      </c>
      <c r="B51" s="22" t="str">
        <f t="shared" si="2"/>
        <v/>
      </c>
      <c r="C51" s="45"/>
      <c r="D51" s="46">
        <v>650011</v>
      </c>
      <c r="E51" s="33"/>
      <c r="F51" s="34"/>
      <c r="G51" s="35"/>
      <c r="H51" s="35" t="s">
        <v>201</v>
      </c>
      <c r="I51" s="35"/>
      <c r="J51" s="35"/>
      <c r="N51" s="11" t="str">
        <f t="shared" si="3"/>
        <v>{$主承销商邮编};</v>
      </c>
    </row>
    <row r="52" spans="1:14" x14ac:dyDescent="0.25">
      <c r="A52" s="36" t="s">
        <v>22</v>
      </c>
      <c r="B52" s="22" t="str">
        <f t="shared" si="2"/>
        <v/>
      </c>
      <c r="C52" s="23"/>
      <c r="D52" s="24" t="s">
        <v>79</v>
      </c>
      <c r="E52" s="33"/>
      <c r="F52" s="34"/>
      <c r="G52" s="35"/>
      <c r="H52" s="35" t="s">
        <v>201</v>
      </c>
      <c r="I52" s="35" t="s">
        <v>203</v>
      </c>
      <c r="J52" s="35"/>
      <c r="N52" s="11" t="str">
        <f t="shared" si="3"/>
        <v>{$主承销商项目负责人A};</v>
      </c>
    </row>
    <row r="53" spans="1:14" x14ac:dyDescent="0.25">
      <c r="A53" s="36" t="s">
        <v>23</v>
      </c>
      <c r="B53" s="22" t="str">
        <f t="shared" si="2"/>
        <v/>
      </c>
      <c r="C53" s="23"/>
      <c r="D53" s="24" t="s">
        <v>80</v>
      </c>
      <c r="E53" s="33"/>
      <c r="F53" s="34"/>
      <c r="G53" s="35"/>
      <c r="H53" s="35" t="s">
        <v>201</v>
      </c>
      <c r="I53" s="35" t="s">
        <v>203</v>
      </c>
      <c r="J53" s="35"/>
      <c r="N53" s="11" t="str">
        <f t="shared" si="3"/>
        <v>{$主承销商项目负责人B};</v>
      </c>
    </row>
    <row r="54" spans="1:14" ht="31.2" x14ac:dyDescent="0.25">
      <c r="A54" s="6" t="s">
        <v>24</v>
      </c>
      <c r="B54" s="19" t="str">
        <f t="shared" si="2"/>
        <v>红塔证券股份有限公司</v>
      </c>
      <c r="C54" s="4" t="s">
        <v>74</v>
      </c>
      <c r="D54" s="4" t="s">
        <v>74</v>
      </c>
      <c r="E54" s="33"/>
      <c r="F54" s="34"/>
      <c r="G54" s="35"/>
      <c r="H54" s="35" t="s">
        <v>201</v>
      </c>
      <c r="I54" s="35"/>
      <c r="J54" s="35" t="s">
        <v>202</v>
      </c>
      <c r="N54" s="11" t="str">
        <f t="shared" si="3"/>
        <v>{$受托管理人};红塔证券股份有限公司</v>
      </c>
    </row>
    <row r="55" spans="1:14" x14ac:dyDescent="0.25">
      <c r="A55" s="21" t="s">
        <v>160</v>
      </c>
      <c r="B55" s="22" t="str">
        <f t="shared" si="2"/>
        <v/>
      </c>
      <c r="C55" s="23"/>
      <c r="D55" s="24" t="s">
        <v>230</v>
      </c>
      <c r="E55" s="33"/>
      <c r="F55" s="34"/>
      <c r="G55" s="35"/>
      <c r="H55" s="35" t="s">
        <v>201</v>
      </c>
      <c r="I55" s="35"/>
      <c r="J55" s="35" t="s">
        <v>202</v>
      </c>
      <c r="N55" s="11" t="str">
        <f t="shared" si="3"/>
        <v>{$受托管理人简称};</v>
      </c>
    </row>
    <row r="56" spans="1:14" x14ac:dyDescent="0.25">
      <c r="A56" s="21" t="s">
        <v>25</v>
      </c>
      <c r="B56" s="22" t="str">
        <f t="shared" si="2"/>
        <v/>
      </c>
      <c r="C56" s="23"/>
      <c r="D56" s="24" t="s">
        <v>76</v>
      </c>
      <c r="E56" s="33"/>
      <c r="F56" s="34"/>
      <c r="G56" s="35"/>
      <c r="H56" s="35" t="s">
        <v>201</v>
      </c>
      <c r="I56" s="35"/>
      <c r="J56" s="35"/>
      <c r="N56" s="11" t="str">
        <f t="shared" si="3"/>
        <v>{$受托管理人法定代表人};</v>
      </c>
    </row>
    <row r="57" spans="1:14" x14ac:dyDescent="0.25">
      <c r="A57" s="21" t="s">
        <v>2</v>
      </c>
      <c r="B57" s="22" t="str">
        <f t="shared" si="2"/>
        <v/>
      </c>
      <c r="C57" s="23"/>
      <c r="D57" s="24" t="s">
        <v>75</v>
      </c>
      <c r="E57" s="33"/>
      <c r="F57" s="34"/>
      <c r="G57" s="35"/>
      <c r="H57" s="35" t="s">
        <v>201</v>
      </c>
      <c r="I57" s="35"/>
      <c r="J57" s="35"/>
      <c r="N57" s="11" t="str">
        <f t="shared" si="3"/>
        <v>{$受托管理人住所};</v>
      </c>
    </row>
    <row r="58" spans="1:14" x14ac:dyDescent="0.25">
      <c r="A58" s="36" t="s">
        <v>3</v>
      </c>
      <c r="B58" s="22" t="str">
        <f t="shared" si="2"/>
        <v/>
      </c>
      <c r="C58" s="23"/>
      <c r="D58" s="24" t="s">
        <v>75</v>
      </c>
      <c r="E58" s="33"/>
      <c r="F58" s="34"/>
      <c r="G58" s="35"/>
      <c r="H58" s="35" t="s">
        <v>201</v>
      </c>
      <c r="I58" s="35"/>
      <c r="J58" s="35"/>
      <c r="N58" s="11" t="str">
        <f t="shared" si="3"/>
        <v>{$受托管理人联系地址};</v>
      </c>
    </row>
    <row r="59" spans="1:14" x14ac:dyDescent="0.25">
      <c r="A59" s="36" t="s">
        <v>4</v>
      </c>
      <c r="B59" s="22" t="str">
        <f t="shared" si="2"/>
        <v/>
      </c>
      <c r="C59" s="23"/>
      <c r="D59" s="24" t="s">
        <v>77</v>
      </c>
      <c r="E59" s="33"/>
      <c r="F59" s="34"/>
      <c r="G59" s="35"/>
      <c r="H59" s="35" t="s">
        <v>201</v>
      </c>
      <c r="I59" s="35"/>
      <c r="J59" s="35"/>
      <c r="N59" s="11" t="str">
        <f t="shared" si="3"/>
        <v>{$受托管理人联系人};</v>
      </c>
    </row>
    <row r="60" spans="1:14" x14ac:dyDescent="0.25">
      <c r="A60" s="36" t="s">
        <v>5</v>
      </c>
      <c r="B60" s="22" t="str">
        <f t="shared" si="2"/>
        <v/>
      </c>
      <c r="C60" s="23"/>
      <c r="D60" s="24" t="s">
        <v>78</v>
      </c>
      <c r="E60" s="33"/>
      <c r="F60" s="34"/>
      <c r="G60" s="35"/>
      <c r="H60" s="35" t="s">
        <v>201</v>
      </c>
      <c r="I60" s="35"/>
      <c r="J60" s="35"/>
      <c r="N60" s="11" t="str">
        <f t="shared" si="3"/>
        <v>{$受托管理人联系电话};</v>
      </c>
    </row>
    <row r="61" spans="1:14" x14ac:dyDescent="0.25">
      <c r="A61" s="36" t="s">
        <v>6</v>
      </c>
      <c r="B61" s="22" t="str">
        <f t="shared" si="2"/>
        <v/>
      </c>
      <c r="C61" s="23"/>
      <c r="D61" s="24" t="s">
        <v>78</v>
      </c>
      <c r="E61" s="33"/>
      <c r="F61" s="34"/>
      <c r="G61" s="35"/>
      <c r="H61" s="35" t="s">
        <v>201</v>
      </c>
      <c r="I61" s="35"/>
      <c r="J61" s="35"/>
      <c r="N61" s="11" t="str">
        <f t="shared" si="3"/>
        <v>{$受托管理人传真};</v>
      </c>
    </row>
    <row r="62" spans="1:14" x14ac:dyDescent="0.25">
      <c r="A62" s="36" t="s">
        <v>146</v>
      </c>
      <c r="B62" s="22" t="str">
        <f t="shared" si="2"/>
        <v/>
      </c>
      <c r="C62" s="45"/>
      <c r="D62" s="46">
        <v>650011</v>
      </c>
      <c r="E62" s="33"/>
      <c r="F62" s="34"/>
      <c r="G62" s="35"/>
      <c r="H62" s="35"/>
      <c r="I62" s="35"/>
      <c r="J62" s="35"/>
      <c r="N62" s="11" t="str">
        <f t="shared" si="3"/>
        <v>{$受托管理人邮编};</v>
      </c>
    </row>
    <row r="63" spans="1:14" x14ac:dyDescent="0.25">
      <c r="A63" s="36" t="s">
        <v>147</v>
      </c>
      <c r="B63" s="22" t="str">
        <f t="shared" si="2"/>
        <v/>
      </c>
      <c r="C63" s="23"/>
      <c r="D63" s="24"/>
      <c r="E63" s="33"/>
      <c r="F63" s="34"/>
      <c r="G63" s="35"/>
      <c r="H63" s="35"/>
      <c r="I63" s="35" t="s">
        <v>203</v>
      </c>
      <c r="J63" s="35" t="s">
        <v>202</v>
      </c>
      <c r="N63" s="11" t="str">
        <f t="shared" si="3"/>
        <v>{$律师事务所};</v>
      </c>
    </row>
    <row r="64" spans="1:14" x14ac:dyDescent="0.25">
      <c r="A64" s="36" t="s">
        <v>26</v>
      </c>
      <c r="B64" s="22" t="str">
        <f t="shared" si="2"/>
        <v/>
      </c>
      <c r="C64" s="23"/>
      <c r="D64" s="24"/>
      <c r="E64" s="33"/>
      <c r="F64" s="34"/>
      <c r="G64" s="35"/>
      <c r="H64" s="35"/>
      <c r="I64" s="35"/>
      <c r="J64" s="35"/>
      <c r="N64" s="11" t="str">
        <f t="shared" si="3"/>
        <v>{$律所住所};</v>
      </c>
    </row>
    <row r="65" spans="1:14" x14ac:dyDescent="0.25">
      <c r="A65" s="36" t="s">
        <v>27</v>
      </c>
      <c r="B65" s="22" t="str">
        <f t="shared" si="2"/>
        <v/>
      </c>
      <c r="C65" s="23"/>
      <c r="D65" s="24"/>
      <c r="E65" s="33"/>
      <c r="F65" s="34"/>
      <c r="G65" s="35"/>
      <c r="H65" s="35"/>
      <c r="I65" s="35"/>
      <c r="J65" s="35"/>
      <c r="N65" s="11" t="str">
        <f t="shared" si="3"/>
        <v>{$律所联系地址};</v>
      </c>
    </row>
    <row r="66" spans="1:14" x14ac:dyDescent="0.25">
      <c r="A66" s="36" t="s">
        <v>28</v>
      </c>
      <c r="B66" s="22" t="str">
        <f t="shared" si="2"/>
        <v/>
      </c>
      <c r="C66" s="23"/>
      <c r="D66" s="24"/>
      <c r="E66" s="33"/>
      <c r="F66" s="34"/>
      <c r="G66" s="35"/>
      <c r="H66" s="35"/>
      <c r="I66" s="35"/>
      <c r="J66" s="35"/>
      <c r="N66" s="11" t="str">
        <f t="shared" ref="N66:N98" si="4">A66&amp;";"&amp;B66</f>
        <v>{$律所负责人};</v>
      </c>
    </row>
    <row r="67" spans="1:14" x14ac:dyDescent="0.25">
      <c r="A67" s="36" t="s">
        <v>29</v>
      </c>
      <c r="B67" s="22" t="str">
        <f t="shared" si="2"/>
        <v/>
      </c>
      <c r="C67" s="23"/>
      <c r="D67" s="24"/>
      <c r="E67" s="33"/>
      <c r="F67" s="34"/>
      <c r="G67" s="35"/>
      <c r="H67" s="35"/>
      <c r="I67" s="35"/>
      <c r="J67" s="35"/>
      <c r="N67" s="11" t="str">
        <f t="shared" si="4"/>
        <v>{$经办律师};</v>
      </c>
    </row>
    <row r="68" spans="1:14" x14ac:dyDescent="0.25">
      <c r="A68" s="36" t="s">
        <v>30</v>
      </c>
      <c r="B68" s="22" t="str">
        <f t="shared" si="2"/>
        <v/>
      </c>
      <c r="C68" s="23"/>
      <c r="D68" s="24"/>
      <c r="E68" s="33"/>
      <c r="F68" s="34"/>
      <c r="G68" s="35"/>
      <c r="H68" s="35"/>
      <c r="I68" s="35"/>
      <c r="J68" s="35"/>
      <c r="N68" s="11" t="str">
        <f t="shared" si="4"/>
        <v>{$律所电话};</v>
      </c>
    </row>
    <row r="69" spans="1:14" x14ac:dyDescent="0.25">
      <c r="A69" s="36" t="s">
        <v>31</v>
      </c>
      <c r="B69" s="22" t="str">
        <f t="shared" si="2"/>
        <v/>
      </c>
      <c r="C69" s="23"/>
      <c r="D69" s="24"/>
      <c r="E69" s="33"/>
      <c r="F69" s="34"/>
      <c r="G69" s="35"/>
      <c r="H69" s="35"/>
      <c r="I69" s="35"/>
      <c r="J69" s="35"/>
      <c r="N69" s="11" t="str">
        <f t="shared" si="4"/>
        <v>{$律所传真};</v>
      </c>
    </row>
    <row r="70" spans="1:14" x14ac:dyDescent="0.25">
      <c r="A70" s="36" t="s">
        <v>32</v>
      </c>
      <c r="B70" s="22" t="str">
        <f t="shared" si="2"/>
        <v/>
      </c>
      <c r="C70" s="45"/>
      <c r="D70" s="46"/>
      <c r="E70" s="33"/>
      <c r="F70" s="34"/>
      <c r="G70" s="35"/>
      <c r="H70" s="35"/>
      <c r="I70" s="35"/>
      <c r="J70" s="35"/>
      <c r="N70" s="11" t="str">
        <f t="shared" si="4"/>
        <v>{$律所邮编};</v>
      </c>
    </row>
    <row r="71" spans="1:14" x14ac:dyDescent="0.25">
      <c r="A71" s="36" t="s">
        <v>33</v>
      </c>
      <c r="B71" s="22" t="str">
        <f t="shared" si="2"/>
        <v/>
      </c>
      <c r="C71" s="23"/>
      <c r="D71" s="24"/>
      <c r="E71" s="33"/>
      <c r="F71" s="34"/>
      <c r="G71" s="35"/>
      <c r="H71" s="35"/>
      <c r="I71" s="35" t="s">
        <v>203</v>
      </c>
      <c r="J71" s="35" t="s">
        <v>202</v>
      </c>
      <c r="N71" s="11" t="str">
        <f t="shared" si="4"/>
        <v>{$会计师事务所};</v>
      </c>
    </row>
    <row r="72" spans="1:14" x14ac:dyDescent="0.25">
      <c r="A72" s="36" t="s">
        <v>34</v>
      </c>
      <c r="B72" s="22" t="str">
        <f t="shared" si="2"/>
        <v/>
      </c>
      <c r="C72" s="23"/>
      <c r="D72" s="24"/>
      <c r="E72" s="33"/>
      <c r="F72" s="34"/>
      <c r="G72" s="35"/>
      <c r="H72" s="35"/>
      <c r="I72" s="35"/>
      <c r="J72" s="35"/>
      <c r="N72" s="11" t="str">
        <f t="shared" si="4"/>
        <v>{$会所住所};</v>
      </c>
    </row>
    <row r="73" spans="1:14" x14ac:dyDescent="0.25">
      <c r="A73" s="36" t="s">
        <v>35</v>
      </c>
      <c r="B73" s="22" t="str">
        <f t="shared" si="2"/>
        <v/>
      </c>
      <c r="C73" s="23"/>
      <c r="D73" s="24"/>
      <c r="E73" s="33"/>
      <c r="F73" s="34"/>
      <c r="G73" s="35"/>
      <c r="H73" s="35"/>
      <c r="I73" s="35"/>
      <c r="J73" s="35"/>
      <c r="N73" s="11" t="str">
        <f t="shared" si="4"/>
        <v>{$会所联系地址};</v>
      </c>
    </row>
    <row r="74" spans="1:14" x14ac:dyDescent="0.25">
      <c r="A74" s="36" t="s">
        <v>36</v>
      </c>
      <c r="B74" s="22" t="str">
        <f t="shared" si="2"/>
        <v/>
      </c>
      <c r="C74" s="23"/>
      <c r="D74" s="24"/>
      <c r="E74" s="33"/>
      <c r="F74" s="34"/>
      <c r="G74" s="35"/>
      <c r="H74" s="35"/>
      <c r="I74" s="35"/>
      <c r="J74" s="35"/>
      <c r="N74" s="11" t="str">
        <f t="shared" si="4"/>
        <v>{$会所负责人};</v>
      </c>
    </row>
    <row r="75" spans="1:14" x14ac:dyDescent="0.25">
      <c r="A75" s="36" t="s">
        <v>37</v>
      </c>
      <c r="B75" s="22" t="str">
        <f t="shared" si="2"/>
        <v/>
      </c>
      <c r="C75" s="23"/>
      <c r="D75" s="24"/>
      <c r="E75" s="33"/>
      <c r="F75" s="34"/>
      <c r="G75" s="35"/>
      <c r="H75" s="35"/>
      <c r="I75" s="35"/>
      <c r="J75" s="35"/>
      <c r="N75" s="11" t="str">
        <f t="shared" si="4"/>
        <v>{$会所联系人};</v>
      </c>
    </row>
    <row r="76" spans="1:14" x14ac:dyDescent="0.25">
      <c r="A76" s="36" t="s">
        <v>38</v>
      </c>
      <c r="B76" s="22" t="str">
        <f t="shared" si="2"/>
        <v/>
      </c>
      <c r="C76" s="23"/>
      <c r="D76" s="24"/>
      <c r="E76" s="33"/>
      <c r="F76" s="34"/>
      <c r="G76" s="35"/>
      <c r="H76" s="35"/>
      <c r="I76" s="35"/>
      <c r="J76" s="35"/>
      <c r="N76" s="11" t="str">
        <f t="shared" si="4"/>
        <v>{$会所电话};</v>
      </c>
    </row>
    <row r="77" spans="1:14" x14ac:dyDescent="0.25">
      <c r="A77" s="36" t="s">
        <v>39</v>
      </c>
      <c r="B77" s="22" t="str">
        <f t="shared" si="2"/>
        <v/>
      </c>
      <c r="C77" s="23"/>
      <c r="D77" s="24"/>
      <c r="E77" s="33"/>
      <c r="F77" s="34"/>
      <c r="G77" s="35"/>
      <c r="H77" s="35"/>
      <c r="I77" s="35"/>
      <c r="J77" s="35"/>
      <c r="N77" s="11" t="str">
        <f t="shared" si="4"/>
        <v>{$会所传真};</v>
      </c>
    </row>
    <row r="78" spans="1:14" x14ac:dyDescent="0.25">
      <c r="A78" s="36" t="s">
        <v>40</v>
      </c>
      <c r="B78" s="22" t="str">
        <f t="shared" si="2"/>
        <v/>
      </c>
      <c r="C78" s="23"/>
      <c r="D78" s="24"/>
      <c r="E78" s="33"/>
      <c r="F78" s="34"/>
      <c r="G78" s="35"/>
      <c r="H78" s="35"/>
      <c r="I78" s="35"/>
      <c r="J78" s="35"/>
      <c r="N78" s="11" t="str">
        <f t="shared" si="4"/>
        <v>{$会所邮编};</v>
      </c>
    </row>
    <row r="79" spans="1:14" x14ac:dyDescent="0.25">
      <c r="A79" s="8" t="s">
        <v>144</v>
      </c>
      <c r="B79" s="19" t="str">
        <f t="shared" si="2"/>
        <v>无</v>
      </c>
      <c r="C79" s="3" t="s">
        <v>289</v>
      </c>
      <c r="D79" s="4" t="s">
        <v>273</v>
      </c>
      <c r="E79" s="33"/>
      <c r="F79" s="34"/>
      <c r="G79" s="35"/>
      <c r="H79" s="35"/>
      <c r="I79" s="35"/>
      <c r="J79" s="35"/>
      <c r="N79" s="11" t="str">
        <f t="shared" si="4"/>
        <v>{$评级机构};无</v>
      </c>
    </row>
    <row r="80" spans="1:14" x14ac:dyDescent="0.25">
      <c r="A80" s="36" t="s">
        <v>148</v>
      </c>
      <c r="B80" s="22" t="str">
        <f t="shared" si="2"/>
        <v/>
      </c>
      <c r="C80" s="23"/>
      <c r="D80" s="24"/>
      <c r="E80" s="33"/>
      <c r="F80" s="34"/>
      <c r="G80" s="35"/>
      <c r="H80" s="35"/>
      <c r="I80" s="35"/>
      <c r="J80" s="35"/>
      <c r="N80" s="11" t="str">
        <f t="shared" si="4"/>
        <v>{$评级住所};</v>
      </c>
    </row>
    <row r="81" spans="1:14" x14ac:dyDescent="0.25">
      <c r="A81" s="36" t="s">
        <v>149</v>
      </c>
      <c r="B81" s="22" t="str">
        <f t="shared" si="2"/>
        <v/>
      </c>
      <c r="C81" s="23"/>
      <c r="D81" s="24"/>
      <c r="E81" s="33"/>
      <c r="F81" s="34"/>
      <c r="G81" s="35"/>
      <c r="H81" s="35"/>
      <c r="I81" s="35"/>
      <c r="J81" s="35"/>
      <c r="N81" s="11" t="str">
        <f t="shared" si="4"/>
        <v>{$评级联系地址};</v>
      </c>
    </row>
    <row r="82" spans="1:14" x14ac:dyDescent="0.25">
      <c r="A82" s="36" t="s">
        <v>154</v>
      </c>
      <c r="B82" s="22" t="str">
        <f t="shared" si="2"/>
        <v/>
      </c>
      <c r="C82" s="23"/>
      <c r="D82" s="24"/>
      <c r="E82" s="33"/>
      <c r="F82" s="34"/>
      <c r="G82" s="35"/>
      <c r="H82" s="35"/>
      <c r="I82" s="35"/>
      <c r="J82" s="35"/>
      <c r="N82" s="11" t="str">
        <f t="shared" si="4"/>
        <v>{$评级法定代表人};</v>
      </c>
    </row>
    <row r="83" spans="1:14" x14ac:dyDescent="0.25">
      <c r="A83" s="36" t="s">
        <v>150</v>
      </c>
      <c r="B83" s="22" t="str">
        <f t="shared" si="2"/>
        <v/>
      </c>
      <c r="C83" s="23"/>
      <c r="D83" s="24"/>
      <c r="E83" s="33"/>
      <c r="F83" s="34"/>
      <c r="G83" s="35"/>
      <c r="H83" s="35"/>
      <c r="I83" s="35"/>
      <c r="J83" s="35"/>
      <c r="N83" s="11" t="str">
        <f t="shared" si="4"/>
        <v>{$评级联系人};</v>
      </c>
    </row>
    <row r="84" spans="1:14" x14ac:dyDescent="0.25">
      <c r="A84" s="36" t="s">
        <v>151</v>
      </c>
      <c r="B84" s="22" t="str">
        <f t="shared" si="2"/>
        <v/>
      </c>
      <c r="C84" s="23"/>
      <c r="D84" s="24"/>
      <c r="E84" s="33"/>
      <c r="F84" s="34"/>
      <c r="G84" s="35"/>
      <c r="H84" s="35"/>
      <c r="I84" s="35"/>
      <c r="J84" s="35"/>
      <c r="N84" s="11" t="str">
        <f t="shared" si="4"/>
        <v>{$评级电话};</v>
      </c>
    </row>
    <row r="85" spans="1:14" x14ac:dyDescent="0.25">
      <c r="A85" s="36" t="s">
        <v>152</v>
      </c>
      <c r="B85" s="22" t="str">
        <f t="shared" si="2"/>
        <v/>
      </c>
      <c r="C85" s="23"/>
      <c r="D85" s="24"/>
      <c r="E85" s="33"/>
      <c r="F85" s="34"/>
      <c r="G85" s="35"/>
      <c r="H85" s="35"/>
      <c r="I85" s="35"/>
      <c r="J85" s="35"/>
      <c r="N85" s="11" t="str">
        <f t="shared" si="4"/>
        <v>{$评级传真};</v>
      </c>
    </row>
    <row r="86" spans="1:14" x14ac:dyDescent="0.25">
      <c r="A86" s="36" t="s">
        <v>153</v>
      </c>
      <c r="B86" s="22" t="str">
        <f t="shared" si="2"/>
        <v/>
      </c>
      <c r="C86" s="23"/>
      <c r="D86" s="24"/>
      <c r="E86" s="33"/>
      <c r="F86" s="34"/>
      <c r="G86" s="35"/>
      <c r="H86" s="35"/>
      <c r="I86" s="35"/>
      <c r="J86" s="35"/>
      <c r="N86" s="11" t="str">
        <f t="shared" si="4"/>
        <v>{$评级邮编};</v>
      </c>
    </row>
    <row r="87" spans="1:14" x14ac:dyDescent="0.25">
      <c r="A87" s="36"/>
      <c r="B87" s="22"/>
      <c r="C87" s="23"/>
      <c r="D87" s="24"/>
      <c r="E87" s="33"/>
      <c r="F87" s="34"/>
      <c r="G87" s="35"/>
      <c r="H87" s="35"/>
      <c r="I87" s="35"/>
      <c r="J87" s="35"/>
    </row>
    <row r="88" spans="1:14" x14ac:dyDescent="0.25">
      <c r="A88" s="6" t="s">
        <v>142</v>
      </c>
      <c r="B88" s="22" t="str">
        <f t="shared" si="2"/>
        <v>滇池管委会</v>
      </c>
      <c r="C88" s="41" t="s">
        <v>292</v>
      </c>
      <c r="D88" s="42"/>
      <c r="E88" s="33"/>
      <c r="F88" s="34"/>
      <c r="G88" s="35"/>
      <c r="H88" s="35"/>
      <c r="I88" s="35"/>
      <c r="J88" s="35" t="s">
        <v>202</v>
      </c>
      <c r="N88" s="11" t="str">
        <f t="shared" si="4"/>
        <v>{$担保方};滇池管委会</v>
      </c>
    </row>
    <row r="89" spans="1:14" x14ac:dyDescent="0.25">
      <c r="A89" s="36" t="s">
        <v>155</v>
      </c>
      <c r="B89" s="22" t="str">
        <f t="shared" si="2"/>
        <v/>
      </c>
      <c r="C89" s="41"/>
      <c r="D89" s="42"/>
      <c r="E89" s="33"/>
      <c r="F89" s="34"/>
      <c r="G89" s="35"/>
      <c r="H89" s="35"/>
      <c r="I89" s="35"/>
      <c r="J89" s="35" t="s">
        <v>202</v>
      </c>
      <c r="N89" s="11" t="str">
        <f t="shared" si="4"/>
        <v>{$担保方注册资本};</v>
      </c>
    </row>
    <row r="90" spans="1:14" x14ac:dyDescent="0.25">
      <c r="A90" s="36" t="s">
        <v>156</v>
      </c>
      <c r="B90" s="22" t="str">
        <f t="shared" si="2"/>
        <v/>
      </c>
      <c r="C90" s="41"/>
      <c r="D90" s="42"/>
      <c r="E90" s="33"/>
      <c r="F90" s="34"/>
      <c r="G90" s="35"/>
      <c r="H90" s="35"/>
      <c r="I90" s="35"/>
      <c r="J90" s="35" t="s">
        <v>202</v>
      </c>
      <c r="N90" s="11" t="str">
        <f t="shared" si="4"/>
        <v>{$担保方设立日期};</v>
      </c>
    </row>
    <row r="91" spans="1:14" x14ac:dyDescent="0.25">
      <c r="A91" s="36" t="s">
        <v>157</v>
      </c>
      <c r="B91" s="22" t="str">
        <f t="shared" ref="B91:B143" si="5">TRIM(C91)</f>
        <v/>
      </c>
      <c r="C91" s="41"/>
      <c r="D91" s="42"/>
      <c r="E91" s="33"/>
      <c r="F91" s="34"/>
      <c r="G91" s="35"/>
      <c r="H91" s="35"/>
      <c r="I91" s="35"/>
      <c r="J91" s="35" t="s">
        <v>202</v>
      </c>
      <c r="N91" s="11" t="str">
        <f t="shared" si="4"/>
        <v>{$担保方经营范围};</v>
      </c>
    </row>
    <row r="92" spans="1:14" x14ac:dyDescent="0.25">
      <c r="A92" s="39" t="s">
        <v>205</v>
      </c>
      <c r="B92" s="22" t="str">
        <f t="shared" si="5"/>
        <v/>
      </c>
      <c r="C92" s="23"/>
      <c r="D92" s="24"/>
      <c r="E92" s="33"/>
      <c r="F92" s="34"/>
      <c r="G92" s="35"/>
      <c r="H92" s="35"/>
      <c r="I92" s="35"/>
      <c r="J92" s="35" t="s">
        <v>202</v>
      </c>
      <c r="N92" s="11" t="str">
        <f t="shared" si="4"/>
        <v>{$担保方住所};</v>
      </c>
    </row>
    <row r="93" spans="1:14" x14ac:dyDescent="0.25">
      <c r="A93" s="39" t="s">
        <v>206</v>
      </c>
      <c r="B93" s="22" t="str">
        <f t="shared" si="5"/>
        <v/>
      </c>
      <c r="C93" s="23"/>
      <c r="D93" s="24"/>
      <c r="E93" s="33"/>
      <c r="F93" s="34"/>
      <c r="G93" s="35"/>
      <c r="H93" s="35"/>
      <c r="I93" s="35"/>
      <c r="J93" s="35"/>
      <c r="N93" s="11" t="str">
        <f t="shared" si="4"/>
        <v>{$担保方联系地址};</v>
      </c>
    </row>
    <row r="94" spans="1:14" x14ac:dyDescent="0.25">
      <c r="A94" s="39" t="s">
        <v>207</v>
      </c>
      <c r="B94" s="22" t="str">
        <f t="shared" si="5"/>
        <v/>
      </c>
      <c r="C94" s="23"/>
      <c r="D94" s="24"/>
      <c r="E94" s="33"/>
      <c r="F94" s="34"/>
      <c r="G94" s="35"/>
      <c r="H94" s="35"/>
      <c r="I94" s="35"/>
      <c r="J94" s="35" t="s">
        <v>202</v>
      </c>
      <c r="N94" s="11" t="str">
        <f t="shared" si="4"/>
        <v>{$担保方法定代表人};</v>
      </c>
    </row>
    <row r="95" spans="1:14" x14ac:dyDescent="0.25">
      <c r="A95" s="39" t="s">
        <v>208</v>
      </c>
      <c r="B95" s="22" t="str">
        <f t="shared" si="5"/>
        <v/>
      </c>
      <c r="C95" s="23"/>
      <c r="D95" s="24"/>
      <c r="E95" s="33"/>
      <c r="F95" s="34"/>
      <c r="G95" s="35"/>
      <c r="H95" s="35"/>
      <c r="I95" s="35"/>
      <c r="J95" s="35"/>
      <c r="N95" s="11" t="str">
        <f t="shared" si="4"/>
        <v>{$担保方联系人};</v>
      </c>
    </row>
    <row r="96" spans="1:14" x14ac:dyDescent="0.25">
      <c r="A96" s="39" t="s">
        <v>209</v>
      </c>
      <c r="B96" s="22" t="str">
        <f t="shared" si="5"/>
        <v/>
      </c>
      <c r="C96" s="23"/>
      <c r="D96" s="24"/>
      <c r="E96" s="33"/>
      <c r="F96" s="34"/>
      <c r="G96" s="35"/>
      <c r="H96" s="35"/>
      <c r="I96" s="35"/>
      <c r="J96" s="35"/>
      <c r="N96" s="11" t="str">
        <f t="shared" si="4"/>
        <v>{$担保方电话};</v>
      </c>
    </row>
    <row r="97" spans="1:14" x14ac:dyDescent="0.25">
      <c r="A97" s="39" t="s">
        <v>210</v>
      </c>
      <c r="B97" s="22" t="str">
        <f t="shared" si="5"/>
        <v/>
      </c>
      <c r="C97" s="23"/>
      <c r="D97" s="24"/>
      <c r="E97" s="33"/>
      <c r="F97" s="34"/>
      <c r="G97" s="35"/>
      <c r="H97" s="35"/>
      <c r="I97" s="35"/>
      <c r="J97" s="35"/>
      <c r="N97" s="11" t="str">
        <f t="shared" si="4"/>
        <v>{$担保方传真};</v>
      </c>
    </row>
    <row r="98" spans="1:14" x14ac:dyDescent="0.25">
      <c r="A98" s="39" t="s">
        <v>211</v>
      </c>
      <c r="B98" s="22" t="str">
        <f t="shared" si="5"/>
        <v/>
      </c>
      <c r="C98" s="23"/>
      <c r="D98" s="24"/>
      <c r="E98" s="33"/>
      <c r="F98" s="34"/>
      <c r="G98" s="35"/>
      <c r="H98" s="35"/>
      <c r="I98" s="35"/>
      <c r="J98" s="35"/>
      <c r="N98" s="11" t="str">
        <f t="shared" si="4"/>
        <v>{$担保方邮编};</v>
      </c>
    </row>
    <row r="99" spans="1:14" s="61" customFormat="1" x14ac:dyDescent="0.25">
      <c r="A99" s="6" t="s">
        <v>127</v>
      </c>
      <c r="B99" s="19" t="str">
        <f t="shared" si="5"/>
        <v>上海证券交易所</v>
      </c>
      <c r="C99" s="20" t="s">
        <v>256</v>
      </c>
      <c r="D99" s="20" t="s">
        <v>256</v>
      </c>
      <c r="E99" s="57" t="s">
        <v>189</v>
      </c>
      <c r="F99" s="58"/>
      <c r="G99" s="59"/>
      <c r="H99" s="59" t="s">
        <v>201</v>
      </c>
      <c r="I99" s="59" t="s">
        <v>203</v>
      </c>
      <c r="J99" s="59"/>
      <c r="K99" s="60"/>
      <c r="N99" s="61" t="str">
        <f t="shared" ref="N99:N119" si="6">A99&amp;";"&amp;B99</f>
        <v>{$交易所};上海证券交易所</v>
      </c>
    </row>
    <row r="100" spans="1:14" x14ac:dyDescent="0.25">
      <c r="A100" s="36" t="s">
        <v>42</v>
      </c>
      <c r="B100" s="22" t="str">
        <f t="shared" si="5"/>
        <v/>
      </c>
      <c r="C100" s="45"/>
      <c r="D100" s="46" t="s">
        <v>257</v>
      </c>
      <c r="E100" s="33" t="s">
        <v>190</v>
      </c>
      <c r="F100" s="34"/>
      <c r="G100" s="35"/>
      <c r="H100" s="35"/>
      <c r="I100" s="35"/>
      <c r="J100" s="35"/>
      <c r="N100" s="11" t="str">
        <f t="shared" si="6"/>
        <v>{$交易所住所};</v>
      </c>
    </row>
    <row r="101" spans="1:14" x14ac:dyDescent="0.25">
      <c r="A101" s="36" t="s">
        <v>43</v>
      </c>
      <c r="B101" s="22" t="str">
        <f t="shared" si="5"/>
        <v/>
      </c>
      <c r="C101" s="45"/>
      <c r="D101" s="46" t="s">
        <v>258</v>
      </c>
      <c r="E101" s="33" t="s">
        <v>191</v>
      </c>
      <c r="F101" s="34"/>
      <c r="G101" s="35"/>
      <c r="H101" s="35"/>
      <c r="I101" s="35"/>
      <c r="J101" s="35"/>
      <c r="N101" s="11" t="str">
        <f t="shared" si="6"/>
        <v>{$交易所总经理};</v>
      </c>
    </row>
    <row r="102" spans="1:14" x14ac:dyDescent="0.25">
      <c r="A102" s="36" t="s">
        <v>44</v>
      </c>
      <c r="B102" s="22" t="str">
        <f t="shared" si="5"/>
        <v/>
      </c>
      <c r="C102" s="45"/>
      <c r="D102" s="46" t="s">
        <v>259</v>
      </c>
      <c r="E102" s="33" t="s">
        <v>192</v>
      </c>
      <c r="F102" s="34"/>
      <c r="G102" s="35"/>
      <c r="H102" s="35"/>
      <c r="I102" s="35"/>
      <c r="J102" s="35"/>
      <c r="N102" s="11" t="str">
        <f t="shared" si="6"/>
        <v>{$交易所电话};</v>
      </c>
    </row>
    <row r="103" spans="1:14" x14ac:dyDescent="0.25">
      <c r="A103" s="36" t="s">
        <v>45</v>
      </c>
      <c r="B103" s="22" t="str">
        <f t="shared" si="5"/>
        <v/>
      </c>
      <c r="C103" s="45"/>
      <c r="D103" s="46" t="s">
        <v>260</v>
      </c>
      <c r="E103" s="33" t="s">
        <v>193</v>
      </c>
      <c r="F103" s="34"/>
      <c r="G103" s="35"/>
      <c r="H103" s="35"/>
      <c r="I103" s="35"/>
      <c r="J103" s="35"/>
      <c r="N103" s="11" t="str">
        <f t="shared" si="6"/>
        <v>{$交易所传真};</v>
      </c>
    </row>
    <row r="104" spans="1:14" x14ac:dyDescent="0.25">
      <c r="A104" s="36" t="s">
        <v>46</v>
      </c>
      <c r="B104" s="22" t="str">
        <f t="shared" si="5"/>
        <v/>
      </c>
      <c r="C104" s="45"/>
      <c r="D104" s="46">
        <v>200120</v>
      </c>
      <c r="E104" s="47">
        <v>518010</v>
      </c>
      <c r="F104" s="34"/>
      <c r="G104" s="35"/>
      <c r="H104" s="35"/>
      <c r="I104" s="35"/>
      <c r="J104" s="35"/>
      <c r="N104" s="11" t="str">
        <f t="shared" si="6"/>
        <v>{$交易所邮编};</v>
      </c>
    </row>
    <row r="105" spans="1:14" ht="31.2" x14ac:dyDescent="0.25">
      <c r="A105" s="21" t="s">
        <v>128</v>
      </c>
      <c r="B105" s="22" t="str">
        <f t="shared" si="5"/>
        <v/>
      </c>
      <c r="C105" s="45"/>
      <c r="D105" s="46" t="s">
        <v>261</v>
      </c>
      <c r="E105" s="33" t="s">
        <v>194</v>
      </c>
      <c r="F105" s="34"/>
      <c r="G105" s="35"/>
      <c r="H105" s="35" t="s">
        <v>201</v>
      </c>
      <c r="I105" s="35"/>
      <c r="J105" s="35"/>
      <c r="N105" s="11" t="str">
        <f t="shared" si="6"/>
        <v>{$债券登记机构};</v>
      </c>
    </row>
    <row r="106" spans="1:14" ht="31.2" x14ac:dyDescent="0.25">
      <c r="A106" s="36" t="s">
        <v>47</v>
      </c>
      <c r="B106" s="22" t="str">
        <f t="shared" si="5"/>
        <v/>
      </c>
      <c r="C106" s="45"/>
      <c r="D106" s="46" t="s">
        <v>262</v>
      </c>
      <c r="E106" s="33" t="s">
        <v>195</v>
      </c>
      <c r="F106" s="34"/>
      <c r="G106" s="35"/>
      <c r="H106" s="35"/>
      <c r="I106" s="35"/>
      <c r="J106" s="35"/>
      <c r="N106" s="11" t="str">
        <f t="shared" si="6"/>
        <v>{$债券登记机构地址};</v>
      </c>
    </row>
    <row r="107" spans="1:14" x14ac:dyDescent="0.25">
      <c r="A107" s="36" t="s">
        <v>48</v>
      </c>
      <c r="B107" s="22" t="str">
        <f t="shared" si="5"/>
        <v/>
      </c>
      <c r="C107" s="45"/>
      <c r="D107" s="46" t="s">
        <v>263</v>
      </c>
      <c r="E107" s="33" t="s">
        <v>196</v>
      </c>
      <c r="F107" s="34"/>
      <c r="G107" s="35"/>
      <c r="H107" s="35"/>
      <c r="I107" s="35"/>
      <c r="J107" s="35"/>
      <c r="N107" s="11" t="str">
        <f t="shared" si="6"/>
        <v>{$债券登记机构负责人};</v>
      </c>
    </row>
    <row r="108" spans="1:14" x14ac:dyDescent="0.25">
      <c r="A108" s="36" t="s">
        <v>49</v>
      </c>
      <c r="B108" s="22" t="str">
        <f t="shared" si="5"/>
        <v/>
      </c>
      <c r="C108" s="45"/>
      <c r="D108" s="46" t="s">
        <v>264</v>
      </c>
      <c r="E108" s="33" t="s">
        <v>197</v>
      </c>
      <c r="F108" s="34"/>
      <c r="G108" s="35"/>
      <c r="H108" s="35"/>
      <c r="I108" s="35"/>
      <c r="J108" s="35"/>
      <c r="N108" s="11" t="str">
        <f t="shared" si="6"/>
        <v>{$债券登记机构电话};</v>
      </c>
    </row>
    <row r="109" spans="1:14" x14ac:dyDescent="0.25">
      <c r="A109" s="36" t="s">
        <v>50</v>
      </c>
      <c r="B109" s="22" t="str">
        <f t="shared" si="5"/>
        <v/>
      </c>
      <c r="C109" s="45"/>
      <c r="D109" s="46" t="s">
        <v>265</v>
      </c>
      <c r="E109" s="33" t="s">
        <v>198</v>
      </c>
      <c r="F109" s="34"/>
      <c r="G109" s="35"/>
      <c r="H109" s="35"/>
      <c r="I109" s="35"/>
      <c r="J109" s="35"/>
      <c r="N109" s="11" t="str">
        <f t="shared" si="6"/>
        <v>{$债券登记机构传真};</v>
      </c>
    </row>
    <row r="110" spans="1:14" x14ac:dyDescent="0.25">
      <c r="A110" s="36" t="s">
        <v>51</v>
      </c>
      <c r="B110" s="22" t="str">
        <f t="shared" si="5"/>
        <v/>
      </c>
      <c r="C110" s="45"/>
      <c r="D110" s="46">
        <v>200120</v>
      </c>
      <c r="E110" s="47">
        <v>518010</v>
      </c>
      <c r="F110" s="34"/>
      <c r="G110" s="35"/>
      <c r="H110" s="35"/>
      <c r="I110" s="35"/>
      <c r="J110" s="35"/>
      <c r="N110" s="11" t="str">
        <f t="shared" si="6"/>
        <v>{$债券登记机构邮编};</v>
      </c>
    </row>
    <row r="111" spans="1:14" x14ac:dyDescent="0.25">
      <c r="A111" s="36" t="s">
        <v>52</v>
      </c>
      <c r="B111" s="22" t="str">
        <f t="shared" si="5"/>
        <v/>
      </c>
      <c r="C111" s="45"/>
      <c r="D111" s="46" t="s">
        <v>266</v>
      </c>
      <c r="E111" s="33" t="s">
        <v>199</v>
      </c>
      <c r="F111" s="34"/>
      <c r="G111" s="35"/>
      <c r="H111" s="35"/>
      <c r="I111" s="35"/>
      <c r="J111" s="35"/>
      <c r="N111" s="11" t="str">
        <f t="shared" si="6"/>
        <v>{$交易所简称};</v>
      </c>
    </row>
    <row r="112" spans="1:14" x14ac:dyDescent="0.25">
      <c r="A112" s="36" t="s">
        <v>53</v>
      </c>
      <c r="B112" s="22" t="str">
        <f t="shared" si="5"/>
        <v/>
      </c>
      <c r="C112" s="45"/>
      <c r="D112" s="46" t="s">
        <v>267</v>
      </c>
      <c r="E112" s="33" t="s">
        <v>200</v>
      </c>
      <c r="F112" s="34"/>
      <c r="G112" s="35"/>
      <c r="H112" s="35"/>
      <c r="I112" s="35"/>
      <c r="J112" s="35"/>
      <c r="N112" s="11" t="str">
        <f t="shared" si="6"/>
        <v>{$交易平台};</v>
      </c>
    </row>
    <row r="113" spans="1:14" x14ac:dyDescent="0.25">
      <c r="A113" s="21" t="s">
        <v>54</v>
      </c>
      <c r="B113" s="22" t="str">
        <f t="shared" si="5"/>
        <v/>
      </c>
      <c r="C113" s="23"/>
      <c r="D113" s="24" t="s">
        <v>63</v>
      </c>
      <c r="E113" s="36"/>
      <c r="F113" s="48"/>
      <c r="G113" s="35"/>
      <c r="H113" s="35" t="s">
        <v>201</v>
      </c>
      <c r="I113" s="35"/>
      <c r="J113" s="35"/>
      <c r="N113" s="11" t="str">
        <f t="shared" si="6"/>
        <v>{$公司有权机构};</v>
      </c>
    </row>
    <row r="114" spans="1:14" x14ac:dyDescent="0.25">
      <c r="A114" s="6" t="s">
        <v>117</v>
      </c>
      <c r="B114" s="22" t="str">
        <f t="shared" si="5"/>
        <v>股东决定</v>
      </c>
      <c r="C114" s="23" t="s">
        <v>60</v>
      </c>
      <c r="D114" s="24" t="s">
        <v>60</v>
      </c>
      <c r="E114" s="36"/>
      <c r="F114" s="48"/>
      <c r="G114" s="35"/>
      <c r="H114" s="35" t="s">
        <v>201</v>
      </c>
      <c r="I114" s="35"/>
      <c r="J114" s="35"/>
      <c r="N114" s="11" t="str">
        <f t="shared" si="6"/>
        <v>{$股东批复文件};股东决定</v>
      </c>
    </row>
    <row r="115" spans="1:14" x14ac:dyDescent="0.25">
      <c r="A115" s="6" t="s">
        <v>55</v>
      </c>
      <c r="B115" s="22" t="str">
        <f t="shared" si="5"/>
        <v>董事会决议</v>
      </c>
      <c r="C115" s="23" t="s">
        <v>61</v>
      </c>
      <c r="D115" s="24" t="s">
        <v>61</v>
      </c>
      <c r="E115" s="33"/>
      <c r="F115" s="34"/>
      <c r="G115" s="35"/>
      <c r="H115" s="35"/>
      <c r="I115" s="35"/>
      <c r="J115" s="35"/>
      <c r="N115" s="11" t="str">
        <f t="shared" si="6"/>
        <v>{$董事批复文件};董事会决议</v>
      </c>
    </row>
    <row r="116" spans="1:14" x14ac:dyDescent="0.25">
      <c r="A116" s="6" t="s">
        <v>83</v>
      </c>
      <c r="B116" s="22" t="str">
        <f t="shared" si="5"/>
        <v>董事会</v>
      </c>
      <c r="C116" s="23" t="s">
        <v>62</v>
      </c>
      <c r="D116" s="24" t="s">
        <v>62</v>
      </c>
      <c r="E116" s="33"/>
      <c r="F116" s="34"/>
      <c r="G116" s="35"/>
      <c r="H116" s="35"/>
      <c r="I116" s="35"/>
      <c r="J116" s="35"/>
      <c r="N116" s="11" t="str">
        <f t="shared" si="6"/>
        <v>{$发行人决策机构};董事会</v>
      </c>
    </row>
    <row r="117" spans="1:14" x14ac:dyDescent="0.25">
      <c r="A117" s="21" t="s">
        <v>56</v>
      </c>
      <c r="B117" s="22" t="str">
        <f t="shared" si="5"/>
        <v/>
      </c>
      <c r="C117" s="49"/>
      <c r="D117" s="50">
        <v>3</v>
      </c>
      <c r="E117" s="33"/>
      <c r="F117" s="34"/>
      <c r="G117" s="35"/>
      <c r="H117" s="35" t="s">
        <v>201</v>
      </c>
      <c r="I117" s="35"/>
      <c r="J117" s="35"/>
      <c r="N117" s="11" t="str">
        <f t="shared" si="6"/>
        <v>{$股东会代表数};</v>
      </c>
    </row>
    <row r="118" spans="1:14" ht="31.2" x14ac:dyDescent="0.25">
      <c r="A118" s="21" t="s">
        <v>161</v>
      </c>
      <c r="B118" s="22" t="str">
        <f t="shared" si="5"/>
        <v/>
      </c>
      <c r="C118" s="41"/>
      <c r="D118" s="42" t="s">
        <v>73</v>
      </c>
      <c r="E118" s="33"/>
      <c r="F118" s="34"/>
      <c r="G118" s="35"/>
      <c r="H118" s="35" t="s">
        <v>201</v>
      </c>
      <c r="I118" s="35"/>
      <c r="J118" s="35"/>
      <c r="N118" s="11" t="str">
        <f t="shared" si="6"/>
        <v>{$唯一股东};</v>
      </c>
    </row>
    <row r="119" spans="1:14" x14ac:dyDescent="0.25">
      <c r="A119" s="21" t="s">
        <v>116</v>
      </c>
      <c r="B119" s="22" t="str">
        <f t="shared" si="5"/>
        <v/>
      </c>
      <c r="C119" s="49"/>
      <c r="D119" s="50">
        <v>5</v>
      </c>
      <c r="E119" s="33"/>
      <c r="F119" s="34"/>
      <c r="G119" s="35"/>
      <c r="H119" s="35" t="s">
        <v>201</v>
      </c>
      <c r="I119" s="35"/>
      <c r="J119" s="35"/>
      <c r="N119" s="11" t="str">
        <f t="shared" si="6"/>
        <v>{$董事人数};</v>
      </c>
    </row>
    <row r="120" spans="1:14" x14ac:dyDescent="0.25">
      <c r="A120" s="21" t="s">
        <v>85</v>
      </c>
      <c r="B120" s="22" t="str">
        <f>TEXT(TRIM(C120),"yyyy年mm月dd日")</f>
        <v/>
      </c>
      <c r="C120" s="51"/>
      <c r="D120" s="52" t="s">
        <v>135</v>
      </c>
      <c r="E120" s="33"/>
      <c r="F120" s="34"/>
      <c r="G120" s="34" t="s">
        <v>248</v>
      </c>
      <c r="H120" s="35"/>
      <c r="I120" s="35"/>
      <c r="J120" s="35"/>
      <c r="N120" s="11" t="str">
        <f>A120&amp;";"&amp;TEXT(B120,"yyyy年mm月dd日")</f>
        <v>{$立项材料落款日期};</v>
      </c>
    </row>
    <row r="121" spans="1:14" x14ac:dyDescent="0.25">
      <c r="A121" s="21" t="s">
        <v>86</v>
      </c>
      <c r="B121" s="22" t="str">
        <f t="shared" si="5"/>
        <v/>
      </c>
      <c r="C121" s="41"/>
      <c r="D121" s="42" t="s">
        <v>79</v>
      </c>
      <c r="E121" s="33" t="s">
        <v>250</v>
      </c>
      <c r="F121" s="34"/>
      <c r="G121" s="34" t="s">
        <v>248</v>
      </c>
      <c r="H121" s="35"/>
      <c r="I121" s="35"/>
      <c r="J121" s="35"/>
      <c r="N121" s="11" t="str">
        <f t="shared" ref="N121:N141" si="7">A121&amp;";"&amp;B121</f>
        <v>{$拟任项目经理};</v>
      </c>
    </row>
    <row r="122" spans="1:14" x14ac:dyDescent="0.25">
      <c r="A122" s="21" t="s">
        <v>87</v>
      </c>
      <c r="B122" s="22" t="str">
        <f t="shared" si="5"/>
        <v/>
      </c>
      <c r="C122" s="41"/>
      <c r="D122" s="42" t="s">
        <v>107</v>
      </c>
      <c r="E122" s="33" t="s">
        <v>251</v>
      </c>
      <c r="F122" s="34"/>
      <c r="G122" s="34" t="s">
        <v>248</v>
      </c>
      <c r="H122" s="35"/>
      <c r="I122" s="35"/>
      <c r="J122" s="35"/>
      <c r="N122" s="11" t="str">
        <f t="shared" si="7"/>
        <v>{$拟任项目保荐代表人或拟任项目经理};</v>
      </c>
    </row>
    <row r="123" spans="1:14" x14ac:dyDescent="0.25">
      <c r="A123" s="21" t="s">
        <v>88</v>
      </c>
      <c r="B123" s="22" t="str">
        <f t="shared" si="5"/>
        <v/>
      </c>
      <c r="C123" s="41"/>
      <c r="D123" s="42" t="s">
        <v>110</v>
      </c>
      <c r="E123" s="33"/>
      <c r="F123" s="34"/>
      <c r="G123" s="34" t="s">
        <v>248</v>
      </c>
      <c r="H123" s="35"/>
      <c r="I123" s="35"/>
      <c r="J123" s="35"/>
      <c r="N123" s="11" t="str">
        <f t="shared" si="7"/>
        <v>{$项目组成员};</v>
      </c>
    </row>
    <row r="124" spans="1:14" x14ac:dyDescent="0.25">
      <c r="A124" s="36" t="s">
        <v>41</v>
      </c>
      <c r="B124" s="22" t="str">
        <f t="shared" si="5"/>
        <v/>
      </c>
      <c r="C124" s="23"/>
      <c r="D124" s="24" t="s">
        <v>59</v>
      </c>
      <c r="E124" s="33"/>
      <c r="F124" s="34"/>
      <c r="G124" s="34" t="s">
        <v>248</v>
      </c>
      <c r="H124" s="35"/>
      <c r="I124" s="35"/>
      <c r="J124" s="35" t="s">
        <v>202</v>
      </c>
      <c r="N124" s="11" t="str">
        <f t="shared" si="7"/>
        <v>{$报告期文字表述};</v>
      </c>
    </row>
    <row r="125" spans="1:14" x14ac:dyDescent="0.25">
      <c r="A125" s="53" t="s">
        <v>96</v>
      </c>
      <c r="B125" s="22" t="str">
        <f t="shared" si="5"/>
        <v/>
      </c>
      <c r="C125" s="23"/>
      <c r="D125" s="24" t="s">
        <v>100</v>
      </c>
      <c r="E125" s="33"/>
      <c r="F125" s="34"/>
      <c r="G125" s="34"/>
      <c r="H125" s="35"/>
      <c r="I125" s="35"/>
      <c r="J125" s="35" t="s">
        <v>202</v>
      </c>
      <c r="N125" s="11" t="str">
        <f t="shared" si="7"/>
        <v>{$N4};</v>
      </c>
    </row>
    <row r="126" spans="1:14" x14ac:dyDescent="0.25">
      <c r="A126" s="53" t="s">
        <v>97</v>
      </c>
      <c r="B126" s="22" t="str">
        <f t="shared" si="5"/>
        <v/>
      </c>
      <c r="C126" s="23"/>
      <c r="D126" s="24" t="s">
        <v>101</v>
      </c>
      <c r="E126" s="33"/>
      <c r="F126" s="34"/>
      <c r="G126" s="34"/>
      <c r="H126" s="35"/>
      <c r="I126" s="35"/>
      <c r="J126" s="35" t="s">
        <v>202</v>
      </c>
      <c r="N126" s="11" t="str">
        <f t="shared" si="7"/>
        <v>{$N3};</v>
      </c>
    </row>
    <row r="127" spans="1:14" x14ac:dyDescent="0.25">
      <c r="A127" s="53" t="s">
        <v>98</v>
      </c>
      <c r="B127" s="22" t="str">
        <f t="shared" si="5"/>
        <v/>
      </c>
      <c r="C127" s="23"/>
      <c r="D127" s="24" t="s">
        <v>102</v>
      </c>
      <c r="E127" s="33"/>
      <c r="F127" s="34"/>
      <c r="G127" s="34"/>
      <c r="H127" s="35"/>
      <c r="I127" s="35"/>
      <c r="J127" s="35" t="s">
        <v>202</v>
      </c>
      <c r="N127" s="11" t="str">
        <f t="shared" si="7"/>
        <v>{$N2};</v>
      </c>
    </row>
    <row r="128" spans="1:14" x14ac:dyDescent="0.25">
      <c r="A128" s="53" t="s">
        <v>99</v>
      </c>
      <c r="B128" s="22" t="str">
        <f t="shared" si="5"/>
        <v/>
      </c>
      <c r="C128" s="23"/>
      <c r="D128" s="24" t="s">
        <v>103</v>
      </c>
      <c r="E128" s="33"/>
      <c r="F128" s="34"/>
      <c r="G128" s="34"/>
      <c r="H128" s="35"/>
      <c r="I128" s="35"/>
      <c r="J128" s="35" t="s">
        <v>202</v>
      </c>
      <c r="N128" s="11" t="str">
        <f t="shared" si="7"/>
        <v>{$N1};</v>
      </c>
    </row>
    <row r="129" spans="1:14" x14ac:dyDescent="0.25">
      <c r="A129" s="53" t="s">
        <v>158</v>
      </c>
      <c r="B129" s="22" t="str">
        <f t="shared" si="5"/>
        <v/>
      </c>
      <c r="C129" s="23"/>
      <c r="D129" s="24" t="s">
        <v>104</v>
      </c>
      <c r="E129" s="33"/>
      <c r="F129" s="34"/>
      <c r="G129" s="34" t="s">
        <v>248</v>
      </c>
      <c r="H129" s="35"/>
      <c r="I129" s="35"/>
      <c r="J129" s="35" t="s">
        <v>202</v>
      </c>
      <c r="N129" s="11" t="str">
        <f t="shared" si="7"/>
        <v>{$最近一期};</v>
      </c>
    </row>
    <row r="130" spans="1:14" x14ac:dyDescent="0.25">
      <c r="A130" s="53" t="s">
        <v>89</v>
      </c>
      <c r="B130" s="22" t="str">
        <f t="shared" si="5"/>
        <v/>
      </c>
      <c r="C130" s="23"/>
      <c r="D130" s="24" t="s">
        <v>105</v>
      </c>
      <c r="E130" s="33"/>
      <c r="F130" s="34"/>
      <c r="G130" s="34" t="s">
        <v>248</v>
      </c>
      <c r="H130" s="35"/>
      <c r="I130" s="35"/>
      <c r="J130" s="35" t="s">
        <v>202</v>
      </c>
      <c r="N130" s="11" t="str">
        <f t="shared" si="7"/>
        <v>{$第三年度};</v>
      </c>
    </row>
    <row r="131" spans="1:14" x14ac:dyDescent="0.25">
      <c r="A131" s="53" t="s">
        <v>90</v>
      </c>
      <c r="B131" s="22" t="str">
        <f t="shared" si="5"/>
        <v/>
      </c>
      <c r="C131" s="41"/>
      <c r="D131" s="42" t="s">
        <v>136</v>
      </c>
      <c r="E131" s="33"/>
      <c r="F131" s="34"/>
      <c r="G131" s="34" t="s">
        <v>248</v>
      </c>
      <c r="H131" s="35"/>
      <c r="I131" s="35"/>
      <c r="J131" s="35" t="s">
        <v>202</v>
      </c>
      <c r="N131" s="11" t="str">
        <f t="shared" si="7"/>
        <v>{$第二年度};</v>
      </c>
    </row>
    <row r="132" spans="1:14" x14ac:dyDescent="0.25">
      <c r="A132" s="53" t="s">
        <v>91</v>
      </c>
      <c r="B132" s="22" t="str">
        <f t="shared" si="5"/>
        <v/>
      </c>
      <c r="C132" s="41"/>
      <c r="D132" s="42" t="s">
        <v>137</v>
      </c>
      <c r="E132" s="33"/>
      <c r="F132" s="34"/>
      <c r="G132" s="34" t="s">
        <v>248</v>
      </c>
      <c r="H132" s="35"/>
      <c r="I132" s="35"/>
      <c r="J132" s="35" t="s">
        <v>202</v>
      </c>
      <c r="N132" s="11" t="str">
        <f t="shared" si="7"/>
        <v>{$第一年度};</v>
      </c>
    </row>
    <row r="133" spans="1:14" x14ac:dyDescent="0.25">
      <c r="A133" s="53" t="s">
        <v>92</v>
      </c>
      <c r="B133" s="22" t="str">
        <f t="shared" si="5"/>
        <v/>
      </c>
      <c r="C133" s="41"/>
      <c r="D133" s="42" t="s">
        <v>138</v>
      </c>
      <c r="E133" s="33"/>
      <c r="F133" s="34"/>
      <c r="G133" s="34" t="s">
        <v>248</v>
      </c>
      <c r="H133" s="35"/>
      <c r="I133" s="35"/>
      <c r="J133" s="35" t="s">
        <v>202</v>
      </c>
      <c r="N133" s="11" t="str">
        <f t="shared" si="7"/>
        <v>{$最近一期末};</v>
      </c>
    </row>
    <row r="134" spans="1:14" x14ac:dyDescent="0.25">
      <c r="A134" s="39" t="s">
        <v>212</v>
      </c>
      <c r="B134" s="22" t="str">
        <f t="shared" si="5"/>
        <v/>
      </c>
      <c r="C134" s="41"/>
      <c r="D134" s="42" t="s">
        <v>138</v>
      </c>
      <c r="E134" s="33"/>
      <c r="F134" s="34"/>
      <c r="G134" s="35"/>
      <c r="H134" s="35"/>
      <c r="I134" s="35"/>
      <c r="J134" s="35" t="s">
        <v>202</v>
      </c>
      <c r="N134" s="11" t="str">
        <f t="shared" si="7"/>
        <v>{$报告期末};</v>
      </c>
    </row>
    <row r="135" spans="1:14" x14ac:dyDescent="0.25">
      <c r="A135" s="39" t="s">
        <v>213</v>
      </c>
      <c r="B135" s="22" t="str">
        <f t="shared" si="5"/>
        <v/>
      </c>
      <c r="C135" s="41"/>
      <c r="D135" s="42" t="s">
        <v>231</v>
      </c>
      <c r="E135" s="33"/>
      <c r="F135" s="34"/>
      <c r="G135" s="35"/>
      <c r="H135" s="35"/>
      <c r="I135" s="35"/>
      <c r="J135" s="35" t="s">
        <v>202</v>
      </c>
      <c r="N135" s="11" t="str">
        <f t="shared" si="7"/>
        <v>{$报告期内};</v>
      </c>
    </row>
    <row r="136" spans="1:14" x14ac:dyDescent="0.25">
      <c r="A136" s="53" t="s">
        <v>93</v>
      </c>
      <c r="B136" s="22" t="str">
        <f t="shared" si="5"/>
        <v/>
      </c>
      <c r="C136" s="41"/>
      <c r="D136" s="42" t="s">
        <v>139</v>
      </c>
      <c r="E136" s="33"/>
      <c r="F136" s="34"/>
      <c r="G136" s="35"/>
      <c r="H136" s="35"/>
      <c r="I136" s="35"/>
      <c r="J136" s="35" t="s">
        <v>202</v>
      </c>
      <c r="N136" s="11" t="str">
        <f t="shared" si="7"/>
        <v>{$第三年末};</v>
      </c>
    </row>
    <row r="137" spans="1:14" x14ac:dyDescent="0.25">
      <c r="A137" s="53" t="s">
        <v>94</v>
      </c>
      <c r="B137" s="22" t="str">
        <f t="shared" si="5"/>
        <v/>
      </c>
      <c r="C137" s="41"/>
      <c r="D137" s="42" t="s">
        <v>140</v>
      </c>
      <c r="E137" s="33"/>
      <c r="F137" s="34"/>
      <c r="G137" s="35"/>
      <c r="H137" s="35"/>
      <c r="I137" s="35"/>
      <c r="J137" s="35" t="s">
        <v>202</v>
      </c>
      <c r="N137" s="11" t="str">
        <f t="shared" si="7"/>
        <v>{$第二年末};</v>
      </c>
    </row>
    <row r="138" spans="1:14" x14ac:dyDescent="0.25">
      <c r="A138" s="53" t="s">
        <v>95</v>
      </c>
      <c r="B138" s="22" t="str">
        <f t="shared" si="5"/>
        <v/>
      </c>
      <c r="C138" s="41"/>
      <c r="D138" s="42" t="s">
        <v>141</v>
      </c>
      <c r="E138" s="33"/>
      <c r="F138" s="34"/>
      <c r="G138" s="35"/>
      <c r="H138" s="35"/>
      <c r="I138" s="35"/>
      <c r="J138" s="35" t="s">
        <v>202</v>
      </c>
      <c r="N138" s="11" t="str">
        <f t="shared" si="7"/>
        <v>{$第一年末};</v>
      </c>
    </row>
    <row r="139" spans="1:14" x14ac:dyDescent="0.25">
      <c r="A139" s="53" t="s">
        <v>237</v>
      </c>
      <c r="B139" s="22" t="str">
        <f t="shared" si="5"/>
        <v/>
      </c>
      <c r="C139" s="41"/>
      <c r="D139" s="42" t="s">
        <v>240</v>
      </c>
      <c r="E139" s="33"/>
      <c r="F139" s="34"/>
      <c r="G139" s="35"/>
      <c r="H139" s="35"/>
      <c r="I139" s="35"/>
      <c r="J139" s="35" t="s">
        <v>202</v>
      </c>
      <c r="N139" s="11" t="str">
        <f t="shared" si="7"/>
        <v>{$第三年};</v>
      </c>
    </row>
    <row r="140" spans="1:14" x14ac:dyDescent="0.25">
      <c r="A140" s="53" t="s">
        <v>238</v>
      </c>
      <c r="B140" s="22" t="str">
        <f t="shared" si="5"/>
        <v/>
      </c>
      <c r="C140" s="41"/>
      <c r="D140" s="42" t="s">
        <v>241</v>
      </c>
      <c r="E140" s="33"/>
      <c r="F140" s="34"/>
      <c r="G140" s="35"/>
      <c r="H140" s="35"/>
      <c r="I140" s="35"/>
      <c r="J140" s="35" t="s">
        <v>202</v>
      </c>
      <c r="N140" s="11" t="str">
        <f t="shared" si="7"/>
        <v>{$第二年};</v>
      </c>
    </row>
    <row r="141" spans="1:14" x14ac:dyDescent="0.25">
      <c r="A141" s="53" t="s">
        <v>239</v>
      </c>
      <c r="B141" s="22" t="str">
        <f t="shared" si="5"/>
        <v/>
      </c>
      <c r="C141" s="41"/>
      <c r="D141" s="42" t="s">
        <v>242</v>
      </c>
      <c r="E141" s="33"/>
      <c r="F141" s="34"/>
      <c r="G141" s="35"/>
      <c r="H141" s="35"/>
      <c r="I141" s="35"/>
      <c r="J141" s="35" t="s">
        <v>202</v>
      </c>
      <c r="N141" s="11" t="str">
        <f t="shared" si="7"/>
        <v>{$第一年};</v>
      </c>
    </row>
    <row r="142" spans="1:14" x14ac:dyDescent="0.25">
      <c r="A142" s="53" t="s">
        <v>270</v>
      </c>
      <c r="B142" s="22" t="str">
        <f>TEXT(TRIM(C142),"yyyy年mm月dd日")</f>
        <v/>
      </c>
      <c r="C142" s="54"/>
      <c r="D142" s="55">
        <v>44012</v>
      </c>
      <c r="E142" s="33"/>
      <c r="F142" s="34"/>
      <c r="G142" s="35"/>
      <c r="H142" s="35"/>
      <c r="I142" s="35"/>
      <c r="J142" s="35" t="s">
        <v>202</v>
      </c>
      <c r="N142" s="11" t="str">
        <f>A142&amp;";"&amp;TEXT(B142,"yyyy年mm月dd日")</f>
        <v>{$模拟变动基准日};</v>
      </c>
    </row>
    <row r="143" spans="1:14" x14ac:dyDescent="0.25">
      <c r="A143" s="21" t="s">
        <v>119</v>
      </c>
      <c r="B143" s="22" t="str">
        <f t="shared" si="5"/>
        <v/>
      </c>
      <c r="C143" s="23"/>
      <c r="D143" s="24" t="s">
        <v>232</v>
      </c>
      <c r="E143" s="33"/>
      <c r="F143" s="34"/>
      <c r="G143" s="35"/>
      <c r="H143" s="35" t="s">
        <v>201</v>
      </c>
      <c r="I143" s="35"/>
      <c r="J143" s="35"/>
      <c r="N143" s="11" t="str">
        <f>A143&amp;";"&amp;B143</f>
        <v>{$协议签订城市};</v>
      </c>
    </row>
    <row r="144" spans="1:14" x14ac:dyDescent="0.25">
      <c r="A144" s="39" t="s">
        <v>164</v>
      </c>
      <c r="B144" s="22" t="str">
        <f>TEXT(TRIM(C144),"yyyy年mm月dd日")</f>
        <v/>
      </c>
      <c r="C144" s="41"/>
      <c r="D144" s="42"/>
      <c r="E144" s="33"/>
      <c r="F144" s="34"/>
      <c r="G144" s="35"/>
      <c r="H144" s="35"/>
      <c r="I144" s="35"/>
      <c r="J144" s="35" t="s">
        <v>202</v>
      </c>
      <c r="N144" s="11" t="str">
        <f t="shared" ref="N144:N163" si="8">A144&amp;";"&amp;TEXT(B144,"yyyy年mm月dd日")</f>
        <v>{$日志填表DAY1};</v>
      </c>
    </row>
    <row r="145" spans="1:14" x14ac:dyDescent="0.25">
      <c r="A145" s="39" t="s">
        <v>165</v>
      </c>
      <c r="B145" s="22" t="str">
        <f t="shared" ref="B145:B163" si="9">TEXT(TRIM(C145),"yyyy年mm月dd日")</f>
        <v/>
      </c>
      <c r="C145" s="41"/>
      <c r="D145" s="42"/>
      <c r="E145" s="33"/>
      <c r="F145" s="34"/>
      <c r="G145" s="35"/>
      <c r="H145" s="35"/>
      <c r="I145" s="35"/>
      <c r="J145" s="35" t="s">
        <v>202</v>
      </c>
      <c r="N145" s="11" t="str">
        <f t="shared" si="8"/>
        <v>{$日志填表DAY2};</v>
      </c>
    </row>
    <row r="146" spans="1:14" x14ac:dyDescent="0.25">
      <c r="A146" s="39" t="s">
        <v>166</v>
      </c>
      <c r="B146" s="22" t="str">
        <f t="shared" si="9"/>
        <v/>
      </c>
      <c r="C146" s="41"/>
      <c r="D146" s="42"/>
      <c r="E146" s="33"/>
      <c r="F146" s="34"/>
      <c r="G146" s="35"/>
      <c r="H146" s="35"/>
      <c r="I146" s="35"/>
      <c r="J146" s="35" t="s">
        <v>202</v>
      </c>
      <c r="N146" s="11" t="str">
        <f t="shared" si="8"/>
        <v>{$日志填表DAY3};</v>
      </c>
    </row>
    <row r="147" spans="1:14" x14ac:dyDescent="0.25">
      <c r="A147" s="39" t="s">
        <v>167</v>
      </c>
      <c r="B147" s="22" t="str">
        <f t="shared" si="9"/>
        <v/>
      </c>
      <c r="C147" s="41"/>
      <c r="D147" s="42"/>
      <c r="E147" s="33"/>
      <c r="F147" s="34"/>
      <c r="G147" s="35"/>
      <c r="H147" s="35"/>
      <c r="I147" s="35"/>
      <c r="J147" s="35" t="s">
        <v>202</v>
      </c>
      <c r="N147" s="11" t="str">
        <f t="shared" si="8"/>
        <v>{$日志填表DAY4};</v>
      </c>
    </row>
    <row r="148" spans="1:14" x14ac:dyDescent="0.25">
      <c r="A148" s="39" t="s">
        <v>168</v>
      </c>
      <c r="B148" s="22" t="str">
        <f t="shared" si="9"/>
        <v/>
      </c>
      <c r="C148" s="41"/>
      <c r="D148" s="42"/>
      <c r="E148" s="33"/>
      <c r="F148" s="34"/>
      <c r="G148" s="35"/>
      <c r="H148" s="35"/>
      <c r="I148" s="35"/>
      <c r="J148" s="35" t="s">
        <v>202</v>
      </c>
      <c r="N148" s="11" t="str">
        <f t="shared" si="8"/>
        <v>{$日志填表DAY5};</v>
      </c>
    </row>
    <row r="149" spans="1:14" x14ac:dyDescent="0.25">
      <c r="A149" s="39" t="s">
        <v>169</v>
      </c>
      <c r="B149" s="22" t="str">
        <f t="shared" si="9"/>
        <v/>
      </c>
      <c r="C149" s="41"/>
      <c r="D149" s="42"/>
      <c r="E149" s="33"/>
      <c r="F149" s="34"/>
      <c r="G149" s="35"/>
      <c r="H149" s="35"/>
      <c r="I149" s="35"/>
      <c r="J149" s="35" t="s">
        <v>202</v>
      </c>
      <c r="N149" s="11" t="str">
        <f t="shared" si="8"/>
        <v>{$日志填表DAY6};</v>
      </c>
    </row>
    <row r="150" spans="1:14" x14ac:dyDescent="0.25">
      <c r="A150" s="39" t="s">
        <v>170</v>
      </c>
      <c r="B150" s="22" t="str">
        <f t="shared" si="9"/>
        <v/>
      </c>
      <c r="C150" s="41"/>
      <c r="D150" s="42"/>
      <c r="E150" s="33"/>
      <c r="F150" s="34"/>
      <c r="G150" s="35"/>
      <c r="H150" s="35"/>
      <c r="I150" s="35"/>
      <c r="J150" s="35" t="s">
        <v>202</v>
      </c>
      <c r="N150" s="11" t="str">
        <f t="shared" si="8"/>
        <v>{$日志填表DAY7};</v>
      </c>
    </row>
    <row r="151" spans="1:14" x14ac:dyDescent="0.25">
      <c r="A151" s="39" t="s">
        <v>171</v>
      </c>
      <c r="B151" s="22" t="str">
        <f t="shared" si="9"/>
        <v/>
      </c>
      <c r="C151" s="41"/>
      <c r="D151" s="42"/>
      <c r="E151" s="33"/>
      <c r="F151" s="34"/>
      <c r="G151" s="35"/>
      <c r="H151" s="35"/>
      <c r="I151" s="35"/>
      <c r="J151" s="35" t="s">
        <v>202</v>
      </c>
      <c r="N151" s="11" t="str">
        <f t="shared" si="8"/>
        <v>{$日志填表DAY8};</v>
      </c>
    </row>
    <row r="152" spans="1:14" x14ac:dyDescent="0.25">
      <c r="A152" s="39" t="s">
        <v>172</v>
      </c>
      <c r="B152" s="22" t="str">
        <f t="shared" si="9"/>
        <v/>
      </c>
      <c r="C152" s="41"/>
      <c r="D152" s="42"/>
      <c r="E152" s="33"/>
      <c r="F152" s="34"/>
      <c r="G152" s="35"/>
      <c r="H152" s="35"/>
      <c r="I152" s="35"/>
      <c r="J152" s="35" t="s">
        <v>202</v>
      </c>
      <c r="N152" s="11" t="str">
        <f t="shared" si="8"/>
        <v>{$日志填表DAY9};</v>
      </c>
    </row>
    <row r="153" spans="1:14" x14ac:dyDescent="0.25">
      <c r="A153" s="39" t="s">
        <v>173</v>
      </c>
      <c r="B153" s="22" t="str">
        <f t="shared" si="9"/>
        <v/>
      </c>
      <c r="C153" s="41"/>
      <c r="D153" s="42"/>
      <c r="E153" s="33"/>
      <c r="F153" s="34"/>
      <c r="G153" s="35"/>
      <c r="H153" s="35"/>
      <c r="I153" s="35"/>
      <c r="J153" s="35" t="s">
        <v>202</v>
      </c>
      <c r="N153" s="11" t="str">
        <f t="shared" si="8"/>
        <v>{$日志填表DAY10};</v>
      </c>
    </row>
    <row r="154" spans="1:14" x14ac:dyDescent="0.25">
      <c r="A154" s="39" t="s">
        <v>174</v>
      </c>
      <c r="B154" s="22" t="str">
        <f t="shared" si="9"/>
        <v/>
      </c>
      <c r="C154" s="41"/>
      <c r="D154" s="42"/>
      <c r="E154" s="33"/>
      <c r="F154" s="34"/>
      <c r="G154" s="35"/>
      <c r="H154" s="35"/>
      <c r="I154" s="35"/>
      <c r="J154" s="35" t="s">
        <v>202</v>
      </c>
      <c r="N154" s="11" t="str">
        <f t="shared" si="8"/>
        <v>{$日志填表DAY11};</v>
      </c>
    </row>
    <row r="155" spans="1:14" x14ac:dyDescent="0.25">
      <c r="A155" s="39" t="s">
        <v>175</v>
      </c>
      <c r="B155" s="22" t="str">
        <f t="shared" si="9"/>
        <v/>
      </c>
      <c r="C155" s="41"/>
      <c r="D155" s="42"/>
      <c r="E155" s="33"/>
      <c r="F155" s="34"/>
      <c r="G155" s="35"/>
      <c r="H155" s="35"/>
      <c r="I155" s="35"/>
      <c r="J155" s="35" t="s">
        <v>202</v>
      </c>
      <c r="N155" s="11" t="str">
        <f t="shared" si="8"/>
        <v>{$日志填表DAY12};</v>
      </c>
    </row>
    <row r="156" spans="1:14" x14ac:dyDescent="0.25">
      <c r="A156" s="39" t="s">
        <v>176</v>
      </c>
      <c r="B156" s="22" t="str">
        <f t="shared" si="9"/>
        <v/>
      </c>
      <c r="C156" s="41"/>
      <c r="D156" s="42"/>
      <c r="E156" s="33"/>
      <c r="F156" s="34"/>
      <c r="G156" s="35"/>
      <c r="H156" s="35"/>
      <c r="I156" s="35"/>
      <c r="J156" s="35" t="s">
        <v>202</v>
      </c>
      <c r="N156" s="11" t="str">
        <f t="shared" si="8"/>
        <v>{$日志填表DAY13};</v>
      </c>
    </row>
    <row r="157" spans="1:14" x14ac:dyDescent="0.25">
      <c r="A157" s="39" t="s">
        <v>177</v>
      </c>
      <c r="B157" s="22" t="str">
        <f t="shared" si="9"/>
        <v/>
      </c>
      <c r="C157" s="41"/>
      <c r="D157" s="42"/>
      <c r="E157" s="33"/>
      <c r="F157" s="34"/>
      <c r="G157" s="35"/>
      <c r="H157" s="35"/>
      <c r="I157" s="35"/>
      <c r="J157" s="35" t="s">
        <v>202</v>
      </c>
      <c r="N157" s="11" t="str">
        <f t="shared" si="8"/>
        <v>{$日志填表DAY14};</v>
      </c>
    </row>
    <row r="158" spans="1:14" x14ac:dyDescent="0.25">
      <c r="A158" s="39" t="s">
        <v>178</v>
      </c>
      <c r="B158" s="22" t="str">
        <f t="shared" si="9"/>
        <v/>
      </c>
      <c r="C158" s="41"/>
      <c r="D158" s="42"/>
      <c r="E158" s="33"/>
      <c r="F158" s="34"/>
      <c r="G158" s="35"/>
      <c r="H158" s="35"/>
      <c r="I158" s="35"/>
      <c r="J158" s="35" t="s">
        <v>202</v>
      </c>
      <c r="N158" s="11" t="str">
        <f t="shared" si="8"/>
        <v>{$日志填表DAY15};</v>
      </c>
    </row>
    <row r="159" spans="1:14" x14ac:dyDescent="0.25">
      <c r="A159" s="39" t="s">
        <v>179</v>
      </c>
      <c r="B159" s="22" t="str">
        <f t="shared" si="9"/>
        <v/>
      </c>
      <c r="C159" s="41"/>
      <c r="D159" s="42"/>
      <c r="E159" s="33"/>
      <c r="F159" s="34"/>
      <c r="G159" s="35"/>
      <c r="H159" s="35"/>
      <c r="I159" s="35"/>
      <c r="J159" s="35" t="s">
        <v>202</v>
      </c>
      <c r="N159" s="11" t="str">
        <f t="shared" si="8"/>
        <v>{$日志填表DAY16};</v>
      </c>
    </row>
    <row r="160" spans="1:14" x14ac:dyDescent="0.25">
      <c r="A160" s="39" t="s">
        <v>180</v>
      </c>
      <c r="B160" s="22" t="str">
        <f t="shared" si="9"/>
        <v/>
      </c>
      <c r="C160" s="41"/>
      <c r="D160" s="42"/>
      <c r="E160" s="33"/>
      <c r="F160" s="34"/>
      <c r="G160" s="35"/>
      <c r="H160" s="35"/>
      <c r="I160" s="35"/>
      <c r="J160" s="35" t="s">
        <v>202</v>
      </c>
      <c r="N160" s="11" t="str">
        <f t="shared" si="8"/>
        <v>{$日志填表DAY17};</v>
      </c>
    </row>
    <row r="161" spans="1:14" x14ac:dyDescent="0.25">
      <c r="A161" s="39" t="s">
        <v>181</v>
      </c>
      <c r="B161" s="22" t="str">
        <f t="shared" si="9"/>
        <v/>
      </c>
      <c r="C161" s="41"/>
      <c r="D161" s="42"/>
      <c r="E161" s="33"/>
      <c r="F161" s="34"/>
      <c r="G161" s="35"/>
      <c r="H161" s="35"/>
      <c r="I161" s="35"/>
      <c r="J161" s="35" t="s">
        <v>202</v>
      </c>
      <c r="N161" s="11" t="str">
        <f t="shared" si="8"/>
        <v>{$日志填表DAY18};</v>
      </c>
    </row>
    <row r="162" spans="1:14" x14ac:dyDescent="0.25">
      <c r="A162" s="39" t="s">
        <v>182</v>
      </c>
      <c r="B162" s="22" t="str">
        <f t="shared" si="9"/>
        <v/>
      </c>
      <c r="C162" s="41"/>
      <c r="D162" s="42"/>
      <c r="E162" s="33"/>
      <c r="F162" s="34"/>
      <c r="G162" s="35"/>
      <c r="H162" s="35"/>
      <c r="I162" s="35"/>
      <c r="J162" s="35" t="s">
        <v>202</v>
      </c>
      <c r="N162" s="11" t="str">
        <f t="shared" si="8"/>
        <v>{$日志填表DAY19};</v>
      </c>
    </row>
    <row r="163" spans="1:14" x14ac:dyDescent="0.25">
      <c r="A163" s="39" t="s">
        <v>183</v>
      </c>
      <c r="B163" s="22" t="str">
        <f t="shared" si="9"/>
        <v/>
      </c>
      <c r="C163" s="41"/>
      <c r="D163" s="42"/>
      <c r="E163" s="33"/>
      <c r="F163" s="34"/>
      <c r="G163" s="35"/>
      <c r="H163" s="35"/>
      <c r="I163" s="35"/>
      <c r="J163" s="35" t="s">
        <v>202</v>
      </c>
      <c r="N163" s="11" t="str">
        <f t="shared" si="8"/>
        <v>{$日志填表DAY20};</v>
      </c>
    </row>
    <row r="164" spans="1:14" x14ac:dyDescent="0.25">
      <c r="A164" s="39" t="s">
        <v>184</v>
      </c>
      <c r="B164" s="22" t="str">
        <f t="shared" ref="B164:B168" si="10">TRIM(C164)</f>
        <v/>
      </c>
      <c r="C164" s="41"/>
      <c r="D164" s="42"/>
      <c r="E164" s="33"/>
      <c r="F164" s="34"/>
      <c r="G164" s="35"/>
      <c r="H164" s="35"/>
      <c r="I164" s="35"/>
      <c r="J164" s="35" t="s">
        <v>202</v>
      </c>
      <c r="N164" s="11" t="str">
        <f>A164&amp;";"&amp;B164</f>
        <v>{$尽职调查报告期时间};</v>
      </c>
    </row>
    <row r="165" spans="1:14" x14ac:dyDescent="0.25">
      <c r="A165" s="39" t="s">
        <v>186</v>
      </c>
      <c r="B165" s="22" t="str">
        <f t="shared" si="10"/>
        <v/>
      </c>
      <c r="C165" s="41"/>
      <c r="D165" s="42"/>
      <c r="E165" s="33"/>
      <c r="F165" s="34"/>
      <c r="G165" s="35"/>
      <c r="H165" s="35"/>
      <c r="I165" s="35"/>
      <c r="J165" s="35" t="s">
        <v>202</v>
      </c>
      <c r="N165" s="11" t="str">
        <f>A165&amp;";"&amp;B165</f>
        <v>{$工作日志填报人1};</v>
      </c>
    </row>
    <row r="166" spans="1:14" x14ac:dyDescent="0.25">
      <c r="A166" s="39" t="s">
        <v>187</v>
      </c>
      <c r="B166" s="22" t="str">
        <f t="shared" si="10"/>
        <v/>
      </c>
      <c r="C166" s="41"/>
      <c r="D166" s="42"/>
      <c r="E166" s="33"/>
      <c r="F166" s="34"/>
      <c r="G166" s="35"/>
      <c r="H166" s="35"/>
      <c r="I166" s="35"/>
      <c r="J166" s="35" t="s">
        <v>202</v>
      </c>
      <c r="N166" s="11" t="str">
        <f>A166&amp;";"&amp;B166</f>
        <v>{$工作日志填报人2};</v>
      </c>
    </row>
    <row r="167" spans="1:14" x14ac:dyDescent="0.25">
      <c r="A167" s="39" t="s">
        <v>214</v>
      </c>
      <c r="B167" s="22" t="str">
        <f t="shared" si="10"/>
        <v/>
      </c>
      <c r="C167" s="41"/>
      <c r="D167" s="42"/>
      <c r="E167" s="33"/>
      <c r="F167" s="34"/>
      <c r="G167" s="35"/>
      <c r="H167" s="35"/>
      <c r="I167" s="35"/>
      <c r="J167" s="35" t="s">
        <v>202</v>
      </c>
      <c r="N167" s="11" t="str">
        <f>A167&amp;";"&amp;B167</f>
        <v>{$核查人1};</v>
      </c>
    </row>
    <row r="168" spans="1:14" x14ac:dyDescent="0.25">
      <c r="A168" s="39" t="s">
        <v>215</v>
      </c>
      <c r="B168" s="22" t="str">
        <f t="shared" si="10"/>
        <v/>
      </c>
      <c r="C168" s="41"/>
      <c r="D168" s="42"/>
      <c r="E168" s="33"/>
      <c r="F168" s="34"/>
      <c r="G168" s="35"/>
      <c r="H168" s="35"/>
      <c r="I168" s="35"/>
      <c r="J168" s="35" t="s">
        <v>202</v>
      </c>
      <c r="N168" s="11" t="str">
        <f>A168&amp;";"&amp;B168</f>
        <v>{$核查人2};</v>
      </c>
    </row>
    <row r="169" spans="1:14" x14ac:dyDescent="0.25">
      <c r="A169" s="56" t="s">
        <v>216</v>
      </c>
      <c r="B169" s="22" t="str">
        <f t="shared" ref="B169:B179" si="11">TEXT(TRIM(C169),"yyyy年mm月dd日")</f>
        <v/>
      </c>
      <c r="C169" s="41"/>
      <c r="D169" s="42"/>
      <c r="E169" s="33"/>
      <c r="F169" s="34"/>
      <c r="G169" s="35"/>
      <c r="H169" s="35"/>
      <c r="I169" s="35"/>
      <c r="J169" s="35" t="s">
        <v>202</v>
      </c>
      <c r="N169" s="11" t="str">
        <f t="shared" ref="N169:N179" si="12">A169&amp;";"&amp;TEXT(B169,"yyyy年mm月dd日")</f>
        <v>{$核查时间1};</v>
      </c>
    </row>
    <row r="170" spans="1:14" x14ac:dyDescent="0.25">
      <c r="A170" s="56" t="s">
        <v>217</v>
      </c>
      <c r="B170" s="22" t="str">
        <f t="shared" si="11"/>
        <v/>
      </c>
      <c r="C170" s="41"/>
      <c r="D170" s="42"/>
      <c r="E170" s="33"/>
      <c r="F170" s="34"/>
      <c r="G170" s="35"/>
      <c r="H170" s="35"/>
      <c r="I170" s="35"/>
      <c r="J170" s="35" t="s">
        <v>202</v>
      </c>
      <c r="N170" s="11" t="str">
        <f t="shared" si="12"/>
        <v>{$核查时间2};</v>
      </c>
    </row>
    <row r="171" spans="1:14" x14ac:dyDescent="0.25">
      <c r="A171" s="56" t="s">
        <v>218</v>
      </c>
      <c r="B171" s="22" t="str">
        <f t="shared" si="11"/>
        <v/>
      </c>
      <c r="C171" s="41"/>
      <c r="D171" s="42"/>
      <c r="E171" s="33"/>
      <c r="F171" s="34"/>
      <c r="G171" s="35"/>
      <c r="H171" s="35"/>
      <c r="I171" s="35"/>
      <c r="J171" s="35" t="s">
        <v>202</v>
      </c>
      <c r="N171" s="11" t="str">
        <f t="shared" si="12"/>
        <v>{$核查时间3};</v>
      </c>
    </row>
    <row r="172" spans="1:14" x14ac:dyDescent="0.25">
      <c r="A172" s="56" t="s">
        <v>219</v>
      </c>
      <c r="B172" s="22" t="str">
        <f t="shared" si="11"/>
        <v/>
      </c>
      <c r="C172" s="41"/>
      <c r="D172" s="42"/>
      <c r="E172" s="33"/>
      <c r="F172" s="34"/>
      <c r="G172" s="35"/>
      <c r="H172" s="35"/>
      <c r="I172" s="35"/>
      <c r="J172" s="35" t="s">
        <v>202</v>
      </c>
      <c r="N172" s="11" t="str">
        <f t="shared" si="12"/>
        <v>{$核查时间4};</v>
      </c>
    </row>
    <row r="173" spans="1:14" x14ac:dyDescent="0.25">
      <c r="A173" s="56" t="s">
        <v>220</v>
      </c>
      <c r="B173" s="22" t="str">
        <f t="shared" si="11"/>
        <v/>
      </c>
      <c r="C173" s="41"/>
      <c r="D173" s="42"/>
      <c r="E173" s="33"/>
      <c r="F173" s="34"/>
      <c r="G173" s="35"/>
      <c r="H173" s="35"/>
      <c r="I173" s="35"/>
      <c r="J173" s="35" t="s">
        <v>202</v>
      </c>
      <c r="N173" s="11" t="str">
        <f t="shared" si="12"/>
        <v>{$核查时间5};</v>
      </c>
    </row>
    <row r="174" spans="1:14" x14ac:dyDescent="0.25">
      <c r="A174" s="56" t="s">
        <v>221</v>
      </c>
      <c r="B174" s="22" t="str">
        <f t="shared" si="11"/>
        <v/>
      </c>
      <c r="C174" s="41"/>
      <c r="D174" s="42"/>
      <c r="E174" s="33"/>
      <c r="F174" s="34"/>
      <c r="G174" s="35"/>
      <c r="H174" s="35"/>
      <c r="I174" s="35"/>
      <c r="J174" s="35" t="s">
        <v>202</v>
      </c>
      <c r="N174" s="11" t="str">
        <f t="shared" si="12"/>
        <v>{$核查时间6};</v>
      </c>
    </row>
    <row r="175" spans="1:14" x14ac:dyDescent="0.25">
      <c r="A175" s="56" t="s">
        <v>222</v>
      </c>
      <c r="B175" s="22" t="str">
        <f t="shared" si="11"/>
        <v/>
      </c>
      <c r="C175" s="41"/>
      <c r="D175" s="42"/>
      <c r="E175" s="33"/>
      <c r="F175" s="34"/>
      <c r="G175" s="35"/>
      <c r="H175" s="35"/>
      <c r="I175" s="35"/>
      <c r="J175" s="35" t="s">
        <v>202</v>
      </c>
      <c r="N175" s="11" t="str">
        <f t="shared" si="12"/>
        <v>{$核查时间7};</v>
      </c>
    </row>
    <row r="176" spans="1:14" x14ac:dyDescent="0.25">
      <c r="A176" s="56" t="s">
        <v>223</v>
      </c>
      <c r="B176" s="22" t="str">
        <f t="shared" si="11"/>
        <v/>
      </c>
      <c r="C176" s="41"/>
      <c r="D176" s="42"/>
      <c r="E176" s="33"/>
      <c r="F176" s="34"/>
      <c r="G176" s="35"/>
      <c r="H176" s="35"/>
      <c r="I176" s="35"/>
      <c r="J176" s="35" t="s">
        <v>202</v>
      </c>
      <c r="N176" s="11" t="str">
        <f t="shared" si="12"/>
        <v>{$核查时间8};</v>
      </c>
    </row>
    <row r="177" spans="1:14" x14ac:dyDescent="0.25">
      <c r="A177" s="56" t="s">
        <v>224</v>
      </c>
      <c r="B177" s="22" t="str">
        <f t="shared" si="11"/>
        <v/>
      </c>
      <c r="C177" s="41"/>
      <c r="D177" s="42"/>
      <c r="E177" s="33"/>
      <c r="F177" s="34"/>
      <c r="G177" s="35"/>
      <c r="H177" s="35"/>
      <c r="I177" s="35"/>
      <c r="J177" s="35" t="s">
        <v>202</v>
      </c>
      <c r="N177" s="11" t="str">
        <f t="shared" si="12"/>
        <v>{$核查时间9};</v>
      </c>
    </row>
    <row r="178" spans="1:14" x14ac:dyDescent="0.25">
      <c r="A178" s="56" t="s">
        <v>225</v>
      </c>
      <c r="B178" s="22" t="str">
        <f t="shared" si="11"/>
        <v/>
      </c>
      <c r="C178" s="41"/>
      <c r="D178" s="42"/>
      <c r="E178" s="33"/>
      <c r="F178" s="34"/>
      <c r="G178" s="35"/>
      <c r="H178" s="35"/>
      <c r="I178" s="35"/>
      <c r="J178" s="35" t="s">
        <v>202</v>
      </c>
      <c r="N178" s="11" t="str">
        <f t="shared" si="12"/>
        <v>{$核查时间10};</v>
      </c>
    </row>
    <row r="179" spans="1:14" x14ac:dyDescent="0.25">
      <c r="A179" s="39" t="s">
        <v>226</v>
      </c>
      <c r="B179" s="22" t="str">
        <f t="shared" si="11"/>
        <v/>
      </c>
      <c r="C179" s="41"/>
      <c r="D179" s="42"/>
      <c r="E179" s="33"/>
      <c r="F179" s="34"/>
      <c r="G179" s="35"/>
      <c r="H179" s="35"/>
      <c r="I179" s="35"/>
      <c r="J179" s="35" t="s">
        <v>202</v>
      </c>
      <c r="N179" s="11" t="str">
        <f t="shared" si="12"/>
        <v>{$落款日期};</v>
      </c>
    </row>
  </sheetData>
  <phoneticPr fontId="1" type="noConversion"/>
  <conditionalFormatting sqref="K1">
    <cfRule type="duplicateValues" dxfId="17" priority="23"/>
  </conditionalFormatting>
  <conditionalFormatting sqref="A103:A104">
    <cfRule type="duplicateValues" dxfId="16" priority="21"/>
  </conditionalFormatting>
  <conditionalFormatting sqref="A144:A1048576 G28:G29 A105:A112 A9:A10 A18:A21 A23:A29 A99:A102 A14 A31:A34 G31:G33 A36:A87 A115:A116 A2:A7">
    <cfRule type="duplicateValues" dxfId="15" priority="26"/>
  </conditionalFormatting>
  <conditionalFormatting sqref="A113:A114">
    <cfRule type="duplicateValues" dxfId="14" priority="31"/>
  </conditionalFormatting>
  <conditionalFormatting sqref="A22">
    <cfRule type="duplicateValues" dxfId="13" priority="15"/>
  </conditionalFormatting>
  <conditionalFormatting sqref="A129:A141">
    <cfRule type="duplicateValues" dxfId="12" priority="13"/>
  </conditionalFormatting>
  <conditionalFormatting sqref="A117:A119">
    <cfRule type="duplicateValues" dxfId="11" priority="11"/>
  </conditionalFormatting>
  <conditionalFormatting sqref="A120:A123">
    <cfRule type="duplicateValues" dxfId="10" priority="39"/>
  </conditionalFormatting>
  <conditionalFormatting sqref="A1">
    <cfRule type="duplicateValues" dxfId="9" priority="40"/>
  </conditionalFormatting>
  <conditionalFormatting sqref="A143">
    <cfRule type="duplicateValues" dxfId="8" priority="49"/>
  </conditionalFormatting>
  <conditionalFormatting sqref="A124">
    <cfRule type="duplicateValues" dxfId="7" priority="51"/>
  </conditionalFormatting>
  <conditionalFormatting sqref="A88:A91">
    <cfRule type="duplicateValues" dxfId="6" priority="7"/>
  </conditionalFormatting>
  <conditionalFormatting sqref="A11">
    <cfRule type="duplicateValues" dxfId="5" priority="6"/>
  </conditionalFormatting>
  <conditionalFormatting sqref="A12:A13">
    <cfRule type="duplicateValues" dxfId="4" priority="5"/>
  </conditionalFormatting>
  <conditionalFormatting sqref="A35">
    <cfRule type="duplicateValues" dxfId="3" priority="4"/>
  </conditionalFormatting>
  <conditionalFormatting sqref="C114:C116">
    <cfRule type="duplicateValues" dxfId="2" priority="3"/>
  </conditionalFormatting>
  <conditionalFormatting sqref="A142">
    <cfRule type="duplicateValues" dxfId="1" priority="2"/>
  </conditionalFormatting>
  <conditionalFormatting sqref="D114:D116">
    <cfRule type="duplicateValues" dxfId="0" priority="1"/>
  </conditionalFormatting>
  <dataValidations count="6">
    <dataValidation type="list" allowBlank="1" showInputMessage="1" showErrorMessage="1" sqref="C113:D113" xr:uid="{42FD65CD-A659-4638-9A5D-30E054BE0E54}">
      <formula1>"股东,股东会,股东大会"</formula1>
    </dataValidation>
    <dataValidation type="list" allowBlank="1" showInputMessage="1" showErrorMessage="1" sqref="C124:D124" xr:uid="{06E27B19-BEE0-4BEA-B37D-93D4A78A977B}">
      <formula1>"最近两年及一期,最近两年,最近三年及一期,最近三年"</formula1>
    </dataValidation>
    <dataValidation type="list" allowBlank="1" showInputMessage="1" showErrorMessage="1" sqref="C116:D116" xr:uid="{F32F392E-4A59-4F21-B89F-A074C8878DF7}">
      <formula1>"董事会,执行董事"</formula1>
    </dataValidation>
    <dataValidation type="list" allowBlank="1" showInputMessage="1" showErrorMessage="1" sqref="C114:D114" xr:uid="{092F5986-8E91-4629-8836-59E22EC3C2DC}">
      <formula1>"股定会决议,股东决定,股东大会决议"</formula1>
    </dataValidation>
    <dataValidation type="list" allowBlank="1" showInputMessage="1" showErrorMessage="1" sqref="C115:D115" xr:uid="{1427A306-AC8E-4F45-988C-D2E176AA8C53}">
      <formula1>"董事会决议,执行董事决定"</formula1>
    </dataValidation>
    <dataValidation type="list" allowBlank="1" showInputMessage="1" showErrorMessage="1" sqref="C18:D18" xr:uid="{3E6E4336-4766-4A4D-B885-9872F768AB7C}">
      <formula1>"余额包销,代销"</formula1>
    </dataValidation>
  </dataValidation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2A287-CCFD-416D-AA7C-9F4058F74A78}">
  <dimension ref="A1:A4"/>
  <sheetViews>
    <sheetView workbookViewId="0">
      <selection activeCell="A5" sqref="A5"/>
    </sheetView>
  </sheetViews>
  <sheetFormatPr defaultRowHeight="15.6" x14ac:dyDescent="0.25"/>
  <sheetData>
    <row r="1" spans="1:1" x14ac:dyDescent="0.25">
      <c r="A1" t="s">
        <v>279</v>
      </c>
    </row>
    <row r="2" spans="1:1" x14ac:dyDescent="0.25">
      <c r="A2" t="s">
        <v>280</v>
      </c>
    </row>
    <row r="3" spans="1:1" x14ac:dyDescent="0.25">
      <c r="A3" t="s">
        <v>281</v>
      </c>
    </row>
    <row r="4" spans="1:1" x14ac:dyDescent="0.25">
      <c r="A4" t="s">
        <v>282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替换要素</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yuanjie</dc:creator>
  <cp:lastModifiedBy>付璐</cp:lastModifiedBy>
  <dcterms:created xsi:type="dcterms:W3CDTF">2015-08-17T08:21:12Z</dcterms:created>
  <dcterms:modified xsi:type="dcterms:W3CDTF">2021-06-07T13:57:52Z</dcterms:modified>
</cp:coreProperties>
</file>