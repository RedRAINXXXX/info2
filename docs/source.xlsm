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PycharmProjects\info2\"/>
    </mc:Choice>
  </mc:AlternateContent>
  <xr:revisionPtr revIDLastSave="0" documentId="13_ncr:1_{65067DF0-E47E-4CFC-B5F0-0E95C7430F96}" xr6:coauthVersionLast="36" xr6:coauthVersionMax="45" xr10:uidLastSave="{00000000-0000-0000-0000-000000000000}"/>
  <bookViews>
    <workbookView xWindow="-105" yWindow="-105" windowWidth="23250" windowHeight="12570" tabRatio="500" firstSheet="3" activeTab="5" xr2:uid="{00000000-000D-0000-FFFF-FFFF00000000}"/>
  </bookViews>
  <sheets>
    <sheet name="补流缺口" sheetId="44" r:id="rId1"/>
    <sheet name="替换要素" sheetId="33" r:id="rId2"/>
    <sheet name="注释" sheetId="11" r:id="rId3"/>
    <sheet name="必填信息" sheetId="28" r:id="rId4"/>
    <sheet name="合并资产负债表 " sheetId="31" r:id="rId5"/>
    <sheet name="合并利润表 " sheetId="13" r:id="rId6"/>
    <sheet name="合并现金流量表" sheetId="15" r:id="rId7"/>
    <sheet name="BS结构" sheetId="25" r:id="rId8"/>
    <sheet name="BS结构变动" sheetId="41" r:id="rId9"/>
    <sheet name="财务指标 " sheetId="10" r:id="rId10"/>
    <sheet name="担保方主要数据" sheetId="43" r:id="rId11"/>
    <sheet name="4-11主要财务数据和指标" sheetId="20" r:id="rId12"/>
    <sheet name="母公司资产负债表  " sheetId="35" r:id="rId13"/>
    <sheet name="母公司利润表 " sheetId="37" r:id="rId14"/>
    <sheet name="母公司现金流量表" sheetId="38" r:id="rId15"/>
  </sheets>
  <definedNames>
    <definedName name="_xlnm._FilterDatabase" localSheetId="1" hidden="1">替换要素!$A$1:$G$1</definedName>
    <definedName name="_Hlk28074738" localSheetId="7">BS结构!#REF!</definedName>
    <definedName name="_Hlk511660608" localSheetId="5">'合并利润表 '!#REF!</definedName>
    <definedName name="_Hlk511660608" localSheetId="13">'母公司利润表 '!#REF!</definedName>
    <definedName name="_Hlk516510408" localSheetId="5">'合并利润表 '!#REF!</definedName>
    <definedName name="_Hlk516510408" localSheetId="13">'母公司利润表 '!#REF!</definedName>
    <definedName name="_Hlk517104455" localSheetId="9">'财务指标 '!$B$15</definedName>
    <definedName name="_Hlk520149649" localSheetId="5">#REF!</definedName>
    <definedName name="_Hlk520149649" localSheetId="13">#REF!</definedName>
    <definedName name="_Hlk8571410" localSheetId="9">'财务指标 '!#REF!</definedName>
    <definedName name="_Hlk9525020" localSheetId="9">'财务指标 '!#REF!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6" i="38" l="1"/>
  <c r="D56" i="38"/>
  <c r="C56" i="38"/>
  <c r="B56" i="38"/>
  <c r="H12" i="13" l="1"/>
  <c r="I6" i="13"/>
  <c r="H6" i="13"/>
  <c r="G6" i="13"/>
  <c r="C765" i="33" s="1"/>
  <c r="B765" i="33" s="1"/>
  <c r="F6" i="13"/>
  <c r="I5" i="13"/>
  <c r="H5" i="13"/>
  <c r="G5" i="13"/>
  <c r="F5" i="13"/>
  <c r="C767" i="33"/>
  <c r="B767" i="33" s="1"/>
  <c r="C766" i="33"/>
  <c r="B766" i="33" s="1"/>
  <c r="C764" i="33"/>
  <c r="B764" i="33" s="1"/>
  <c r="C52" i="13"/>
  <c r="D52" i="13"/>
  <c r="E52" i="13"/>
  <c r="B52" i="13"/>
  <c r="C12" i="43" l="1"/>
  <c r="C14" i="43"/>
  <c r="C2854" i="33" s="1"/>
  <c r="B2854" i="33" s="1"/>
  <c r="C15" i="43"/>
  <c r="C2855" i="33" s="1"/>
  <c r="B2855" i="33" s="1"/>
  <c r="B15" i="43"/>
  <c r="C2845" i="33" s="1"/>
  <c r="B2845" i="33" s="1"/>
  <c r="B14" i="43"/>
  <c r="C2844" i="33" s="1"/>
  <c r="B2844" i="33" s="1"/>
  <c r="B12" i="43"/>
  <c r="C13" i="43"/>
  <c r="C2853" i="33" s="1"/>
  <c r="B2853" i="33" s="1"/>
  <c r="B13" i="43"/>
  <c r="C2843" i="33" s="1"/>
  <c r="B2843" i="33" s="1"/>
  <c r="C2852" i="33"/>
  <c r="B2852" i="33" s="1"/>
  <c r="C2842" i="33"/>
  <c r="B2842" i="33" s="1"/>
  <c r="C2847" i="33"/>
  <c r="B2847" i="33" s="1"/>
  <c r="C2848" i="33"/>
  <c r="B2848" i="33" s="1"/>
  <c r="C2849" i="33"/>
  <c r="B2849" i="33" s="1"/>
  <c r="C2850" i="33"/>
  <c r="B2850" i="33" s="1"/>
  <c r="C2851" i="33"/>
  <c r="B2851" i="33" s="1"/>
  <c r="C2846" i="33"/>
  <c r="B2846" i="33" s="1"/>
  <c r="C2837" i="33"/>
  <c r="B2837" i="33" s="1"/>
  <c r="C2838" i="33"/>
  <c r="B2838" i="33" s="1"/>
  <c r="C2839" i="33"/>
  <c r="B2839" i="33" s="1"/>
  <c r="C2840" i="33"/>
  <c r="B2840" i="33" s="1"/>
  <c r="C2841" i="33"/>
  <c r="B2841" i="33" s="1"/>
  <c r="C2836" i="33"/>
  <c r="B2836" i="33" s="1"/>
  <c r="C7" i="33" l="1"/>
  <c r="B7" i="33" s="1"/>
  <c r="G5" i="31" l="1"/>
  <c r="B18" i="44" s="1"/>
  <c r="D621" i="33"/>
  <c r="D624" i="33"/>
  <c r="D90" i="33" l="1"/>
  <c r="C90" i="33" l="1"/>
  <c r="I30" i="20" l="1"/>
  <c r="C2825" i="33" s="1"/>
  <c r="B2825" i="33" s="1"/>
  <c r="J30" i="20"/>
  <c r="C2829" i="33" s="1"/>
  <c r="B2829" i="33" s="1"/>
  <c r="I31" i="20"/>
  <c r="C2826" i="33" s="1"/>
  <c r="B2826" i="33" s="1"/>
  <c r="J31" i="20"/>
  <c r="C2830" i="33" s="1"/>
  <c r="B2830" i="33" s="1"/>
  <c r="H31" i="20"/>
  <c r="C2822" i="33" s="1"/>
  <c r="B2822" i="33" s="1"/>
  <c r="H30" i="20"/>
  <c r="C2821" i="33" s="1"/>
  <c r="B2821" i="33" s="1"/>
  <c r="G15" i="20"/>
  <c r="G12" i="20"/>
  <c r="C6" i="33" l="1"/>
  <c r="B6" i="33" s="1"/>
  <c r="B90" i="33" l="1"/>
  <c r="H142" i="11" l="1"/>
  <c r="C10" i="20" l="1"/>
  <c r="C2751" i="33" s="1"/>
  <c r="B2751" i="33" s="1"/>
  <c r="D10" i="20"/>
  <c r="C2776" i="33" s="1"/>
  <c r="B2776" i="33" s="1"/>
  <c r="E10" i="20"/>
  <c r="C2801" i="33" s="1"/>
  <c r="B2801" i="33" s="1"/>
  <c r="E3" i="15"/>
  <c r="D3" i="15"/>
  <c r="C3" i="15"/>
  <c r="B3" i="15"/>
  <c r="E3" i="13"/>
  <c r="D3" i="13"/>
  <c r="C3" i="13"/>
  <c r="B3" i="13"/>
  <c r="I10" i="20" l="1"/>
  <c r="J10" i="20"/>
  <c r="B10" i="20"/>
  <c r="C2726" i="33" s="1"/>
  <c r="B2726" i="33" s="1"/>
  <c r="G3" i="20"/>
  <c r="G4" i="20"/>
  <c r="G5" i="20"/>
  <c r="G6" i="20"/>
  <c r="G7" i="20"/>
  <c r="G8" i="20"/>
  <c r="G9" i="20"/>
  <c r="G10" i="20"/>
  <c r="G11" i="20"/>
  <c r="G13" i="20"/>
  <c r="G14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" i="20"/>
  <c r="H10" i="20" l="1"/>
  <c r="C89" i="35"/>
  <c r="C85" i="35"/>
  <c r="D85" i="35"/>
  <c r="E85" i="35"/>
  <c r="C86" i="35"/>
  <c r="D86" i="35"/>
  <c r="E86" i="35"/>
  <c r="C87" i="35"/>
  <c r="D87" i="35"/>
  <c r="E87" i="35"/>
  <c r="C88" i="35"/>
  <c r="D88" i="35"/>
  <c r="E88" i="35"/>
  <c r="D89" i="35"/>
  <c r="E89" i="35"/>
  <c r="C90" i="35"/>
  <c r="D90" i="35"/>
  <c r="E90" i="35"/>
  <c r="C91" i="35"/>
  <c r="D91" i="35"/>
  <c r="E91" i="35"/>
  <c r="C92" i="35"/>
  <c r="D92" i="35"/>
  <c r="E92" i="35"/>
  <c r="B89" i="35"/>
  <c r="B88" i="35"/>
  <c r="B86" i="35"/>
  <c r="B85" i="35"/>
  <c r="B53" i="13"/>
  <c r="C53" i="13"/>
  <c r="D53" i="13"/>
  <c r="E53" i="13"/>
  <c r="C90" i="31" l="1"/>
  <c r="D90" i="31"/>
  <c r="E90" i="31"/>
  <c r="B90" i="31"/>
  <c r="E55" i="38" l="1"/>
  <c r="D55" i="38"/>
  <c r="C55" i="38"/>
  <c r="B55" i="38"/>
  <c r="E54" i="38"/>
  <c r="D54" i="38"/>
  <c r="C54" i="38"/>
  <c r="B54" i="38"/>
  <c r="E53" i="38"/>
  <c r="D53" i="38"/>
  <c r="C53" i="38"/>
  <c r="B53" i="38"/>
  <c r="E52" i="38"/>
  <c r="D52" i="38"/>
  <c r="C52" i="38"/>
  <c r="B52" i="38"/>
  <c r="E51" i="38"/>
  <c r="D51" i="38"/>
  <c r="C51" i="38"/>
  <c r="B51" i="38"/>
  <c r="E50" i="38"/>
  <c r="D50" i="38"/>
  <c r="C50" i="38"/>
  <c r="B50" i="38"/>
  <c r="E49" i="38"/>
  <c r="D49" i="38"/>
  <c r="C49" i="38"/>
  <c r="B49" i="38"/>
  <c r="E48" i="38"/>
  <c r="D48" i="38"/>
  <c r="C48" i="38"/>
  <c r="B48" i="38"/>
  <c r="E47" i="38"/>
  <c r="D47" i="38"/>
  <c r="C47" i="38"/>
  <c r="B47" i="38"/>
  <c r="E46" i="38"/>
  <c r="D46" i="38"/>
  <c r="C46" i="38"/>
  <c r="B46" i="38"/>
  <c r="I42" i="38"/>
  <c r="C1195" i="33" s="1"/>
  <c r="B1195" i="33" s="1"/>
  <c r="H42" i="38"/>
  <c r="C1159" i="33" s="1"/>
  <c r="B1159" i="33" s="1"/>
  <c r="G42" i="38"/>
  <c r="C1123" i="33" s="1"/>
  <c r="B1123" i="33" s="1"/>
  <c r="F42" i="38"/>
  <c r="C1087" i="33" s="1"/>
  <c r="B1087" i="33" s="1"/>
  <c r="I41" i="38"/>
  <c r="C1194" i="33" s="1"/>
  <c r="B1194" i="33" s="1"/>
  <c r="H41" i="38"/>
  <c r="C1158" i="33" s="1"/>
  <c r="B1158" i="33" s="1"/>
  <c r="G41" i="38"/>
  <c r="C1122" i="33" s="1"/>
  <c r="B1122" i="33" s="1"/>
  <c r="F41" i="38"/>
  <c r="C1086" i="33" s="1"/>
  <c r="B1086" i="33" s="1"/>
  <c r="I40" i="38"/>
  <c r="C1193" i="33" s="1"/>
  <c r="B1193" i="33" s="1"/>
  <c r="H40" i="38"/>
  <c r="C1157" i="33" s="1"/>
  <c r="B1157" i="33" s="1"/>
  <c r="G40" i="38"/>
  <c r="F40" i="38"/>
  <c r="I39" i="38"/>
  <c r="C1192" i="33" s="1"/>
  <c r="B1192" i="33" s="1"/>
  <c r="H39" i="38"/>
  <c r="C1156" i="33" s="1"/>
  <c r="B1156" i="33" s="1"/>
  <c r="G39" i="38"/>
  <c r="C1120" i="33" s="1"/>
  <c r="B1120" i="33" s="1"/>
  <c r="F39" i="38"/>
  <c r="C1084" i="33" s="1"/>
  <c r="B1084" i="33" s="1"/>
  <c r="I38" i="38"/>
  <c r="C1191" i="33" s="1"/>
  <c r="B1191" i="33" s="1"/>
  <c r="H38" i="38"/>
  <c r="C1155" i="33" s="1"/>
  <c r="B1155" i="33" s="1"/>
  <c r="G38" i="38"/>
  <c r="C1119" i="33" s="1"/>
  <c r="B1119" i="33" s="1"/>
  <c r="F38" i="38"/>
  <c r="C1083" i="33" s="1"/>
  <c r="B1083" i="33" s="1"/>
  <c r="I37" i="38"/>
  <c r="C1190" i="33" s="1"/>
  <c r="B1190" i="33" s="1"/>
  <c r="H37" i="38"/>
  <c r="C1154" i="33" s="1"/>
  <c r="B1154" i="33" s="1"/>
  <c r="G37" i="38"/>
  <c r="C1118" i="33" s="1"/>
  <c r="B1118" i="33" s="1"/>
  <c r="F37" i="38"/>
  <c r="C1082" i="33" s="1"/>
  <c r="B1082" i="33" s="1"/>
  <c r="I36" i="38"/>
  <c r="C1189" i="33" s="1"/>
  <c r="B1189" i="33" s="1"/>
  <c r="H36" i="38"/>
  <c r="C1153" i="33" s="1"/>
  <c r="B1153" i="33" s="1"/>
  <c r="G36" i="38"/>
  <c r="C1117" i="33" s="1"/>
  <c r="B1117" i="33" s="1"/>
  <c r="F36" i="38"/>
  <c r="C1081" i="33" s="1"/>
  <c r="B1081" i="33" s="1"/>
  <c r="I35" i="38"/>
  <c r="C1188" i="33" s="1"/>
  <c r="B1188" i="33" s="1"/>
  <c r="H35" i="38"/>
  <c r="C1152" i="33" s="1"/>
  <c r="B1152" i="33" s="1"/>
  <c r="G35" i="38"/>
  <c r="C1116" i="33" s="1"/>
  <c r="B1116" i="33" s="1"/>
  <c r="F35" i="38"/>
  <c r="C1080" i="33" s="1"/>
  <c r="B1080" i="33" s="1"/>
  <c r="I34" i="38"/>
  <c r="C1187" i="33" s="1"/>
  <c r="B1187" i="33" s="1"/>
  <c r="H34" i="38"/>
  <c r="C1151" i="33" s="1"/>
  <c r="B1151" i="33" s="1"/>
  <c r="G34" i="38"/>
  <c r="C1115" i="33" s="1"/>
  <c r="B1115" i="33" s="1"/>
  <c r="F34" i="38"/>
  <c r="C1079" i="33" s="1"/>
  <c r="B1079" i="33" s="1"/>
  <c r="I33" i="38"/>
  <c r="H33" i="38"/>
  <c r="G33" i="38"/>
  <c r="F33" i="38"/>
  <c r="I32" i="38"/>
  <c r="C1185" i="33" s="1"/>
  <c r="B1185" i="33" s="1"/>
  <c r="H32" i="38"/>
  <c r="C1149" i="33" s="1"/>
  <c r="B1149" i="33" s="1"/>
  <c r="G32" i="38"/>
  <c r="C1113" i="33" s="1"/>
  <c r="B1113" i="33" s="1"/>
  <c r="F32" i="38"/>
  <c r="C1077" i="33" s="1"/>
  <c r="B1077" i="33" s="1"/>
  <c r="I31" i="38"/>
  <c r="C1184" i="33" s="1"/>
  <c r="B1184" i="33" s="1"/>
  <c r="H31" i="38"/>
  <c r="C1148" i="33" s="1"/>
  <c r="B1148" i="33" s="1"/>
  <c r="G31" i="38"/>
  <c r="C1112" i="33" s="1"/>
  <c r="B1112" i="33" s="1"/>
  <c r="F31" i="38"/>
  <c r="C1076" i="33" s="1"/>
  <c r="B1076" i="33" s="1"/>
  <c r="I30" i="38"/>
  <c r="C1183" i="33" s="1"/>
  <c r="B1183" i="33" s="1"/>
  <c r="H30" i="38"/>
  <c r="C1147" i="33" s="1"/>
  <c r="B1147" i="33" s="1"/>
  <c r="G30" i="38"/>
  <c r="C1111" i="33" s="1"/>
  <c r="B1111" i="33" s="1"/>
  <c r="F30" i="38"/>
  <c r="C1075" i="33" s="1"/>
  <c r="B1075" i="33" s="1"/>
  <c r="I29" i="38"/>
  <c r="C1182" i="33" s="1"/>
  <c r="B1182" i="33" s="1"/>
  <c r="H29" i="38"/>
  <c r="C1146" i="33" s="1"/>
  <c r="B1146" i="33" s="1"/>
  <c r="G29" i="38"/>
  <c r="C1110" i="33" s="1"/>
  <c r="B1110" i="33" s="1"/>
  <c r="F29" i="38"/>
  <c r="C1074" i="33" s="1"/>
  <c r="B1074" i="33" s="1"/>
  <c r="I27" i="38"/>
  <c r="C1181" i="33" s="1"/>
  <c r="B1181" i="33" s="1"/>
  <c r="H27" i="38"/>
  <c r="C1145" i="33" s="1"/>
  <c r="B1145" i="33" s="1"/>
  <c r="G27" i="38"/>
  <c r="C1109" i="33" s="1"/>
  <c r="B1109" i="33" s="1"/>
  <c r="F27" i="38"/>
  <c r="C1073" i="33" s="1"/>
  <c r="B1073" i="33" s="1"/>
  <c r="I26" i="38"/>
  <c r="C1180" i="33" s="1"/>
  <c r="B1180" i="33" s="1"/>
  <c r="H26" i="38"/>
  <c r="C1144" i="33" s="1"/>
  <c r="B1144" i="33" s="1"/>
  <c r="G26" i="38"/>
  <c r="C1108" i="33" s="1"/>
  <c r="B1108" i="33" s="1"/>
  <c r="F26" i="38"/>
  <c r="C1072" i="33" s="1"/>
  <c r="B1072" i="33" s="1"/>
  <c r="I25" i="38"/>
  <c r="C1179" i="33" s="1"/>
  <c r="B1179" i="33" s="1"/>
  <c r="H25" i="38"/>
  <c r="C1143" i="33" s="1"/>
  <c r="B1143" i="33" s="1"/>
  <c r="G25" i="38"/>
  <c r="C1107" i="33" s="1"/>
  <c r="B1107" i="33" s="1"/>
  <c r="F25" i="38"/>
  <c r="C1071" i="33" s="1"/>
  <c r="B1071" i="33" s="1"/>
  <c r="I24" i="38"/>
  <c r="C1178" i="33" s="1"/>
  <c r="B1178" i="33" s="1"/>
  <c r="H24" i="38"/>
  <c r="C1142" i="33" s="1"/>
  <c r="B1142" i="33" s="1"/>
  <c r="G24" i="38"/>
  <c r="C1106" i="33" s="1"/>
  <c r="B1106" i="33" s="1"/>
  <c r="F24" i="38"/>
  <c r="C1070" i="33" s="1"/>
  <c r="B1070" i="33" s="1"/>
  <c r="I23" i="38"/>
  <c r="C1177" i="33" s="1"/>
  <c r="B1177" i="33" s="1"/>
  <c r="H23" i="38"/>
  <c r="C1141" i="33" s="1"/>
  <c r="B1141" i="33" s="1"/>
  <c r="G23" i="38"/>
  <c r="C1105" i="33" s="1"/>
  <c r="B1105" i="33" s="1"/>
  <c r="F23" i="38"/>
  <c r="C1069" i="33" s="1"/>
  <c r="B1069" i="33" s="1"/>
  <c r="I22" i="38"/>
  <c r="C1176" i="33" s="1"/>
  <c r="B1176" i="33" s="1"/>
  <c r="H22" i="38"/>
  <c r="C1140" i="33" s="1"/>
  <c r="B1140" i="33" s="1"/>
  <c r="G22" i="38"/>
  <c r="C1104" i="33" s="1"/>
  <c r="B1104" i="33" s="1"/>
  <c r="F22" i="38"/>
  <c r="C1068" i="33" s="1"/>
  <c r="B1068" i="33" s="1"/>
  <c r="I21" i="38"/>
  <c r="H21" i="38"/>
  <c r="G21" i="38"/>
  <c r="F21" i="38"/>
  <c r="I20" i="38"/>
  <c r="C1174" i="33" s="1"/>
  <c r="B1174" i="33" s="1"/>
  <c r="H20" i="38"/>
  <c r="C1138" i="33" s="1"/>
  <c r="B1138" i="33" s="1"/>
  <c r="G20" i="38"/>
  <c r="C1102" i="33" s="1"/>
  <c r="B1102" i="33" s="1"/>
  <c r="F20" i="38"/>
  <c r="C1066" i="33" s="1"/>
  <c r="B1066" i="33" s="1"/>
  <c r="I19" i="38"/>
  <c r="C1173" i="33" s="1"/>
  <c r="B1173" i="33" s="1"/>
  <c r="H19" i="38"/>
  <c r="C1137" i="33" s="1"/>
  <c r="B1137" i="33" s="1"/>
  <c r="G19" i="38"/>
  <c r="C1101" i="33" s="1"/>
  <c r="B1101" i="33" s="1"/>
  <c r="F19" i="38"/>
  <c r="C1065" i="33" s="1"/>
  <c r="B1065" i="33" s="1"/>
  <c r="I18" i="38"/>
  <c r="C1172" i="33" s="1"/>
  <c r="B1172" i="33" s="1"/>
  <c r="H18" i="38"/>
  <c r="C1136" i="33" s="1"/>
  <c r="B1136" i="33" s="1"/>
  <c r="G18" i="38"/>
  <c r="C1100" i="33" s="1"/>
  <c r="B1100" i="33" s="1"/>
  <c r="F18" i="38"/>
  <c r="C1064" i="33" s="1"/>
  <c r="B1064" i="33" s="1"/>
  <c r="I17" i="38"/>
  <c r="C1171" i="33" s="1"/>
  <c r="B1171" i="33" s="1"/>
  <c r="H17" i="38"/>
  <c r="C1135" i="33" s="1"/>
  <c r="B1135" i="33" s="1"/>
  <c r="G17" i="38"/>
  <c r="C1099" i="33" s="1"/>
  <c r="B1099" i="33" s="1"/>
  <c r="F17" i="38"/>
  <c r="C1063" i="33" s="1"/>
  <c r="B1063" i="33" s="1"/>
  <c r="I16" i="38"/>
  <c r="C1170" i="33" s="1"/>
  <c r="B1170" i="33" s="1"/>
  <c r="H16" i="38"/>
  <c r="C1134" i="33" s="1"/>
  <c r="B1134" i="33" s="1"/>
  <c r="G16" i="38"/>
  <c r="C1098" i="33" s="1"/>
  <c r="B1098" i="33" s="1"/>
  <c r="F16" i="38"/>
  <c r="C1062" i="33" s="1"/>
  <c r="B1062" i="33" s="1"/>
  <c r="I14" i="38"/>
  <c r="C1169" i="33" s="1"/>
  <c r="B1169" i="33" s="1"/>
  <c r="H14" i="38"/>
  <c r="C1133" i="33" s="1"/>
  <c r="B1133" i="33" s="1"/>
  <c r="G14" i="38"/>
  <c r="C1097" i="33" s="1"/>
  <c r="B1097" i="33" s="1"/>
  <c r="F14" i="38"/>
  <c r="C1061" i="33" s="1"/>
  <c r="B1061" i="33" s="1"/>
  <c r="I13" i="38"/>
  <c r="C1168" i="33" s="1"/>
  <c r="B1168" i="33" s="1"/>
  <c r="H13" i="38"/>
  <c r="C1132" i="33" s="1"/>
  <c r="B1132" i="33" s="1"/>
  <c r="G13" i="38"/>
  <c r="C1096" i="33" s="1"/>
  <c r="B1096" i="33" s="1"/>
  <c r="F13" i="38"/>
  <c r="C1060" i="33" s="1"/>
  <c r="B1060" i="33" s="1"/>
  <c r="I12" i="38"/>
  <c r="C1167" i="33" s="1"/>
  <c r="B1167" i="33" s="1"/>
  <c r="H12" i="38"/>
  <c r="C1131" i="33" s="1"/>
  <c r="B1131" i="33" s="1"/>
  <c r="G12" i="38"/>
  <c r="C1095" i="33" s="1"/>
  <c r="B1095" i="33" s="1"/>
  <c r="F12" i="38"/>
  <c r="C1059" i="33" s="1"/>
  <c r="B1059" i="33" s="1"/>
  <c r="I11" i="38"/>
  <c r="C1166" i="33" s="1"/>
  <c r="B1166" i="33" s="1"/>
  <c r="H11" i="38"/>
  <c r="C1130" i="33" s="1"/>
  <c r="B1130" i="33" s="1"/>
  <c r="G11" i="38"/>
  <c r="C1094" i="33" s="1"/>
  <c r="B1094" i="33" s="1"/>
  <c r="F11" i="38"/>
  <c r="C1058" i="33" s="1"/>
  <c r="B1058" i="33" s="1"/>
  <c r="I10" i="38"/>
  <c r="C1165" i="33" s="1"/>
  <c r="B1165" i="33" s="1"/>
  <c r="H10" i="38"/>
  <c r="C1129" i="33" s="1"/>
  <c r="B1129" i="33" s="1"/>
  <c r="G10" i="38"/>
  <c r="C1093" i="33" s="1"/>
  <c r="B1093" i="33" s="1"/>
  <c r="F10" i="38"/>
  <c r="C1057" i="33" s="1"/>
  <c r="B1057" i="33" s="1"/>
  <c r="I9" i="38"/>
  <c r="H9" i="38"/>
  <c r="C1128" i="33" s="1"/>
  <c r="B1128" i="33" s="1"/>
  <c r="G9" i="38"/>
  <c r="C1092" i="33" s="1"/>
  <c r="B1092" i="33" s="1"/>
  <c r="F9" i="38"/>
  <c r="C1056" i="33" s="1"/>
  <c r="B1056" i="33" s="1"/>
  <c r="I8" i="38"/>
  <c r="H8" i="38"/>
  <c r="G8" i="38"/>
  <c r="C1091" i="33" s="1"/>
  <c r="B1091" i="33" s="1"/>
  <c r="F8" i="38"/>
  <c r="C1055" i="33" s="1"/>
  <c r="B1055" i="33" s="1"/>
  <c r="I7" i="38"/>
  <c r="C1162" i="33" s="1"/>
  <c r="B1162" i="33" s="1"/>
  <c r="H7" i="38"/>
  <c r="C1126" i="33" s="1"/>
  <c r="B1126" i="33" s="1"/>
  <c r="G7" i="38"/>
  <c r="C1090" i="33" s="1"/>
  <c r="B1090" i="33" s="1"/>
  <c r="F7" i="38"/>
  <c r="C1054" i="33" s="1"/>
  <c r="B1054" i="33" s="1"/>
  <c r="I6" i="38"/>
  <c r="C1161" i="33" s="1"/>
  <c r="B1161" i="33" s="1"/>
  <c r="H6" i="38"/>
  <c r="C1125" i="33" s="1"/>
  <c r="B1125" i="33" s="1"/>
  <c r="G6" i="38"/>
  <c r="C1089" i="33" s="1"/>
  <c r="B1089" i="33" s="1"/>
  <c r="F6" i="38"/>
  <c r="C1053" i="33" s="1"/>
  <c r="B1053" i="33" s="1"/>
  <c r="I5" i="38"/>
  <c r="H5" i="38"/>
  <c r="C1124" i="33" s="1"/>
  <c r="B1124" i="33" s="1"/>
  <c r="G5" i="38"/>
  <c r="C1088" i="33" s="1"/>
  <c r="B1088" i="33" s="1"/>
  <c r="F5" i="38"/>
  <c r="C1052" i="33" s="1"/>
  <c r="B1052" i="33" s="1"/>
  <c r="C45" i="37"/>
  <c r="D45" i="37"/>
  <c r="E45" i="37"/>
  <c r="B45" i="37"/>
  <c r="B42" i="37"/>
  <c r="E44" i="37"/>
  <c r="D44" i="37"/>
  <c r="C44" i="37"/>
  <c r="B44" i="37"/>
  <c r="E43" i="37"/>
  <c r="D43" i="37"/>
  <c r="C43" i="37"/>
  <c r="B43" i="37"/>
  <c r="E42" i="37"/>
  <c r="D42" i="37"/>
  <c r="C42" i="37"/>
  <c r="I38" i="37"/>
  <c r="C907" i="33" s="1"/>
  <c r="B907" i="33" s="1"/>
  <c r="H38" i="37"/>
  <c r="C872" i="33" s="1"/>
  <c r="B872" i="33" s="1"/>
  <c r="G38" i="37"/>
  <c r="C837" i="33" s="1"/>
  <c r="B837" i="33" s="1"/>
  <c r="F38" i="37"/>
  <c r="C802" i="33" s="1"/>
  <c r="B802" i="33" s="1"/>
  <c r="I37" i="37"/>
  <c r="C906" i="33" s="1"/>
  <c r="B906" i="33" s="1"/>
  <c r="H37" i="37"/>
  <c r="C871" i="33" s="1"/>
  <c r="B871" i="33" s="1"/>
  <c r="G37" i="37"/>
  <c r="C836" i="33" s="1"/>
  <c r="B836" i="33" s="1"/>
  <c r="F37" i="37"/>
  <c r="C801" i="33" s="1"/>
  <c r="B801" i="33" s="1"/>
  <c r="I36" i="37"/>
  <c r="C905" i="33" s="1"/>
  <c r="B905" i="33" s="1"/>
  <c r="H36" i="37"/>
  <c r="C870" i="33" s="1"/>
  <c r="B870" i="33" s="1"/>
  <c r="G36" i="37"/>
  <c r="C835" i="33" s="1"/>
  <c r="B835" i="33" s="1"/>
  <c r="F36" i="37"/>
  <c r="C800" i="33" s="1"/>
  <c r="B800" i="33" s="1"/>
  <c r="I35" i="37"/>
  <c r="C904" i="33" s="1"/>
  <c r="B904" i="33" s="1"/>
  <c r="H35" i="37"/>
  <c r="C869" i="33" s="1"/>
  <c r="B869" i="33" s="1"/>
  <c r="G35" i="37"/>
  <c r="C834" i="33" s="1"/>
  <c r="B834" i="33" s="1"/>
  <c r="F35" i="37"/>
  <c r="C799" i="33" s="1"/>
  <c r="B799" i="33" s="1"/>
  <c r="I34" i="37"/>
  <c r="C903" i="33" s="1"/>
  <c r="B903" i="33" s="1"/>
  <c r="H34" i="37"/>
  <c r="C868" i="33" s="1"/>
  <c r="B868" i="33" s="1"/>
  <c r="G34" i="37"/>
  <c r="C833" i="33" s="1"/>
  <c r="B833" i="33" s="1"/>
  <c r="F34" i="37"/>
  <c r="C798" i="33" s="1"/>
  <c r="B798" i="33" s="1"/>
  <c r="I33" i="37"/>
  <c r="C902" i="33" s="1"/>
  <c r="B902" i="33" s="1"/>
  <c r="H33" i="37"/>
  <c r="C867" i="33" s="1"/>
  <c r="B867" i="33" s="1"/>
  <c r="G33" i="37"/>
  <c r="C832" i="33" s="1"/>
  <c r="B832" i="33" s="1"/>
  <c r="F33" i="37"/>
  <c r="C797" i="33" s="1"/>
  <c r="B797" i="33" s="1"/>
  <c r="I32" i="37"/>
  <c r="C901" i="33" s="1"/>
  <c r="B901" i="33" s="1"/>
  <c r="H32" i="37"/>
  <c r="C866" i="33" s="1"/>
  <c r="B866" i="33" s="1"/>
  <c r="G32" i="37"/>
  <c r="C831" i="33" s="1"/>
  <c r="B831" i="33" s="1"/>
  <c r="F32" i="37"/>
  <c r="C796" i="33" s="1"/>
  <c r="B796" i="33" s="1"/>
  <c r="I31" i="37"/>
  <c r="C900" i="33" s="1"/>
  <c r="B900" i="33" s="1"/>
  <c r="H31" i="37"/>
  <c r="C865" i="33" s="1"/>
  <c r="B865" i="33" s="1"/>
  <c r="G31" i="37"/>
  <c r="C830" i="33" s="1"/>
  <c r="B830" i="33" s="1"/>
  <c r="F31" i="37"/>
  <c r="C795" i="33" s="1"/>
  <c r="B795" i="33" s="1"/>
  <c r="I30" i="37"/>
  <c r="C899" i="33" s="1"/>
  <c r="B899" i="33" s="1"/>
  <c r="H30" i="37"/>
  <c r="C864" i="33" s="1"/>
  <c r="B864" i="33" s="1"/>
  <c r="G30" i="37"/>
  <c r="C829" i="33" s="1"/>
  <c r="B829" i="33" s="1"/>
  <c r="F30" i="37"/>
  <c r="C794" i="33" s="1"/>
  <c r="B794" i="33" s="1"/>
  <c r="I29" i="37"/>
  <c r="C898" i="33" s="1"/>
  <c r="B898" i="33" s="1"/>
  <c r="H29" i="37"/>
  <c r="C863" i="33" s="1"/>
  <c r="B863" i="33" s="1"/>
  <c r="G29" i="37"/>
  <c r="C828" i="33" s="1"/>
  <c r="B828" i="33" s="1"/>
  <c r="F29" i="37"/>
  <c r="C793" i="33" s="1"/>
  <c r="B793" i="33" s="1"/>
  <c r="I28" i="37"/>
  <c r="C897" i="33" s="1"/>
  <c r="B897" i="33" s="1"/>
  <c r="H28" i="37"/>
  <c r="C862" i="33" s="1"/>
  <c r="B862" i="33" s="1"/>
  <c r="G28" i="37"/>
  <c r="C827" i="33" s="1"/>
  <c r="B827" i="33" s="1"/>
  <c r="F28" i="37"/>
  <c r="C792" i="33" s="1"/>
  <c r="B792" i="33" s="1"/>
  <c r="I27" i="37"/>
  <c r="C896" i="33" s="1"/>
  <c r="B896" i="33" s="1"/>
  <c r="H27" i="37"/>
  <c r="C861" i="33" s="1"/>
  <c r="B861" i="33" s="1"/>
  <c r="G27" i="37"/>
  <c r="C826" i="33" s="1"/>
  <c r="B826" i="33" s="1"/>
  <c r="F27" i="37"/>
  <c r="C791" i="33" s="1"/>
  <c r="B791" i="33" s="1"/>
  <c r="I26" i="37"/>
  <c r="C895" i="33" s="1"/>
  <c r="B895" i="33" s="1"/>
  <c r="H26" i="37"/>
  <c r="C860" i="33" s="1"/>
  <c r="B860" i="33" s="1"/>
  <c r="G26" i="37"/>
  <c r="C825" i="33" s="1"/>
  <c r="B825" i="33" s="1"/>
  <c r="F26" i="37"/>
  <c r="C790" i="33" s="1"/>
  <c r="B790" i="33" s="1"/>
  <c r="I25" i="37"/>
  <c r="C894" i="33" s="1"/>
  <c r="B894" i="33" s="1"/>
  <c r="H25" i="37"/>
  <c r="C859" i="33" s="1"/>
  <c r="B859" i="33" s="1"/>
  <c r="G25" i="37"/>
  <c r="C824" i="33" s="1"/>
  <c r="B824" i="33" s="1"/>
  <c r="F25" i="37"/>
  <c r="C789" i="33" s="1"/>
  <c r="B789" i="33" s="1"/>
  <c r="I24" i="37"/>
  <c r="C893" i="33" s="1"/>
  <c r="B893" i="33" s="1"/>
  <c r="H24" i="37"/>
  <c r="G24" i="37"/>
  <c r="F24" i="37"/>
  <c r="C788" i="33" s="1"/>
  <c r="B788" i="33" s="1"/>
  <c r="I23" i="37"/>
  <c r="C892" i="33" s="1"/>
  <c r="B892" i="33" s="1"/>
  <c r="H23" i="37"/>
  <c r="C857" i="33" s="1"/>
  <c r="B857" i="33" s="1"/>
  <c r="G23" i="37"/>
  <c r="C822" i="33" s="1"/>
  <c r="B822" i="33" s="1"/>
  <c r="F23" i="37"/>
  <c r="C787" i="33" s="1"/>
  <c r="B787" i="33" s="1"/>
  <c r="I22" i="37"/>
  <c r="C891" i="33" s="1"/>
  <c r="B891" i="33" s="1"/>
  <c r="H22" i="37"/>
  <c r="C856" i="33" s="1"/>
  <c r="B856" i="33" s="1"/>
  <c r="G22" i="37"/>
  <c r="C821" i="33" s="1"/>
  <c r="B821" i="33" s="1"/>
  <c r="F22" i="37"/>
  <c r="C786" i="33" s="1"/>
  <c r="B786" i="33" s="1"/>
  <c r="I21" i="37"/>
  <c r="C890" i="33" s="1"/>
  <c r="B890" i="33" s="1"/>
  <c r="H21" i="37"/>
  <c r="C855" i="33" s="1"/>
  <c r="B855" i="33" s="1"/>
  <c r="G21" i="37"/>
  <c r="C820" i="33" s="1"/>
  <c r="B820" i="33" s="1"/>
  <c r="F21" i="37"/>
  <c r="C785" i="33" s="1"/>
  <c r="B785" i="33" s="1"/>
  <c r="I20" i="37"/>
  <c r="C889" i="33" s="1"/>
  <c r="B889" i="33" s="1"/>
  <c r="H20" i="37"/>
  <c r="C854" i="33" s="1"/>
  <c r="B854" i="33" s="1"/>
  <c r="G20" i="37"/>
  <c r="C819" i="33" s="1"/>
  <c r="B819" i="33" s="1"/>
  <c r="F20" i="37"/>
  <c r="C784" i="33" s="1"/>
  <c r="B784" i="33" s="1"/>
  <c r="I19" i="37"/>
  <c r="H19" i="37"/>
  <c r="C853" i="33" s="1"/>
  <c r="B853" i="33" s="1"/>
  <c r="G19" i="37"/>
  <c r="C818" i="33" s="1"/>
  <c r="B818" i="33" s="1"/>
  <c r="F19" i="37"/>
  <c r="C783" i="33" s="1"/>
  <c r="B783" i="33" s="1"/>
  <c r="I18" i="37"/>
  <c r="C887" i="33" s="1"/>
  <c r="B887" i="33" s="1"/>
  <c r="H18" i="37"/>
  <c r="C852" i="33" s="1"/>
  <c r="B852" i="33" s="1"/>
  <c r="G18" i="37"/>
  <c r="C817" i="33" s="1"/>
  <c r="B817" i="33" s="1"/>
  <c r="F18" i="37"/>
  <c r="C782" i="33" s="1"/>
  <c r="B782" i="33" s="1"/>
  <c r="I17" i="37"/>
  <c r="C886" i="33" s="1"/>
  <c r="B886" i="33" s="1"/>
  <c r="H17" i="37"/>
  <c r="C851" i="33" s="1"/>
  <c r="B851" i="33" s="1"/>
  <c r="G17" i="37"/>
  <c r="C816" i="33" s="1"/>
  <c r="B816" i="33" s="1"/>
  <c r="F17" i="37"/>
  <c r="C781" i="33" s="1"/>
  <c r="B781" i="33" s="1"/>
  <c r="I16" i="37"/>
  <c r="C885" i="33" s="1"/>
  <c r="B885" i="33" s="1"/>
  <c r="H16" i="37"/>
  <c r="C850" i="33" s="1"/>
  <c r="B850" i="33" s="1"/>
  <c r="G16" i="37"/>
  <c r="C815" i="33" s="1"/>
  <c r="B815" i="33" s="1"/>
  <c r="F16" i="37"/>
  <c r="C780" i="33" s="1"/>
  <c r="B780" i="33" s="1"/>
  <c r="I15" i="37"/>
  <c r="C884" i="33" s="1"/>
  <c r="B884" i="33" s="1"/>
  <c r="H15" i="37"/>
  <c r="C849" i="33" s="1"/>
  <c r="B849" i="33" s="1"/>
  <c r="G15" i="37"/>
  <c r="C814" i="33" s="1"/>
  <c r="B814" i="33" s="1"/>
  <c r="F15" i="37"/>
  <c r="C779" i="33" s="1"/>
  <c r="B779" i="33" s="1"/>
  <c r="I14" i="37"/>
  <c r="C883" i="33" s="1"/>
  <c r="B883" i="33" s="1"/>
  <c r="H14" i="37"/>
  <c r="C848" i="33" s="1"/>
  <c r="B848" i="33" s="1"/>
  <c r="G14" i="37"/>
  <c r="C813" i="33" s="1"/>
  <c r="B813" i="33" s="1"/>
  <c r="F14" i="37"/>
  <c r="C778" i="33" s="1"/>
  <c r="B778" i="33" s="1"/>
  <c r="I13" i="37"/>
  <c r="C882" i="33" s="1"/>
  <c r="B882" i="33" s="1"/>
  <c r="H13" i="37"/>
  <c r="C847" i="33" s="1"/>
  <c r="B847" i="33" s="1"/>
  <c r="G13" i="37"/>
  <c r="C812" i="33" s="1"/>
  <c r="B812" i="33" s="1"/>
  <c r="F13" i="37"/>
  <c r="C777" i="33" s="1"/>
  <c r="B777" i="33" s="1"/>
  <c r="I12" i="37"/>
  <c r="C881" i="33" s="1"/>
  <c r="B881" i="33" s="1"/>
  <c r="H12" i="37"/>
  <c r="C846" i="33" s="1"/>
  <c r="B846" i="33" s="1"/>
  <c r="G12" i="37"/>
  <c r="C811" i="33" s="1"/>
  <c r="B811" i="33" s="1"/>
  <c r="F12" i="37"/>
  <c r="C776" i="33" s="1"/>
  <c r="B776" i="33" s="1"/>
  <c r="I11" i="37"/>
  <c r="C880" i="33" s="1"/>
  <c r="B880" i="33" s="1"/>
  <c r="H11" i="37"/>
  <c r="C845" i="33" s="1"/>
  <c r="B845" i="33" s="1"/>
  <c r="G11" i="37"/>
  <c r="C810" i="33" s="1"/>
  <c r="B810" i="33" s="1"/>
  <c r="F11" i="37"/>
  <c r="C775" i="33" s="1"/>
  <c r="B775" i="33" s="1"/>
  <c r="I10" i="37"/>
  <c r="C879" i="33" s="1"/>
  <c r="B879" i="33" s="1"/>
  <c r="H10" i="37"/>
  <c r="C844" i="33" s="1"/>
  <c r="B844" i="33" s="1"/>
  <c r="G10" i="37"/>
  <c r="C809" i="33" s="1"/>
  <c r="B809" i="33" s="1"/>
  <c r="F10" i="37"/>
  <c r="C774" i="33" s="1"/>
  <c r="B774" i="33" s="1"/>
  <c r="I9" i="37"/>
  <c r="C878" i="33" s="1"/>
  <c r="B878" i="33" s="1"/>
  <c r="H9" i="37"/>
  <c r="C843" i="33" s="1"/>
  <c r="B843" i="33" s="1"/>
  <c r="G9" i="37"/>
  <c r="C808" i="33" s="1"/>
  <c r="B808" i="33" s="1"/>
  <c r="F9" i="37"/>
  <c r="C773" i="33" s="1"/>
  <c r="B773" i="33" s="1"/>
  <c r="I8" i="37"/>
  <c r="C877" i="33" s="1"/>
  <c r="B877" i="33" s="1"/>
  <c r="H8" i="37"/>
  <c r="C842" i="33" s="1"/>
  <c r="B842" i="33" s="1"/>
  <c r="G8" i="37"/>
  <c r="C807" i="33" s="1"/>
  <c r="B807" i="33" s="1"/>
  <c r="F8" i="37"/>
  <c r="C772" i="33" s="1"/>
  <c r="B772" i="33" s="1"/>
  <c r="I7" i="37"/>
  <c r="C876" i="33" s="1"/>
  <c r="B876" i="33" s="1"/>
  <c r="H7" i="37"/>
  <c r="C841" i="33" s="1"/>
  <c r="B841" i="33" s="1"/>
  <c r="G7" i="37"/>
  <c r="C806" i="33" s="1"/>
  <c r="B806" i="33" s="1"/>
  <c r="F7" i="37"/>
  <c r="I6" i="37"/>
  <c r="C875" i="33" s="1"/>
  <c r="B875" i="33" s="1"/>
  <c r="H6" i="37"/>
  <c r="C840" i="33" s="1"/>
  <c r="B840" i="33" s="1"/>
  <c r="G6" i="37"/>
  <c r="C805" i="33" s="1"/>
  <c r="B805" i="33" s="1"/>
  <c r="F6" i="37"/>
  <c r="C770" i="33" s="1"/>
  <c r="B770" i="33" s="1"/>
  <c r="I5" i="37"/>
  <c r="C874" i="33" s="1"/>
  <c r="B874" i="33" s="1"/>
  <c r="H5" i="37"/>
  <c r="C839" i="33" s="1"/>
  <c r="B839" i="33" s="1"/>
  <c r="G5" i="37"/>
  <c r="C804" i="33" s="1"/>
  <c r="B804" i="33" s="1"/>
  <c r="F5" i="37"/>
  <c r="C769" i="33" s="1"/>
  <c r="B769" i="33" s="1"/>
  <c r="I4" i="37"/>
  <c r="C873" i="33" s="1"/>
  <c r="B873" i="33" s="1"/>
  <c r="H4" i="37"/>
  <c r="C838" i="33" s="1"/>
  <c r="B838" i="33" s="1"/>
  <c r="G4" i="37"/>
  <c r="C803" i="33" s="1"/>
  <c r="B803" i="33" s="1"/>
  <c r="F4" i="37"/>
  <c r="C768" i="33" s="1"/>
  <c r="B768" i="33" s="1"/>
  <c r="C13" i="33"/>
  <c r="B13" i="33" s="1"/>
  <c r="C14" i="33"/>
  <c r="B14" i="33" s="1"/>
  <c r="C15" i="33"/>
  <c r="B15" i="33" s="1"/>
  <c r="C12" i="33"/>
  <c r="B12" i="33" s="1"/>
  <c r="B92" i="35"/>
  <c r="B91" i="35"/>
  <c r="B90" i="35"/>
  <c r="B87" i="35"/>
  <c r="I81" i="35"/>
  <c r="H81" i="35"/>
  <c r="G81" i="35"/>
  <c r="F81" i="35"/>
  <c r="I80" i="35"/>
  <c r="H80" i="35"/>
  <c r="G80" i="35"/>
  <c r="F80" i="35"/>
  <c r="I79" i="35"/>
  <c r="H79" i="35"/>
  <c r="G79" i="35"/>
  <c r="F79" i="35"/>
  <c r="I78" i="35"/>
  <c r="H78" i="35"/>
  <c r="G78" i="35"/>
  <c r="F78" i="35"/>
  <c r="I77" i="35"/>
  <c r="H77" i="35"/>
  <c r="G77" i="35"/>
  <c r="F77" i="35"/>
  <c r="I76" i="35"/>
  <c r="H76" i="35"/>
  <c r="G76" i="35"/>
  <c r="F76" i="35"/>
  <c r="I75" i="35"/>
  <c r="H75" i="35"/>
  <c r="G75" i="35"/>
  <c r="F75" i="35"/>
  <c r="I74" i="35"/>
  <c r="H74" i="35"/>
  <c r="G74" i="35"/>
  <c r="F74" i="35"/>
  <c r="I73" i="35"/>
  <c r="H73" i="35"/>
  <c r="G73" i="35"/>
  <c r="F73" i="35"/>
  <c r="I72" i="35"/>
  <c r="H72" i="35"/>
  <c r="G72" i="35"/>
  <c r="F72" i="35"/>
  <c r="I71" i="35"/>
  <c r="H71" i="35"/>
  <c r="G71" i="35"/>
  <c r="F71" i="35"/>
  <c r="I70" i="35"/>
  <c r="H70" i="35"/>
  <c r="G70" i="35"/>
  <c r="F70" i="35"/>
  <c r="I68" i="35"/>
  <c r="H68" i="35"/>
  <c r="G68" i="35"/>
  <c r="F68" i="35"/>
  <c r="I67" i="35"/>
  <c r="H67" i="35"/>
  <c r="G67" i="35"/>
  <c r="F67" i="35"/>
  <c r="I66" i="35"/>
  <c r="H66" i="35"/>
  <c r="G66" i="35"/>
  <c r="F66" i="35"/>
  <c r="I65" i="35"/>
  <c r="H65" i="35"/>
  <c r="G65" i="35"/>
  <c r="F65" i="35"/>
  <c r="I64" i="35"/>
  <c r="H64" i="35"/>
  <c r="G64" i="35"/>
  <c r="F64" i="35"/>
  <c r="I63" i="35"/>
  <c r="H63" i="35"/>
  <c r="G63" i="35"/>
  <c r="F63" i="35"/>
  <c r="I62" i="35"/>
  <c r="H62" i="35"/>
  <c r="G62" i="35"/>
  <c r="F62" i="35"/>
  <c r="I61" i="35"/>
  <c r="H61" i="35"/>
  <c r="G61" i="35"/>
  <c r="F61" i="35"/>
  <c r="I60" i="35"/>
  <c r="H60" i="35"/>
  <c r="G60" i="35"/>
  <c r="F60" i="35"/>
  <c r="I59" i="35"/>
  <c r="H59" i="35"/>
  <c r="G59" i="35"/>
  <c r="F59" i="35"/>
  <c r="I58" i="35"/>
  <c r="H58" i="35"/>
  <c r="G58" i="35"/>
  <c r="F58" i="35"/>
  <c r="I57" i="35"/>
  <c r="H57" i="35"/>
  <c r="G57" i="35"/>
  <c r="F57" i="35"/>
  <c r="I56" i="35"/>
  <c r="H56" i="35"/>
  <c r="G56" i="35"/>
  <c r="F56" i="35"/>
  <c r="I54" i="35"/>
  <c r="H54" i="35"/>
  <c r="G54" i="35"/>
  <c r="F54" i="35"/>
  <c r="I53" i="35"/>
  <c r="H53" i="35"/>
  <c r="G53" i="35"/>
  <c r="F53" i="35"/>
  <c r="I52" i="35"/>
  <c r="H52" i="35"/>
  <c r="G52" i="35"/>
  <c r="F52" i="35"/>
  <c r="I51" i="35"/>
  <c r="H51" i="35"/>
  <c r="G51" i="35"/>
  <c r="F51" i="35"/>
  <c r="I50" i="35"/>
  <c r="H50" i="35"/>
  <c r="G50" i="35"/>
  <c r="F50" i="35"/>
  <c r="I49" i="35"/>
  <c r="H49" i="35"/>
  <c r="G49" i="35"/>
  <c r="F49" i="35"/>
  <c r="I48" i="35"/>
  <c r="H48" i="35"/>
  <c r="G48" i="35"/>
  <c r="F48" i="35"/>
  <c r="I47" i="35"/>
  <c r="H47" i="35"/>
  <c r="G47" i="35"/>
  <c r="F47" i="35"/>
  <c r="I46" i="35"/>
  <c r="H46" i="35"/>
  <c r="G46" i="35"/>
  <c r="F46" i="35"/>
  <c r="I45" i="35"/>
  <c r="H45" i="35"/>
  <c r="G45" i="35"/>
  <c r="F45" i="35"/>
  <c r="I44" i="35"/>
  <c r="H44" i="35"/>
  <c r="G44" i="35"/>
  <c r="F44" i="35"/>
  <c r="I43" i="35"/>
  <c r="H43" i="35"/>
  <c r="G43" i="35"/>
  <c r="F43" i="35"/>
  <c r="I42" i="35"/>
  <c r="H42" i="35"/>
  <c r="G42" i="35"/>
  <c r="F42" i="35"/>
  <c r="I41" i="35"/>
  <c r="H41" i="35"/>
  <c r="G41" i="35"/>
  <c r="F41" i="35"/>
  <c r="I40" i="35"/>
  <c r="H40" i="35"/>
  <c r="G40" i="35"/>
  <c r="F40" i="35"/>
  <c r="I39" i="35"/>
  <c r="H39" i="35"/>
  <c r="G39" i="35"/>
  <c r="F39" i="35"/>
  <c r="I37" i="35"/>
  <c r="H37" i="35"/>
  <c r="G37" i="35"/>
  <c r="F37" i="35"/>
  <c r="I36" i="35"/>
  <c r="H36" i="35"/>
  <c r="G36" i="35"/>
  <c r="F36" i="35"/>
  <c r="I35" i="35"/>
  <c r="H35" i="35"/>
  <c r="G35" i="35"/>
  <c r="F35" i="35"/>
  <c r="I34" i="35"/>
  <c r="H34" i="35"/>
  <c r="G34" i="35"/>
  <c r="F34" i="35"/>
  <c r="I33" i="35"/>
  <c r="H33" i="35"/>
  <c r="G33" i="35"/>
  <c r="F33" i="35"/>
  <c r="I32" i="35"/>
  <c r="H32" i="35"/>
  <c r="G32" i="35"/>
  <c r="F32" i="35"/>
  <c r="I31" i="35"/>
  <c r="H31" i="35"/>
  <c r="G31" i="35"/>
  <c r="F31" i="35"/>
  <c r="I30" i="35"/>
  <c r="H30" i="35"/>
  <c r="G30" i="35"/>
  <c r="F30" i="35"/>
  <c r="I29" i="35"/>
  <c r="H29" i="35"/>
  <c r="G29" i="35"/>
  <c r="F29" i="35"/>
  <c r="I28" i="35"/>
  <c r="H28" i="35"/>
  <c r="G28" i="35"/>
  <c r="F28" i="35"/>
  <c r="I27" i="35"/>
  <c r="H27" i="35"/>
  <c r="G27" i="35"/>
  <c r="F27" i="35"/>
  <c r="I26" i="35"/>
  <c r="H26" i="35"/>
  <c r="G26" i="35"/>
  <c r="F26" i="35"/>
  <c r="I25" i="35"/>
  <c r="H25" i="35"/>
  <c r="G25" i="35"/>
  <c r="F25" i="35"/>
  <c r="I24" i="35"/>
  <c r="H24" i="35"/>
  <c r="G24" i="35"/>
  <c r="F24" i="35"/>
  <c r="I23" i="35"/>
  <c r="H23" i="35"/>
  <c r="G23" i="35"/>
  <c r="F23" i="35"/>
  <c r="I22" i="35"/>
  <c r="H22" i="35"/>
  <c r="G22" i="35"/>
  <c r="F22" i="35"/>
  <c r="I21" i="35"/>
  <c r="H21" i="35"/>
  <c r="G21" i="35"/>
  <c r="F21" i="35"/>
  <c r="I19" i="35"/>
  <c r="H19" i="35"/>
  <c r="G19" i="35"/>
  <c r="F19" i="35"/>
  <c r="I18" i="35"/>
  <c r="H18" i="35"/>
  <c r="G18" i="35"/>
  <c r="F18" i="35"/>
  <c r="I17" i="35"/>
  <c r="H17" i="35"/>
  <c r="G17" i="35"/>
  <c r="F17" i="35"/>
  <c r="I16" i="35"/>
  <c r="H16" i="35"/>
  <c r="G16" i="35"/>
  <c r="F16" i="35"/>
  <c r="I15" i="35"/>
  <c r="H15" i="35"/>
  <c r="G15" i="35"/>
  <c r="F15" i="35"/>
  <c r="I14" i="35"/>
  <c r="H14" i="35"/>
  <c r="G14" i="35"/>
  <c r="F14" i="35"/>
  <c r="I13" i="35"/>
  <c r="H13" i="35"/>
  <c r="G13" i="35"/>
  <c r="F13" i="35"/>
  <c r="I12" i="35"/>
  <c r="H12" i="35"/>
  <c r="G12" i="35"/>
  <c r="F12" i="35"/>
  <c r="I11" i="35"/>
  <c r="H11" i="35"/>
  <c r="G11" i="35"/>
  <c r="F11" i="35"/>
  <c r="I10" i="35"/>
  <c r="H10" i="35"/>
  <c r="G10" i="35"/>
  <c r="F10" i="35"/>
  <c r="I9" i="35"/>
  <c r="H9" i="35"/>
  <c r="G9" i="35"/>
  <c r="F9" i="35"/>
  <c r="I8" i="35"/>
  <c r="H8" i="35"/>
  <c r="G8" i="35"/>
  <c r="F8" i="35"/>
  <c r="I7" i="35"/>
  <c r="H7" i="35"/>
  <c r="G7" i="35"/>
  <c r="F7" i="35"/>
  <c r="I6" i="35"/>
  <c r="H6" i="35"/>
  <c r="G6" i="35"/>
  <c r="F6" i="35"/>
  <c r="I5" i="35"/>
  <c r="H5" i="35"/>
  <c r="G5" i="35"/>
  <c r="F5" i="35"/>
  <c r="E3" i="35"/>
  <c r="D3" i="35"/>
  <c r="C3" i="35"/>
  <c r="B3" i="35"/>
  <c r="C771" i="33" l="1"/>
  <c r="B771" i="33" s="1"/>
  <c r="G51" i="38"/>
  <c r="C1103" i="33"/>
  <c r="B1103" i="33" s="1"/>
  <c r="G55" i="38"/>
  <c r="C1121" i="33"/>
  <c r="B1121" i="33" s="1"/>
  <c r="H51" i="38"/>
  <c r="C1139" i="33"/>
  <c r="B1139" i="33" s="1"/>
  <c r="I48" i="38"/>
  <c r="C1163" i="33"/>
  <c r="B1163" i="33" s="1"/>
  <c r="I51" i="38"/>
  <c r="C1175" i="33"/>
  <c r="B1175" i="33" s="1"/>
  <c r="F55" i="38"/>
  <c r="C1085" i="33"/>
  <c r="B1085" i="33" s="1"/>
  <c r="H48" i="38"/>
  <c r="C1127" i="33"/>
  <c r="B1127" i="33" s="1"/>
  <c r="F54" i="38"/>
  <c r="C1078" i="33"/>
  <c r="B1078" i="33" s="1"/>
  <c r="G54" i="38"/>
  <c r="C1114" i="33"/>
  <c r="B1114" i="33" s="1"/>
  <c r="H54" i="38"/>
  <c r="C1150" i="33"/>
  <c r="B1150" i="33" s="1"/>
  <c r="F51" i="38"/>
  <c r="C1067" i="33"/>
  <c r="B1067" i="33" s="1"/>
  <c r="I46" i="38"/>
  <c r="C1160" i="33"/>
  <c r="B1160" i="33" s="1"/>
  <c r="I47" i="38"/>
  <c r="C1164" i="33"/>
  <c r="B1164" i="33" s="1"/>
  <c r="I54" i="38"/>
  <c r="C1186" i="33"/>
  <c r="B1186" i="33" s="1"/>
  <c r="G45" i="37"/>
  <c r="C823" i="33"/>
  <c r="B823" i="33" s="1"/>
  <c r="H45" i="37"/>
  <c r="C858" i="33"/>
  <c r="B858" i="33" s="1"/>
  <c r="I43" i="37"/>
  <c r="C888" i="33"/>
  <c r="B888" i="33" s="1"/>
  <c r="D456" i="33"/>
  <c r="C456" i="33"/>
  <c r="B456" i="33" s="1"/>
  <c r="D462" i="33"/>
  <c r="C462" i="33"/>
  <c r="B462" i="33" s="1"/>
  <c r="D470" i="33"/>
  <c r="C470" i="33"/>
  <c r="B470" i="33" s="1"/>
  <c r="H87" i="35"/>
  <c r="D478" i="33"/>
  <c r="C478" i="33"/>
  <c r="B478" i="33" s="1"/>
  <c r="D482" i="33"/>
  <c r="C482" i="33"/>
  <c r="B482" i="33" s="1"/>
  <c r="C490" i="33"/>
  <c r="B490" i="33" s="1"/>
  <c r="D490" i="33"/>
  <c r="C496" i="33"/>
  <c r="B496" i="33" s="1"/>
  <c r="D496" i="33"/>
  <c r="C502" i="33"/>
  <c r="B502" i="33" s="1"/>
  <c r="D502" i="33"/>
  <c r="C506" i="33"/>
  <c r="B506" i="33" s="1"/>
  <c r="D506" i="33"/>
  <c r="C512" i="33"/>
  <c r="B512" i="33" s="1"/>
  <c r="D512" i="33"/>
  <c r="C518" i="33"/>
  <c r="B518" i="33" s="1"/>
  <c r="D518" i="33"/>
  <c r="C522" i="33"/>
  <c r="B522" i="33" s="1"/>
  <c r="D522" i="33"/>
  <c r="D528" i="33"/>
  <c r="C528" i="33"/>
  <c r="B528" i="33" s="1"/>
  <c r="D534" i="33"/>
  <c r="C534" i="33"/>
  <c r="B534" i="33" s="1"/>
  <c r="D538" i="33"/>
  <c r="C538" i="33"/>
  <c r="B538" i="33" s="1"/>
  <c r="D542" i="33"/>
  <c r="C542" i="33"/>
  <c r="B542" i="33" s="1"/>
  <c r="I87" i="35"/>
  <c r="D546" i="33"/>
  <c r="C546" i="33"/>
  <c r="B546" i="33" s="1"/>
  <c r="D548" i="33"/>
  <c r="C548" i="33"/>
  <c r="B548" i="33" s="1"/>
  <c r="D552" i="33"/>
  <c r="C552" i="33"/>
  <c r="B552" i="33" s="1"/>
  <c r="D554" i="33"/>
  <c r="C554" i="33"/>
  <c r="B554" i="33" s="1"/>
  <c r="D556" i="33"/>
  <c r="C556" i="33"/>
  <c r="B556" i="33" s="1"/>
  <c r="D558" i="33"/>
  <c r="C558" i="33"/>
  <c r="B558" i="33" s="1"/>
  <c r="I86" i="35"/>
  <c r="D560" i="33"/>
  <c r="C560" i="33"/>
  <c r="B560" i="33" s="1"/>
  <c r="D562" i="33"/>
  <c r="C562" i="33"/>
  <c r="B562" i="33" s="1"/>
  <c r="D564" i="33"/>
  <c r="C564" i="33"/>
  <c r="B564" i="33" s="1"/>
  <c r="D566" i="33"/>
  <c r="C566" i="33"/>
  <c r="B566" i="33" s="1"/>
  <c r="D568" i="33"/>
  <c r="C568" i="33"/>
  <c r="B568" i="33" s="1"/>
  <c r="D570" i="33"/>
  <c r="C570" i="33"/>
  <c r="B570" i="33" s="1"/>
  <c r="D572" i="33"/>
  <c r="C572" i="33"/>
  <c r="B572" i="33" s="1"/>
  <c r="D574" i="33"/>
  <c r="C574" i="33"/>
  <c r="B574" i="33" s="1"/>
  <c r="D576" i="33"/>
  <c r="C576" i="33"/>
  <c r="B576" i="33" s="1"/>
  <c r="D578" i="33"/>
  <c r="C578" i="33"/>
  <c r="B578" i="33" s="1"/>
  <c r="D580" i="33"/>
  <c r="C580" i="33"/>
  <c r="B580" i="33" s="1"/>
  <c r="D582" i="33"/>
  <c r="C582" i="33"/>
  <c r="B582" i="33" s="1"/>
  <c r="D584" i="33"/>
  <c r="C584" i="33"/>
  <c r="B584" i="33" s="1"/>
  <c r="D586" i="33"/>
  <c r="C586" i="33"/>
  <c r="B586" i="33" s="1"/>
  <c r="D588" i="33"/>
  <c r="C588" i="33"/>
  <c r="B588" i="33" s="1"/>
  <c r="D590" i="33"/>
  <c r="C590" i="33"/>
  <c r="B590" i="33" s="1"/>
  <c r="D592" i="33"/>
  <c r="C592" i="33"/>
  <c r="B592" i="33" s="1"/>
  <c r="D594" i="33"/>
  <c r="C594" i="33"/>
  <c r="B594" i="33" s="1"/>
  <c r="D596" i="33"/>
  <c r="C596" i="33"/>
  <c r="B596" i="33" s="1"/>
  <c r="D598" i="33"/>
  <c r="C598" i="33"/>
  <c r="B598" i="33" s="1"/>
  <c r="D313" i="33"/>
  <c r="C313" i="33"/>
  <c r="B313" i="33" s="1"/>
  <c r="D315" i="33"/>
  <c r="C315" i="33"/>
  <c r="B315" i="33" s="1"/>
  <c r="D317" i="33"/>
  <c r="C317" i="33"/>
  <c r="B317" i="33" s="1"/>
  <c r="D319" i="33"/>
  <c r="C319" i="33"/>
  <c r="B319" i="33" s="1"/>
  <c r="F85" i="35"/>
  <c r="D321" i="33"/>
  <c r="C321" i="33"/>
  <c r="B321" i="33" s="1"/>
  <c r="D323" i="33"/>
  <c r="C323" i="33"/>
  <c r="B323" i="33" s="1"/>
  <c r="D325" i="33"/>
  <c r="C325" i="33"/>
  <c r="B325" i="33" s="1"/>
  <c r="D327" i="33"/>
  <c r="C327" i="33"/>
  <c r="B327" i="33" s="1"/>
  <c r="D329" i="33"/>
  <c r="C329" i="33"/>
  <c r="B329" i="33" s="1"/>
  <c r="D331" i="33"/>
  <c r="C331" i="33"/>
  <c r="B331" i="33" s="1"/>
  <c r="D333" i="33"/>
  <c r="C333" i="33"/>
  <c r="B333" i="33" s="1"/>
  <c r="D335" i="33"/>
  <c r="C335" i="33"/>
  <c r="B335" i="33" s="1"/>
  <c r="D337" i="33"/>
  <c r="C337" i="33"/>
  <c r="B337" i="33" s="1"/>
  <c r="D339" i="33"/>
  <c r="C339" i="33"/>
  <c r="B339" i="33" s="1"/>
  <c r="D341" i="33"/>
  <c r="C341" i="33"/>
  <c r="B341" i="33" s="1"/>
  <c r="D343" i="33"/>
  <c r="C343" i="33"/>
  <c r="B343" i="33" s="1"/>
  <c r="F92" i="35"/>
  <c r="D345" i="33"/>
  <c r="C345" i="33"/>
  <c r="B345" i="33" s="1"/>
  <c r="D347" i="33"/>
  <c r="C347" i="33"/>
  <c r="B347" i="33" s="1"/>
  <c r="D349" i="33"/>
  <c r="C349" i="33"/>
  <c r="B349" i="33" s="1"/>
  <c r="D351" i="33"/>
  <c r="C351" i="33"/>
  <c r="B351" i="33" s="1"/>
  <c r="D353" i="33"/>
  <c r="C353" i="33"/>
  <c r="B353" i="33" s="1"/>
  <c r="F88" i="35"/>
  <c r="D355" i="33"/>
  <c r="C355" i="33"/>
  <c r="B355" i="33" s="1"/>
  <c r="D357" i="33"/>
  <c r="C357" i="33"/>
  <c r="B357" i="33" s="1"/>
  <c r="D359" i="33"/>
  <c r="C359" i="33"/>
  <c r="B359" i="33" s="1"/>
  <c r="F90" i="35"/>
  <c r="D361" i="33"/>
  <c r="C361" i="33"/>
  <c r="B361" i="33" s="1"/>
  <c r="D363" i="33"/>
  <c r="C363" i="33"/>
  <c r="B363" i="33" s="1"/>
  <c r="D365" i="33"/>
  <c r="C365" i="33"/>
  <c r="B365" i="33" s="1"/>
  <c r="D367" i="33"/>
  <c r="C367" i="33"/>
  <c r="B367" i="33" s="1"/>
  <c r="D369" i="33"/>
  <c r="C369" i="33"/>
  <c r="B369" i="33" s="1"/>
  <c r="D371" i="33"/>
  <c r="C371" i="33"/>
  <c r="B371" i="33" s="1"/>
  <c r="D373" i="33"/>
  <c r="C373" i="33"/>
  <c r="B373" i="33" s="1"/>
  <c r="F91" i="35"/>
  <c r="D375" i="33"/>
  <c r="C375" i="33"/>
  <c r="B375" i="33" s="1"/>
  <c r="D377" i="33"/>
  <c r="C377" i="33"/>
  <c r="B377" i="33" s="1"/>
  <c r="D379" i="33"/>
  <c r="C379" i="33"/>
  <c r="B379" i="33" s="1"/>
  <c r="D381" i="33"/>
  <c r="C381" i="33"/>
  <c r="B381" i="33" s="1"/>
  <c r="D383" i="33"/>
  <c r="C383" i="33"/>
  <c r="B383" i="33" s="1"/>
  <c r="D385" i="33"/>
  <c r="C385" i="33"/>
  <c r="B385" i="33" s="1"/>
  <c r="D387" i="33"/>
  <c r="C387" i="33"/>
  <c r="B387" i="33" s="1"/>
  <c r="D389" i="33"/>
  <c r="C389" i="33"/>
  <c r="B389" i="33" s="1"/>
  <c r="D391" i="33"/>
  <c r="C391" i="33"/>
  <c r="B391" i="33" s="1"/>
  <c r="G85" i="35"/>
  <c r="D393" i="33"/>
  <c r="C393" i="33"/>
  <c r="B393" i="33" s="1"/>
  <c r="D395" i="33"/>
  <c r="C395" i="33"/>
  <c r="B395" i="33" s="1"/>
  <c r="D397" i="33"/>
  <c r="C397" i="33"/>
  <c r="B397" i="33" s="1"/>
  <c r="D399" i="33"/>
  <c r="C399" i="33"/>
  <c r="B399" i="33" s="1"/>
  <c r="D401" i="33"/>
  <c r="C401" i="33"/>
  <c r="B401" i="33" s="1"/>
  <c r="D403" i="33"/>
  <c r="C403" i="33"/>
  <c r="B403" i="33" s="1"/>
  <c r="D405" i="33"/>
  <c r="C405" i="33"/>
  <c r="B405" i="33" s="1"/>
  <c r="D407" i="33"/>
  <c r="C407" i="33"/>
  <c r="B407" i="33" s="1"/>
  <c r="D409" i="33"/>
  <c r="C409" i="33"/>
  <c r="B409" i="33" s="1"/>
  <c r="D411" i="33"/>
  <c r="C411" i="33"/>
  <c r="B411" i="33" s="1"/>
  <c r="D413" i="33"/>
  <c r="C413" i="33"/>
  <c r="B413" i="33" s="1"/>
  <c r="D415" i="33"/>
  <c r="C415" i="33"/>
  <c r="B415" i="33" s="1"/>
  <c r="G92" i="35"/>
  <c r="D417" i="33"/>
  <c r="C417" i="33"/>
  <c r="B417" i="33" s="1"/>
  <c r="D419" i="33"/>
  <c r="C419" i="33"/>
  <c r="B419" i="33" s="1"/>
  <c r="D421" i="33"/>
  <c r="C421" i="33"/>
  <c r="B421" i="33" s="1"/>
  <c r="D423" i="33"/>
  <c r="C423" i="33"/>
  <c r="B423" i="33" s="1"/>
  <c r="D425" i="33"/>
  <c r="C425" i="33"/>
  <c r="B425" i="33" s="1"/>
  <c r="G88" i="35"/>
  <c r="D427" i="33"/>
  <c r="C427" i="33"/>
  <c r="B427" i="33" s="1"/>
  <c r="D429" i="33"/>
  <c r="C429" i="33"/>
  <c r="B429" i="33" s="1"/>
  <c r="D431" i="33"/>
  <c r="C431" i="33"/>
  <c r="B431" i="33" s="1"/>
  <c r="G90" i="35"/>
  <c r="D433" i="33"/>
  <c r="C433" i="33"/>
  <c r="B433" i="33" s="1"/>
  <c r="D435" i="33"/>
  <c r="C435" i="33"/>
  <c r="B435" i="33" s="1"/>
  <c r="D437" i="33"/>
  <c r="C437" i="33"/>
  <c r="B437" i="33" s="1"/>
  <c r="D439" i="33"/>
  <c r="C439" i="33"/>
  <c r="B439" i="33" s="1"/>
  <c r="D441" i="33"/>
  <c r="C441" i="33"/>
  <c r="B441" i="33" s="1"/>
  <c r="D443" i="33"/>
  <c r="C443" i="33"/>
  <c r="B443" i="33" s="1"/>
  <c r="D445" i="33"/>
  <c r="C445" i="33"/>
  <c r="B445" i="33" s="1"/>
  <c r="G91" i="35"/>
  <c r="D447" i="33"/>
  <c r="C447" i="33"/>
  <c r="B447" i="33" s="1"/>
  <c r="D449" i="33"/>
  <c r="C449" i="33"/>
  <c r="B449" i="33" s="1"/>
  <c r="D451" i="33"/>
  <c r="C451" i="33"/>
  <c r="B451" i="33" s="1"/>
  <c r="D453" i="33"/>
  <c r="C453" i="33"/>
  <c r="B453" i="33" s="1"/>
  <c r="D455" i="33"/>
  <c r="C455" i="33"/>
  <c r="B455" i="33" s="1"/>
  <c r="D486" i="33"/>
  <c r="C486" i="33"/>
  <c r="B486" i="33" s="1"/>
  <c r="H86" i="35"/>
  <c r="D464" i="33"/>
  <c r="C464" i="33"/>
  <c r="B464" i="33" s="1"/>
  <c r="D474" i="33"/>
  <c r="C474" i="33"/>
  <c r="B474" i="33" s="1"/>
  <c r="D484" i="33"/>
  <c r="C484" i="33"/>
  <c r="B484" i="33" s="1"/>
  <c r="C498" i="33"/>
  <c r="B498" i="33" s="1"/>
  <c r="D498" i="33"/>
  <c r="D508" i="33"/>
  <c r="C508" i="33"/>
  <c r="B508" i="33" s="1"/>
  <c r="D516" i="33"/>
  <c r="C516" i="33"/>
  <c r="B516" i="33" s="1"/>
  <c r="D524" i="33"/>
  <c r="C524" i="33"/>
  <c r="B524" i="33" s="1"/>
  <c r="D532" i="33"/>
  <c r="C532" i="33"/>
  <c r="B532" i="33" s="1"/>
  <c r="D540" i="33"/>
  <c r="C540" i="33"/>
  <c r="B540" i="33" s="1"/>
  <c r="D459" i="33"/>
  <c r="C459" i="33"/>
  <c r="B459" i="33" s="1"/>
  <c r="D465" i="33"/>
  <c r="C465" i="33"/>
  <c r="B465" i="33" s="1"/>
  <c r="D469" i="33"/>
  <c r="C469" i="33"/>
  <c r="B469" i="33" s="1"/>
  <c r="D475" i="33"/>
  <c r="C475" i="33"/>
  <c r="B475" i="33" s="1"/>
  <c r="D479" i="33"/>
  <c r="C479" i="33"/>
  <c r="B479" i="33" s="1"/>
  <c r="D485" i="33"/>
  <c r="C485" i="33"/>
  <c r="B485" i="33" s="1"/>
  <c r="C489" i="33"/>
  <c r="B489" i="33" s="1"/>
  <c r="D489" i="33"/>
  <c r="D493" i="33"/>
  <c r="C493" i="33"/>
  <c r="B493" i="33" s="1"/>
  <c r="C499" i="33"/>
  <c r="B499" i="33" s="1"/>
  <c r="D499" i="33"/>
  <c r="C505" i="33"/>
  <c r="B505" i="33" s="1"/>
  <c r="D505" i="33"/>
  <c r="D509" i="33"/>
  <c r="C509" i="33"/>
  <c r="B509" i="33" s="1"/>
  <c r="C513" i="33"/>
  <c r="B513" i="33" s="1"/>
  <c r="D513" i="33"/>
  <c r="C517" i="33"/>
  <c r="B517" i="33" s="1"/>
  <c r="D517" i="33"/>
  <c r="H91" i="35"/>
  <c r="C521" i="33"/>
  <c r="B521" i="33" s="1"/>
  <c r="D521" i="33"/>
  <c r="C523" i="33"/>
  <c r="B523" i="33" s="1"/>
  <c r="D523" i="33"/>
  <c r="D525" i="33"/>
  <c r="C525" i="33"/>
  <c r="B525" i="33" s="1"/>
  <c r="D527" i="33"/>
  <c r="C527" i="33"/>
  <c r="B527" i="33" s="1"/>
  <c r="D531" i="33"/>
  <c r="C531" i="33"/>
  <c r="B531" i="33" s="1"/>
  <c r="D535" i="33"/>
  <c r="C535" i="33"/>
  <c r="B535" i="33" s="1"/>
  <c r="I85" i="35"/>
  <c r="D539" i="33"/>
  <c r="C539" i="33"/>
  <c r="B539" i="33" s="1"/>
  <c r="D545" i="33"/>
  <c r="C545" i="33"/>
  <c r="B545" i="33" s="1"/>
  <c r="D549" i="33"/>
  <c r="C549" i="33"/>
  <c r="B549" i="33" s="1"/>
  <c r="D555" i="33"/>
  <c r="C555" i="33"/>
  <c r="B555" i="33" s="1"/>
  <c r="D559" i="33"/>
  <c r="C559" i="33"/>
  <c r="B559" i="33" s="1"/>
  <c r="I92" i="35"/>
  <c r="D563" i="33"/>
  <c r="C563" i="33"/>
  <c r="B563" i="33" s="1"/>
  <c r="D569" i="33"/>
  <c r="C569" i="33"/>
  <c r="B569" i="33" s="1"/>
  <c r="I88" i="35"/>
  <c r="D575" i="33"/>
  <c r="C575" i="33"/>
  <c r="B575" i="33" s="1"/>
  <c r="I90" i="35"/>
  <c r="D579" i="33"/>
  <c r="C579" i="33"/>
  <c r="B579" i="33" s="1"/>
  <c r="D583" i="33"/>
  <c r="C583" i="33"/>
  <c r="B583" i="33" s="1"/>
  <c r="D587" i="33"/>
  <c r="C587" i="33"/>
  <c r="B587" i="33" s="1"/>
  <c r="D593" i="33"/>
  <c r="C593" i="33"/>
  <c r="B593" i="33" s="1"/>
  <c r="D314" i="33"/>
  <c r="C314" i="33"/>
  <c r="B314" i="33" s="1"/>
  <c r="D316" i="33"/>
  <c r="C316" i="33"/>
  <c r="B316" i="33" s="1"/>
  <c r="D318" i="33"/>
  <c r="C318" i="33"/>
  <c r="B318" i="33" s="1"/>
  <c r="D320" i="33"/>
  <c r="C320" i="33"/>
  <c r="B320" i="33" s="1"/>
  <c r="D322" i="33"/>
  <c r="C322" i="33"/>
  <c r="B322" i="33" s="1"/>
  <c r="D324" i="33"/>
  <c r="C324" i="33"/>
  <c r="B324" i="33" s="1"/>
  <c r="D326" i="33"/>
  <c r="C326" i="33"/>
  <c r="B326" i="33" s="1"/>
  <c r="F87" i="35"/>
  <c r="D328" i="33"/>
  <c r="C328" i="33"/>
  <c r="B328" i="33" s="1"/>
  <c r="D330" i="33"/>
  <c r="C330" i="33"/>
  <c r="B330" i="33" s="1"/>
  <c r="D332" i="33"/>
  <c r="C332" i="33"/>
  <c r="B332" i="33" s="1"/>
  <c r="D334" i="33"/>
  <c r="C334" i="33"/>
  <c r="B334" i="33" s="1"/>
  <c r="D336" i="33"/>
  <c r="C336" i="33"/>
  <c r="B336" i="33" s="1"/>
  <c r="D338" i="33"/>
  <c r="C338" i="33"/>
  <c r="B338" i="33" s="1"/>
  <c r="D340" i="33"/>
  <c r="C340" i="33"/>
  <c r="B340" i="33" s="1"/>
  <c r="D342" i="33"/>
  <c r="C342" i="33"/>
  <c r="B342" i="33" s="1"/>
  <c r="F86" i="35"/>
  <c r="D344" i="33"/>
  <c r="C344" i="33"/>
  <c r="B344" i="33" s="1"/>
  <c r="D346" i="33"/>
  <c r="C346" i="33"/>
  <c r="B346" i="33" s="1"/>
  <c r="D348" i="33"/>
  <c r="C348" i="33"/>
  <c r="B348" i="33" s="1"/>
  <c r="D350" i="33"/>
  <c r="C350" i="33"/>
  <c r="B350" i="33" s="1"/>
  <c r="D352" i="33"/>
  <c r="C352" i="33"/>
  <c r="B352" i="33" s="1"/>
  <c r="D354" i="33"/>
  <c r="C354" i="33"/>
  <c r="B354" i="33" s="1"/>
  <c r="D356" i="33"/>
  <c r="C356" i="33"/>
  <c r="B356" i="33" s="1"/>
  <c r="D358" i="33"/>
  <c r="C358" i="33"/>
  <c r="B358" i="33" s="1"/>
  <c r="D360" i="33"/>
  <c r="C360" i="33"/>
  <c r="B360" i="33" s="1"/>
  <c r="D362" i="33"/>
  <c r="C362" i="33"/>
  <c r="B362" i="33" s="1"/>
  <c r="F89" i="35"/>
  <c r="D364" i="33"/>
  <c r="C364" i="33"/>
  <c r="B364" i="33" s="1"/>
  <c r="D366" i="33"/>
  <c r="C366" i="33"/>
  <c r="B366" i="33" s="1"/>
  <c r="D368" i="33"/>
  <c r="C368" i="33"/>
  <c r="B368" i="33" s="1"/>
  <c r="D370" i="33"/>
  <c r="C370" i="33"/>
  <c r="B370" i="33" s="1"/>
  <c r="D372" i="33"/>
  <c r="C372" i="33"/>
  <c r="B372" i="33" s="1"/>
  <c r="D374" i="33"/>
  <c r="C374" i="33"/>
  <c r="B374" i="33" s="1"/>
  <c r="D376" i="33"/>
  <c r="C376" i="33"/>
  <c r="B376" i="33" s="1"/>
  <c r="D378" i="33"/>
  <c r="C378" i="33"/>
  <c r="B378" i="33" s="1"/>
  <c r="D380" i="33"/>
  <c r="C380" i="33"/>
  <c r="B380" i="33" s="1"/>
  <c r="D382" i="33"/>
  <c r="C382" i="33"/>
  <c r="B382" i="33" s="1"/>
  <c r="D460" i="33"/>
  <c r="C460" i="33"/>
  <c r="B460" i="33" s="1"/>
  <c r="D468" i="33"/>
  <c r="C468" i="33"/>
  <c r="B468" i="33" s="1"/>
  <c r="D476" i="33"/>
  <c r="C476" i="33"/>
  <c r="B476" i="33" s="1"/>
  <c r="D480" i="33"/>
  <c r="C480" i="33"/>
  <c r="B480" i="33" s="1"/>
  <c r="C488" i="33"/>
  <c r="B488" i="33" s="1"/>
  <c r="D488" i="33"/>
  <c r="D492" i="33"/>
  <c r="C492" i="33"/>
  <c r="B492" i="33" s="1"/>
  <c r="D494" i="33"/>
  <c r="C494" i="33"/>
  <c r="B494" i="33" s="1"/>
  <c r="D500" i="33"/>
  <c r="C500" i="33"/>
  <c r="B500" i="33" s="1"/>
  <c r="D504" i="33"/>
  <c r="C504" i="33"/>
  <c r="B504" i="33" s="1"/>
  <c r="D510" i="33"/>
  <c r="C510" i="33"/>
  <c r="B510" i="33" s="1"/>
  <c r="C514" i="33"/>
  <c r="B514" i="33" s="1"/>
  <c r="D514" i="33"/>
  <c r="C520" i="33"/>
  <c r="B520" i="33" s="1"/>
  <c r="D520" i="33"/>
  <c r="D526" i="33"/>
  <c r="C526" i="33"/>
  <c r="B526" i="33" s="1"/>
  <c r="D530" i="33"/>
  <c r="C530" i="33"/>
  <c r="B530" i="33" s="1"/>
  <c r="D536" i="33"/>
  <c r="C536" i="33"/>
  <c r="B536" i="33" s="1"/>
  <c r="D544" i="33"/>
  <c r="C544" i="33"/>
  <c r="B544" i="33" s="1"/>
  <c r="D457" i="33"/>
  <c r="C457" i="33"/>
  <c r="B457" i="33" s="1"/>
  <c r="D461" i="33"/>
  <c r="C461" i="33"/>
  <c r="B461" i="33" s="1"/>
  <c r="D463" i="33"/>
  <c r="C463" i="33"/>
  <c r="B463" i="33" s="1"/>
  <c r="H85" i="35"/>
  <c r="D467" i="33"/>
  <c r="C467" i="33"/>
  <c r="B467" i="33" s="1"/>
  <c r="D471" i="33"/>
  <c r="C471" i="33"/>
  <c r="B471" i="33" s="1"/>
  <c r="D473" i="33"/>
  <c r="C473" i="33"/>
  <c r="B473" i="33" s="1"/>
  <c r="D477" i="33"/>
  <c r="C477" i="33"/>
  <c r="B477" i="33" s="1"/>
  <c r="D481" i="33"/>
  <c r="C481" i="33"/>
  <c r="B481" i="33" s="1"/>
  <c r="D483" i="33"/>
  <c r="C483" i="33"/>
  <c r="B483" i="33" s="1"/>
  <c r="D487" i="33"/>
  <c r="C487" i="33"/>
  <c r="B487" i="33" s="1"/>
  <c r="H92" i="35"/>
  <c r="C491" i="33"/>
  <c r="B491" i="33" s="1"/>
  <c r="D491" i="33"/>
  <c r="C495" i="33"/>
  <c r="B495" i="33" s="1"/>
  <c r="D495" i="33"/>
  <c r="C497" i="33"/>
  <c r="B497" i="33" s="1"/>
  <c r="D497" i="33"/>
  <c r="H88" i="35"/>
  <c r="C501" i="33"/>
  <c r="B501" i="33" s="1"/>
  <c r="D501" i="33"/>
  <c r="C503" i="33"/>
  <c r="B503" i="33" s="1"/>
  <c r="D503" i="33"/>
  <c r="H90" i="35"/>
  <c r="C507" i="33"/>
  <c r="B507" i="33" s="1"/>
  <c r="D507" i="33"/>
  <c r="D511" i="33"/>
  <c r="C511" i="33"/>
  <c r="B511" i="33" s="1"/>
  <c r="C515" i="33"/>
  <c r="B515" i="33" s="1"/>
  <c r="D515" i="33"/>
  <c r="C519" i="33"/>
  <c r="B519" i="33" s="1"/>
  <c r="D519" i="33"/>
  <c r="D529" i="33"/>
  <c r="C529" i="33"/>
  <c r="B529" i="33" s="1"/>
  <c r="D533" i="33"/>
  <c r="C533" i="33"/>
  <c r="B533" i="33" s="1"/>
  <c r="D537" i="33"/>
  <c r="C537" i="33"/>
  <c r="B537" i="33" s="1"/>
  <c r="D541" i="33"/>
  <c r="C541" i="33"/>
  <c r="B541" i="33" s="1"/>
  <c r="D543" i="33"/>
  <c r="C543" i="33"/>
  <c r="B543" i="33" s="1"/>
  <c r="D547" i="33"/>
  <c r="C547" i="33"/>
  <c r="B547" i="33" s="1"/>
  <c r="D551" i="33"/>
  <c r="C551" i="33"/>
  <c r="B551" i="33" s="1"/>
  <c r="D553" i="33"/>
  <c r="C553" i="33"/>
  <c r="B553" i="33" s="1"/>
  <c r="D557" i="33"/>
  <c r="C557" i="33"/>
  <c r="B557" i="33" s="1"/>
  <c r="D561" i="33"/>
  <c r="C561" i="33"/>
  <c r="B561" i="33" s="1"/>
  <c r="D565" i="33"/>
  <c r="C565" i="33"/>
  <c r="B565" i="33" s="1"/>
  <c r="D567" i="33"/>
  <c r="C567" i="33"/>
  <c r="B567" i="33" s="1"/>
  <c r="D571" i="33"/>
  <c r="C571" i="33"/>
  <c r="B571" i="33" s="1"/>
  <c r="D573" i="33"/>
  <c r="C573" i="33"/>
  <c r="B573" i="33" s="1"/>
  <c r="D577" i="33"/>
  <c r="C577" i="33"/>
  <c r="B577" i="33" s="1"/>
  <c r="D581" i="33"/>
  <c r="C581" i="33"/>
  <c r="B581" i="33" s="1"/>
  <c r="D585" i="33"/>
  <c r="C585" i="33"/>
  <c r="B585" i="33" s="1"/>
  <c r="D589" i="33"/>
  <c r="C589" i="33"/>
  <c r="B589" i="33" s="1"/>
  <c r="I91" i="35"/>
  <c r="D591" i="33"/>
  <c r="C591" i="33"/>
  <c r="B591" i="33" s="1"/>
  <c r="D595" i="33"/>
  <c r="C595" i="33"/>
  <c r="B595" i="33" s="1"/>
  <c r="D597" i="33"/>
  <c r="C597" i="33"/>
  <c r="B597" i="33" s="1"/>
  <c r="D599" i="33"/>
  <c r="C599" i="33"/>
  <c r="B599" i="33" s="1"/>
  <c r="D312" i="33"/>
  <c r="C312" i="33"/>
  <c r="B312" i="33" s="1"/>
  <c r="D384" i="33"/>
  <c r="C384" i="33"/>
  <c r="B384" i="33" s="1"/>
  <c r="D386" i="33"/>
  <c r="C386" i="33"/>
  <c r="B386" i="33" s="1"/>
  <c r="D388" i="33"/>
  <c r="C388" i="33"/>
  <c r="B388" i="33" s="1"/>
  <c r="D390" i="33"/>
  <c r="C390" i="33"/>
  <c r="B390" i="33" s="1"/>
  <c r="D392" i="33"/>
  <c r="C392" i="33"/>
  <c r="B392" i="33" s="1"/>
  <c r="D394" i="33"/>
  <c r="C394" i="33"/>
  <c r="B394" i="33" s="1"/>
  <c r="D396" i="33"/>
  <c r="C396" i="33"/>
  <c r="B396" i="33" s="1"/>
  <c r="D398" i="33"/>
  <c r="C398" i="33"/>
  <c r="B398" i="33" s="1"/>
  <c r="G87" i="35"/>
  <c r="D400" i="33"/>
  <c r="C400" i="33"/>
  <c r="B400" i="33" s="1"/>
  <c r="D402" i="33"/>
  <c r="C402" i="33"/>
  <c r="B402" i="33" s="1"/>
  <c r="D404" i="33"/>
  <c r="C404" i="33"/>
  <c r="B404" i="33" s="1"/>
  <c r="D406" i="33"/>
  <c r="C406" i="33"/>
  <c r="B406" i="33" s="1"/>
  <c r="D408" i="33"/>
  <c r="C408" i="33"/>
  <c r="B408" i="33" s="1"/>
  <c r="D410" i="33"/>
  <c r="C410" i="33"/>
  <c r="B410" i="33" s="1"/>
  <c r="D412" i="33"/>
  <c r="C412" i="33"/>
  <c r="B412" i="33" s="1"/>
  <c r="D414" i="33"/>
  <c r="C414" i="33"/>
  <c r="B414" i="33" s="1"/>
  <c r="G86" i="35"/>
  <c r="D416" i="33"/>
  <c r="C416" i="33"/>
  <c r="B416" i="33" s="1"/>
  <c r="D418" i="33"/>
  <c r="C418" i="33"/>
  <c r="B418" i="33" s="1"/>
  <c r="D420" i="33"/>
  <c r="C420" i="33"/>
  <c r="B420" i="33" s="1"/>
  <c r="D422" i="33"/>
  <c r="C422" i="33"/>
  <c r="B422" i="33" s="1"/>
  <c r="D424" i="33"/>
  <c r="C424" i="33"/>
  <c r="B424" i="33" s="1"/>
  <c r="D426" i="33"/>
  <c r="C426" i="33"/>
  <c r="B426" i="33" s="1"/>
  <c r="D428" i="33"/>
  <c r="C428" i="33"/>
  <c r="B428" i="33" s="1"/>
  <c r="D430" i="33"/>
  <c r="C430" i="33"/>
  <c r="B430" i="33" s="1"/>
  <c r="D432" i="33"/>
  <c r="C432" i="33"/>
  <c r="B432" i="33" s="1"/>
  <c r="D434" i="33"/>
  <c r="C434" i="33"/>
  <c r="B434" i="33" s="1"/>
  <c r="G89" i="35"/>
  <c r="D436" i="33"/>
  <c r="C436" i="33"/>
  <c r="B436" i="33" s="1"/>
  <c r="D438" i="33"/>
  <c r="C438" i="33"/>
  <c r="B438" i="33" s="1"/>
  <c r="D440" i="33"/>
  <c r="C440" i="33"/>
  <c r="B440" i="33" s="1"/>
  <c r="D442" i="33"/>
  <c r="C442" i="33"/>
  <c r="B442" i="33" s="1"/>
  <c r="D444" i="33"/>
  <c r="C444" i="33"/>
  <c r="B444" i="33" s="1"/>
  <c r="D446" i="33"/>
  <c r="C446" i="33"/>
  <c r="B446" i="33" s="1"/>
  <c r="D448" i="33"/>
  <c r="C448" i="33"/>
  <c r="B448" i="33" s="1"/>
  <c r="D450" i="33"/>
  <c r="C450" i="33"/>
  <c r="B450" i="33" s="1"/>
  <c r="D452" i="33"/>
  <c r="C452" i="33"/>
  <c r="B452" i="33" s="1"/>
  <c r="D454" i="33"/>
  <c r="C454" i="33"/>
  <c r="B454" i="33" s="1"/>
  <c r="D458" i="33"/>
  <c r="C458" i="33"/>
  <c r="B458" i="33" s="1"/>
  <c r="D466" i="33"/>
  <c r="C466" i="33"/>
  <c r="B466" i="33" s="1"/>
  <c r="D472" i="33"/>
  <c r="C472" i="33"/>
  <c r="B472" i="33" s="1"/>
  <c r="D550" i="33"/>
  <c r="C550" i="33"/>
  <c r="B550" i="33" s="1"/>
  <c r="F3" i="35"/>
  <c r="B3" i="37"/>
  <c r="G3" i="35"/>
  <c r="C3" i="37"/>
  <c r="H3" i="35"/>
  <c r="D3" i="37"/>
  <c r="I3" i="35"/>
  <c r="E3" i="37"/>
  <c r="I55" i="38"/>
  <c r="H55" i="38"/>
  <c r="I53" i="38"/>
  <c r="I52" i="38"/>
  <c r="I49" i="38"/>
  <c r="I50" i="38"/>
  <c r="F48" i="38"/>
  <c r="G48" i="38"/>
  <c r="I45" i="37"/>
  <c r="H44" i="37"/>
  <c r="H89" i="35"/>
  <c r="I89" i="35"/>
  <c r="F47" i="38"/>
  <c r="F50" i="38"/>
  <c r="F53" i="38"/>
  <c r="G47" i="38"/>
  <c r="G50" i="38"/>
  <c r="G53" i="38"/>
  <c r="H47" i="38"/>
  <c r="H50" i="38"/>
  <c r="H53" i="38"/>
  <c r="F46" i="38"/>
  <c r="F49" i="38"/>
  <c r="F52" i="38"/>
  <c r="G46" i="38"/>
  <c r="G49" i="38"/>
  <c r="G52" i="38"/>
  <c r="H46" i="38"/>
  <c r="H49" i="38"/>
  <c r="H52" i="38"/>
  <c r="F45" i="37"/>
  <c r="F42" i="37"/>
  <c r="F44" i="37"/>
  <c r="G42" i="37"/>
  <c r="G43" i="37"/>
  <c r="I42" i="37"/>
  <c r="I44" i="37"/>
  <c r="H42" i="37"/>
  <c r="F43" i="37"/>
  <c r="H43" i="37"/>
  <c r="G44" i="37"/>
  <c r="C8" i="33"/>
  <c r="B8" i="33" s="1"/>
  <c r="C9" i="33"/>
  <c r="B9" i="33" s="1"/>
  <c r="C10" i="33"/>
  <c r="B10" i="33" s="1"/>
  <c r="C11" i="33"/>
  <c r="B11" i="33" s="1"/>
  <c r="C3" i="33"/>
  <c r="B3" i="33" s="1"/>
  <c r="C4" i="33"/>
  <c r="B4" i="33" s="1"/>
  <c r="C5" i="33"/>
  <c r="B5" i="33" s="1"/>
  <c r="C2" i="33"/>
  <c r="B2" i="33" s="1"/>
  <c r="E3" i="38" l="1"/>
  <c r="I3" i="38" s="1"/>
  <c r="I3" i="37"/>
  <c r="C3" i="38"/>
  <c r="G3" i="38" s="1"/>
  <c r="G3" i="37"/>
  <c r="B3" i="38"/>
  <c r="F3" i="38" s="1"/>
  <c r="F3" i="37"/>
  <c r="D3" i="38"/>
  <c r="H3" i="38" s="1"/>
  <c r="H3" i="37"/>
  <c r="E2" i="10"/>
  <c r="D2" i="10"/>
  <c r="C2" i="10"/>
  <c r="B2" i="10"/>
  <c r="F142" i="11"/>
  <c r="L142" i="11" s="1"/>
  <c r="M157" i="11" s="1"/>
  <c r="E142" i="11"/>
  <c r="K142" i="11" s="1"/>
  <c r="L157" i="11" s="1"/>
  <c r="D142" i="11"/>
  <c r="J142" i="11" s="1"/>
  <c r="K157" i="11" s="1"/>
  <c r="C142" i="11"/>
  <c r="I142" i="11" s="1"/>
  <c r="J157" i="11" s="1"/>
  <c r="C20" i="10"/>
  <c r="D20" i="10"/>
  <c r="E20" i="10"/>
  <c r="C22" i="10"/>
  <c r="D22" i="10"/>
  <c r="E22" i="10"/>
  <c r="C26" i="10"/>
  <c r="D26" i="10"/>
  <c r="E26" i="10"/>
  <c r="C27" i="10"/>
  <c r="D27" i="10"/>
  <c r="E27" i="10"/>
  <c r="C28" i="10"/>
  <c r="D28" i="10"/>
  <c r="E28" i="10"/>
  <c r="C29" i="10"/>
  <c r="D29" i="10"/>
  <c r="E29" i="10"/>
  <c r="C30" i="10"/>
  <c r="D30" i="10"/>
  <c r="E30" i="10"/>
  <c r="B22" i="10"/>
  <c r="B20" i="10"/>
  <c r="C56" i="15"/>
  <c r="D56" i="15"/>
  <c r="E56" i="15"/>
  <c r="B56" i="15"/>
  <c r="F10" i="31"/>
  <c r="S25" i="25"/>
  <c r="Q25" i="25"/>
  <c r="O25" i="25"/>
  <c r="M25" i="25"/>
  <c r="R25" i="25"/>
  <c r="P25" i="25"/>
  <c r="N25" i="25"/>
  <c r="L25" i="25"/>
  <c r="B17" i="25"/>
  <c r="B51" i="25" s="1"/>
  <c r="A41" i="25"/>
  <c r="A12" i="25"/>
  <c r="A46" i="25" s="1"/>
  <c r="A13" i="25"/>
  <c r="A47" i="25" s="1"/>
  <c r="A14" i="25"/>
  <c r="A48" i="25" s="1"/>
  <c r="A15" i="25"/>
  <c r="A49" i="25" s="1"/>
  <c r="A16" i="25"/>
  <c r="A50" i="25" s="1"/>
  <c r="A17" i="25"/>
  <c r="A51" i="25" s="1"/>
  <c r="A18" i="25"/>
  <c r="A52" i="25" s="1"/>
  <c r="A19" i="25"/>
  <c r="A53" i="25" s="1"/>
  <c r="A20" i="25"/>
  <c r="A54" i="25" s="1"/>
  <c r="A21" i="25"/>
  <c r="A55" i="25" s="1"/>
  <c r="A22" i="25"/>
  <c r="A56" i="25" s="1"/>
  <c r="A23" i="25"/>
  <c r="A57" i="25" s="1"/>
  <c r="A24" i="25"/>
  <c r="A25" i="25"/>
  <c r="A64" i="25" s="1"/>
  <c r="A26" i="25"/>
  <c r="A65" i="25" s="1"/>
  <c r="A27" i="25"/>
  <c r="A66" i="25" s="1"/>
  <c r="A28" i="25"/>
  <c r="A67" i="25" s="1"/>
  <c r="A29" i="25"/>
  <c r="A68" i="25" s="1"/>
  <c r="A30" i="25"/>
  <c r="A69" i="25" s="1"/>
  <c r="A31" i="25"/>
  <c r="A70" i="25" s="1"/>
  <c r="A32" i="25"/>
  <c r="A71" i="25" s="1"/>
  <c r="A33" i="25"/>
  <c r="A72" i="25" s="1"/>
  <c r="A34" i="25"/>
  <c r="A73" i="25" s="1"/>
  <c r="A35" i="25"/>
  <c r="A74" i="25" s="1"/>
  <c r="A36" i="25"/>
  <c r="A75" i="25" s="1"/>
  <c r="A37" i="25"/>
  <c r="A76" i="25" s="1"/>
  <c r="A38" i="25"/>
  <c r="A77" i="25" s="1"/>
  <c r="A39" i="25"/>
  <c r="A78" i="25" s="1"/>
  <c r="A40" i="25"/>
  <c r="A79" i="25" s="1"/>
  <c r="A11" i="25"/>
  <c r="F85" i="11"/>
  <c r="E85" i="11"/>
  <c r="D85" i="11"/>
  <c r="C85" i="11"/>
  <c r="E95" i="31"/>
  <c r="D95" i="31"/>
  <c r="C95" i="31"/>
  <c r="B95" i="31"/>
  <c r="E94" i="31"/>
  <c r="D94" i="31"/>
  <c r="C94" i="31"/>
  <c r="B94" i="31"/>
  <c r="E93" i="31"/>
  <c r="D93" i="31"/>
  <c r="C93" i="31"/>
  <c r="B93" i="31"/>
  <c r="E92" i="31"/>
  <c r="D92" i="31"/>
  <c r="C92" i="31"/>
  <c r="B92" i="31"/>
  <c r="E91" i="31"/>
  <c r="D91" i="31"/>
  <c r="C91" i="31"/>
  <c r="B91" i="31"/>
  <c r="E89" i="31"/>
  <c r="D89" i="31"/>
  <c r="C89" i="31"/>
  <c r="B89" i="31"/>
  <c r="E88" i="31"/>
  <c r="D88" i="31"/>
  <c r="C88" i="31"/>
  <c r="B88" i="31"/>
  <c r="E87" i="31"/>
  <c r="D87" i="31"/>
  <c r="C87" i="31"/>
  <c r="B87" i="31"/>
  <c r="I83" i="31"/>
  <c r="H83" i="31"/>
  <c r="G83" i="31"/>
  <c r="F83" i="31"/>
  <c r="I82" i="31"/>
  <c r="H82" i="31"/>
  <c r="G82" i="31"/>
  <c r="F82" i="31"/>
  <c r="I81" i="31"/>
  <c r="H81" i="31"/>
  <c r="G81" i="31"/>
  <c r="F81" i="31"/>
  <c r="I80" i="31"/>
  <c r="H80" i="31"/>
  <c r="G80" i="31"/>
  <c r="F80" i="31"/>
  <c r="I79" i="31"/>
  <c r="H79" i="31"/>
  <c r="G79" i="31"/>
  <c r="F79" i="31"/>
  <c r="I78" i="31"/>
  <c r="H78" i="31"/>
  <c r="G78" i="31"/>
  <c r="F78" i="31"/>
  <c r="I77" i="31"/>
  <c r="H77" i="31"/>
  <c r="G77" i="31"/>
  <c r="F77" i="31"/>
  <c r="I76" i="31"/>
  <c r="H76" i="31"/>
  <c r="G76" i="31"/>
  <c r="F76" i="31"/>
  <c r="I75" i="31"/>
  <c r="H75" i="31"/>
  <c r="G75" i="31"/>
  <c r="F75" i="31"/>
  <c r="I74" i="31"/>
  <c r="H74" i="31"/>
  <c r="P74" i="31" s="1"/>
  <c r="G74" i="31"/>
  <c r="F74" i="31"/>
  <c r="I73" i="31"/>
  <c r="H73" i="31"/>
  <c r="G73" i="31"/>
  <c r="F73" i="31"/>
  <c r="I72" i="31"/>
  <c r="H72" i="31"/>
  <c r="G72" i="31"/>
  <c r="F72" i="31"/>
  <c r="I71" i="31"/>
  <c r="H71" i="31"/>
  <c r="G71" i="31"/>
  <c r="F71" i="31"/>
  <c r="I70" i="31"/>
  <c r="H70" i="31"/>
  <c r="G70" i="31"/>
  <c r="F70" i="31"/>
  <c r="Q68" i="31"/>
  <c r="I68" i="31"/>
  <c r="H68" i="31"/>
  <c r="G68" i="31"/>
  <c r="C17" i="10" s="1"/>
  <c r="C4" i="20" s="1"/>
  <c r="C2745" i="33" s="1"/>
  <c r="B2745" i="33" s="1"/>
  <c r="F68" i="31"/>
  <c r="M67" i="31"/>
  <c r="L67" i="31"/>
  <c r="I67" i="31"/>
  <c r="R33" i="25" s="1"/>
  <c r="R5" i="25" s="1"/>
  <c r="H67" i="31"/>
  <c r="V67" i="31" s="1"/>
  <c r="G67" i="31"/>
  <c r="F67" i="31"/>
  <c r="I66" i="31"/>
  <c r="H66" i="31"/>
  <c r="G66" i="31"/>
  <c r="F66" i="31"/>
  <c r="I65" i="31"/>
  <c r="Q65" i="31" s="1"/>
  <c r="H65" i="31"/>
  <c r="G65" i="31"/>
  <c r="F65" i="31"/>
  <c r="I64" i="31"/>
  <c r="H64" i="31"/>
  <c r="P30" i="25" s="1"/>
  <c r="P68" i="25" s="1"/>
  <c r="G64" i="31"/>
  <c r="F64" i="31"/>
  <c r="I63" i="31"/>
  <c r="R29" i="25" s="1"/>
  <c r="R67" i="25" s="1"/>
  <c r="H63" i="31"/>
  <c r="P29" i="25" s="1"/>
  <c r="P67" i="25" s="1"/>
  <c r="G63" i="31"/>
  <c r="F63" i="31"/>
  <c r="I62" i="31"/>
  <c r="V62" i="31" s="1"/>
  <c r="H62" i="31"/>
  <c r="G62" i="31"/>
  <c r="F62" i="31"/>
  <c r="I61" i="31"/>
  <c r="H61" i="31"/>
  <c r="G61" i="31"/>
  <c r="F61" i="31"/>
  <c r="I60" i="31"/>
  <c r="H60" i="31"/>
  <c r="P28" i="25" s="1"/>
  <c r="P66" i="25" s="1"/>
  <c r="G60" i="31"/>
  <c r="F60" i="31"/>
  <c r="L28" i="25" s="1"/>
  <c r="L66" i="25" s="1"/>
  <c r="I59" i="31"/>
  <c r="H59" i="31"/>
  <c r="G59" i="31"/>
  <c r="F59" i="31"/>
  <c r="I58" i="31"/>
  <c r="H58" i="31"/>
  <c r="G58" i="31"/>
  <c r="F58" i="31"/>
  <c r="I57" i="31"/>
  <c r="H57" i="31"/>
  <c r="G57" i="31"/>
  <c r="F57" i="31"/>
  <c r="L27" i="25" s="1"/>
  <c r="L65" i="25" s="1"/>
  <c r="I56" i="31"/>
  <c r="H56" i="31"/>
  <c r="G56" i="31"/>
  <c r="F56" i="31"/>
  <c r="I54" i="31"/>
  <c r="H54" i="31"/>
  <c r="G54" i="31"/>
  <c r="F54" i="31"/>
  <c r="L24" i="25" s="1"/>
  <c r="L4" i="25" s="1"/>
  <c r="I53" i="31"/>
  <c r="H53" i="31"/>
  <c r="G53" i="31"/>
  <c r="N23" i="25" s="1"/>
  <c r="N57" i="25" s="1"/>
  <c r="F53" i="31"/>
  <c r="I52" i="31"/>
  <c r="H52" i="31"/>
  <c r="D14" i="10" s="1"/>
  <c r="G52" i="31"/>
  <c r="C14" i="10" s="1"/>
  <c r="F52" i="31"/>
  <c r="I51" i="31"/>
  <c r="H51" i="31"/>
  <c r="G51" i="31"/>
  <c r="F51" i="31"/>
  <c r="I50" i="31"/>
  <c r="H50" i="31"/>
  <c r="G50" i="31"/>
  <c r="F50" i="31"/>
  <c r="I49" i="31"/>
  <c r="H49" i="31"/>
  <c r="G49" i="31"/>
  <c r="F49" i="31"/>
  <c r="I48" i="31"/>
  <c r="H48" i="31"/>
  <c r="G48" i="31"/>
  <c r="F48" i="31"/>
  <c r="I47" i="31"/>
  <c r="H47" i="31"/>
  <c r="G47" i="31"/>
  <c r="F47" i="31"/>
  <c r="I46" i="31"/>
  <c r="H46" i="31"/>
  <c r="G46" i="31"/>
  <c r="N19" i="25" s="1"/>
  <c r="N53" i="25" s="1"/>
  <c r="F46" i="31"/>
  <c r="I45" i="31"/>
  <c r="H45" i="31"/>
  <c r="P18" i="25" s="1"/>
  <c r="P52" i="25" s="1"/>
  <c r="G45" i="31"/>
  <c r="F45" i="31"/>
  <c r="I44" i="31"/>
  <c r="H44" i="31"/>
  <c r="G44" i="31"/>
  <c r="F44" i="31"/>
  <c r="I43" i="31"/>
  <c r="H43" i="31"/>
  <c r="G43" i="31"/>
  <c r="F43" i="31"/>
  <c r="I42" i="31"/>
  <c r="H42" i="31"/>
  <c r="G42" i="31"/>
  <c r="F42" i="31"/>
  <c r="N42" i="31" s="1"/>
  <c r="C1546" i="33" s="1"/>
  <c r="B1546" i="33" s="1"/>
  <c r="I41" i="31"/>
  <c r="H41" i="31"/>
  <c r="P14" i="25" s="1"/>
  <c r="P48" i="25" s="1"/>
  <c r="G41" i="31"/>
  <c r="F41" i="31"/>
  <c r="I40" i="31"/>
  <c r="R13" i="25" s="1"/>
  <c r="R47" i="25" s="1"/>
  <c r="H40" i="31"/>
  <c r="G40" i="31"/>
  <c r="F40" i="31"/>
  <c r="I39" i="31"/>
  <c r="H39" i="31"/>
  <c r="G39" i="31"/>
  <c r="N12" i="25" s="1"/>
  <c r="N46" i="25" s="1"/>
  <c r="F39" i="31"/>
  <c r="B10" i="10" s="1"/>
  <c r="I37" i="31"/>
  <c r="H37" i="31"/>
  <c r="G37" i="31"/>
  <c r="F37" i="31"/>
  <c r="I36" i="31"/>
  <c r="H36" i="31"/>
  <c r="G36" i="31"/>
  <c r="F36" i="31"/>
  <c r="I35" i="31"/>
  <c r="H35" i="31"/>
  <c r="G35" i="31"/>
  <c r="F35" i="31"/>
  <c r="I34" i="31"/>
  <c r="H34" i="31"/>
  <c r="G34" i="31"/>
  <c r="F34" i="31"/>
  <c r="I33" i="31"/>
  <c r="H33" i="31"/>
  <c r="G33" i="31"/>
  <c r="F33" i="31"/>
  <c r="I32" i="31"/>
  <c r="H32" i="31"/>
  <c r="G32" i="31"/>
  <c r="F32" i="31"/>
  <c r="I31" i="31"/>
  <c r="H31" i="31"/>
  <c r="G31" i="31"/>
  <c r="F31" i="31"/>
  <c r="I30" i="31"/>
  <c r="H30" i="31"/>
  <c r="G30" i="31"/>
  <c r="F30" i="31"/>
  <c r="I29" i="31"/>
  <c r="H29" i="31"/>
  <c r="G29" i="31"/>
  <c r="F29" i="31"/>
  <c r="I28" i="31"/>
  <c r="H28" i="31"/>
  <c r="G28" i="31"/>
  <c r="F28" i="31"/>
  <c r="I27" i="31"/>
  <c r="H27" i="31"/>
  <c r="G27" i="31"/>
  <c r="F27" i="31"/>
  <c r="I26" i="31"/>
  <c r="H26" i="31"/>
  <c r="G26" i="31"/>
  <c r="F26" i="31"/>
  <c r="I25" i="31"/>
  <c r="H25" i="31"/>
  <c r="G25" i="31"/>
  <c r="F25" i="31"/>
  <c r="I24" i="31"/>
  <c r="H24" i="31"/>
  <c r="G24" i="31"/>
  <c r="F24" i="31"/>
  <c r="I23" i="31"/>
  <c r="H23" i="31"/>
  <c r="G23" i="31"/>
  <c r="F23" i="31"/>
  <c r="I22" i="31"/>
  <c r="H22" i="31"/>
  <c r="G22" i="31"/>
  <c r="F22" i="31"/>
  <c r="I21" i="31"/>
  <c r="H21" i="31"/>
  <c r="G21" i="31"/>
  <c r="F21" i="31"/>
  <c r="I19" i="31"/>
  <c r="H19" i="31"/>
  <c r="G19" i="31"/>
  <c r="F19" i="31"/>
  <c r="I18" i="31"/>
  <c r="H18" i="31"/>
  <c r="G18" i="31"/>
  <c r="F18" i="31"/>
  <c r="I17" i="31"/>
  <c r="H17" i="31"/>
  <c r="G17" i="31"/>
  <c r="F17" i="31"/>
  <c r="I16" i="31"/>
  <c r="H16" i="31"/>
  <c r="G16" i="31"/>
  <c r="F16" i="31"/>
  <c r="B20" i="25" s="1"/>
  <c r="B54" i="25" s="1"/>
  <c r="I15" i="31"/>
  <c r="H15" i="31"/>
  <c r="G15" i="31"/>
  <c r="F15" i="31"/>
  <c r="I14" i="31"/>
  <c r="H14" i="31"/>
  <c r="G14" i="31"/>
  <c r="F14" i="31"/>
  <c r="I13" i="31"/>
  <c r="H13" i="31"/>
  <c r="G13" i="31"/>
  <c r="F13" i="31"/>
  <c r="I12" i="31"/>
  <c r="H12" i="31"/>
  <c r="G12" i="31"/>
  <c r="F12" i="31"/>
  <c r="I11" i="31"/>
  <c r="H11" i="31"/>
  <c r="G11" i="31"/>
  <c r="O11" i="31" s="1"/>
  <c r="F11" i="31"/>
  <c r="I10" i="31"/>
  <c r="H10" i="31"/>
  <c r="G10" i="31"/>
  <c r="I9" i="31"/>
  <c r="H9" i="31"/>
  <c r="G9" i="31"/>
  <c r="F9" i="31"/>
  <c r="I8" i="31"/>
  <c r="H8" i="31"/>
  <c r="G8" i="31"/>
  <c r="F8" i="31"/>
  <c r="I7" i="31"/>
  <c r="H7" i="31"/>
  <c r="G7" i="31"/>
  <c r="F7" i="31"/>
  <c r="I6" i="31"/>
  <c r="H6" i="31"/>
  <c r="G6" i="31"/>
  <c r="F6" i="31"/>
  <c r="I5" i="31"/>
  <c r="H5" i="31"/>
  <c r="F5" i="31"/>
  <c r="E3" i="31"/>
  <c r="I3" i="31" s="1"/>
  <c r="D3" i="31"/>
  <c r="H3" i="31" s="1"/>
  <c r="C3" i="31"/>
  <c r="G3" i="31" s="1"/>
  <c r="B3" i="31"/>
  <c r="F3" i="31" s="1"/>
  <c r="O62" i="25"/>
  <c r="Q62" i="25"/>
  <c r="S62" i="25"/>
  <c r="K12" i="25"/>
  <c r="K46" i="25" s="1"/>
  <c r="K13" i="25"/>
  <c r="K47" i="25" s="1"/>
  <c r="K14" i="25"/>
  <c r="K48" i="25" s="1"/>
  <c r="K15" i="25"/>
  <c r="K49" i="25" s="1"/>
  <c r="K16" i="25"/>
  <c r="K50" i="25" s="1"/>
  <c r="K17" i="25"/>
  <c r="K51" i="25" s="1"/>
  <c r="K18" i="25"/>
  <c r="K52" i="25" s="1"/>
  <c r="K19" i="25"/>
  <c r="K53" i="25" s="1"/>
  <c r="K20" i="25"/>
  <c r="K54" i="25" s="1"/>
  <c r="K21" i="25"/>
  <c r="K55" i="25" s="1"/>
  <c r="K22" i="25"/>
  <c r="K56" i="25" s="1"/>
  <c r="K23" i="25"/>
  <c r="K57" i="25" s="1"/>
  <c r="K24" i="25"/>
  <c r="K58" i="25" s="1"/>
  <c r="K25" i="25"/>
  <c r="K26" i="25"/>
  <c r="K64" i="25" s="1"/>
  <c r="K27" i="25"/>
  <c r="K65" i="25" s="1"/>
  <c r="K28" i="25"/>
  <c r="K66" i="25" s="1"/>
  <c r="K29" i="25"/>
  <c r="K67" i="25" s="1"/>
  <c r="K30" i="25"/>
  <c r="K68" i="25" s="1"/>
  <c r="K31" i="25"/>
  <c r="K69" i="25" s="1"/>
  <c r="K32" i="25"/>
  <c r="K70" i="25" s="1"/>
  <c r="K33" i="25"/>
  <c r="K71" i="25" s="1"/>
  <c r="K34" i="25"/>
  <c r="K11" i="25"/>
  <c r="M9" i="25"/>
  <c r="K6" i="25"/>
  <c r="K5" i="25"/>
  <c r="K4" i="25"/>
  <c r="O2" i="25"/>
  <c r="O9" i="25" s="1"/>
  <c r="Q2" i="25"/>
  <c r="Q9" i="25" s="1"/>
  <c r="S2" i="25"/>
  <c r="K2" i="25"/>
  <c r="K9" i="25" s="1"/>
  <c r="C62" i="25"/>
  <c r="E44" i="25"/>
  <c r="E62" i="25" s="1"/>
  <c r="G44" i="25"/>
  <c r="G62" i="25" s="1"/>
  <c r="I44" i="25"/>
  <c r="A44" i="25"/>
  <c r="A62" i="25" s="1"/>
  <c r="A9" i="25"/>
  <c r="A6" i="25"/>
  <c r="A5" i="25"/>
  <c r="A4" i="25"/>
  <c r="H2" i="25"/>
  <c r="H9" i="25" s="1"/>
  <c r="H44" i="25" s="1"/>
  <c r="H62" i="25" s="1"/>
  <c r="F2" i="25"/>
  <c r="F9" i="25" s="1"/>
  <c r="F44" i="25" s="1"/>
  <c r="F62" i="25" s="1"/>
  <c r="D2" i="25"/>
  <c r="D9" i="25" s="1"/>
  <c r="D44" i="25" s="1"/>
  <c r="D62" i="25" s="1"/>
  <c r="B2" i="25"/>
  <c r="B9" i="25" s="1"/>
  <c r="B44" i="25" s="1"/>
  <c r="B62" i="25" s="1"/>
  <c r="L60" i="31" l="1"/>
  <c r="C1735" i="33" s="1"/>
  <c r="B1735" i="33" s="1"/>
  <c r="E18" i="25"/>
  <c r="C1329" i="33"/>
  <c r="B1329" i="33" s="1"/>
  <c r="W67" i="31"/>
  <c r="C2440" i="33" s="1"/>
  <c r="B2440" i="33" s="1"/>
  <c r="C2318" i="33"/>
  <c r="B2318" i="33" s="1"/>
  <c r="AE66" i="11"/>
  <c r="C2501" i="33" s="1"/>
  <c r="B2501" i="33" s="1"/>
  <c r="AB66" i="11"/>
  <c r="C2379" i="33" s="1"/>
  <c r="B2379" i="33" s="1"/>
  <c r="C2313" i="33"/>
  <c r="B2313" i="33" s="1"/>
  <c r="AE61" i="11"/>
  <c r="C2496" i="33" s="1"/>
  <c r="B2496" i="33" s="1"/>
  <c r="AB61" i="11"/>
  <c r="C2374" i="33" s="1"/>
  <c r="B2374" i="33" s="1"/>
  <c r="D81" i="33"/>
  <c r="C81" i="33"/>
  <c r="B81" i="33" s="1"/>
  <c r="D170" i="33"/>
  <c r="C170" i="33"/>
  <c r="B170" i="33" s="1"/>
  <c r="D100" i="33"/>
  <c r="C100" i="33"/>
  <c r="B100" i="33" s="1"/>
  <c r="K5" i="31"/>
  <c r="C1450" i="33" s="1"/>
  <c r="B1450" i="33" s="1"/>
  <c r="D104" i="33"/>
  <c r="C104" i="33"/>
  <c r="B104" i="33" s="1"/>
  <c r="I3" i="41"/>
  <c r="J3" i="41" s="1"/>
  <c r="D108" i="33"/>
  <c r="C108" i="33"/>
  <c r="B108" i="33" s="1"/>
  <c r="D112" i="33"/>
  <c r="C112" i="33"/>
  <c r="B112" i="33" s="1"/>
  <c r="D114" i="33"/>
  <c r="C114" i="33"/>
  <c r="B114" i="33" s="1"/>
  <c r="D36" i="25"/>
  <c r="D116" i="33"/>
  <c r="C116" i="33"/>
  <c r="B116" i="33" s="1"/>
  <c r="D38" i="25"/>
  <c r="D118" i="33"/>
  <c r="C118" i="33"/>
  <c r="B118" i="33" s="1"/>
  <c r="D120" i="33"/>
  <c r="C120" i="33"/>
  <c r="B120" i="33" s="1"/>
  <c r="I4" i="41"/>
  <c r="J4" i="41" s="1"/>
  <c r="D124" i="33"/>
  <c r="C124" i="33"/>
  <c r="B124" i="33" s="1"/>
  <c r="D52" i="33"/>
  <c r="C52" i="33"/>
  <c r="B52" i="33" s="1"/>
  <c r="L18" i="25"/>
  <c r="L52" i="25" s="1"/>
  <c r="D54" i="33"/>
  <c r="C54" i="33"/>
  <c r="B54" i="33" s="1"/>
  <c r="D56" i="33"/>
  <c r="C56" i="33"/>
  <c r="B56" i="33" s="1"/>
  <c r="D279" i="33"/>
  <c r="C279" i="33"/>
  <c r="B279" i="33" s="1"/>
  <c r="I90" i="31"/>
  <c r="D281" i="33"/>
  <c r="C281" i="33"/>
  <c r="B281" i="33" s="1"/>
  <c r="D283" i="33"/>
  <c r="C283" i="33"/>
  <c r="B283" i="33" s="1"/>
  <c r="D285" i="33"/>
  <c r="C285" i="33"/>
  <c r="B285" i="33" s="1"/>
  <c r="D287" i="33"/>
  <c r="C287" i="33"/>
  <c r="B287" i="33" s="1"/>
  <c r="D215" i="33"/>
  <c r="C215" i="33"/>
  <c r="B215" i="33" s="1"/>
  <c r="D69" i="33"/>
  <c r="C69" i="33"/>
  <c r="B69" i="33" s="1"/>
  <c r="D294" i="33"/>
  <c r="C294" i="33"/>
  <c r="B294" i="33" s="1"/>
  <c r="D148" i="33"/>
  <c r="C148" i="33"/>
  <c r="B148" i="33" s="1"/>
  <c r="S71" i="25"/>
  <c r="C1770" i="33"/>
  <c r="B1770" i="33" s="1"/>
  <c r="D151" i="33"/>
  <c r="C151" i="33"/>
  <c r="B151" i="33" s="1"/>
  <c r="D153" i="33"/>
  <c r="C153" i="33"/>
  <c r="B153" i="33" s="1"/>
  <c r="D155" i="33"/>
  <c r="C155" i="33"/>
  <c r="B155" i="33" s="1"/>
  <c r="D83" i="33"/>
  <c r="C83" i="33"/>
  <c r="B83" i="33" s="1"/>
  <c r="D85" i="33"/>
  <c r="C85" i="33"/>
  <c r="B85" i="33" s="1"/>
  <c r="D308" i="33"/>
  <c r="C308" i="33"/>
  <c r="B308" i="33" s="1"/>
  <c r="D310" i="33"/>
  <c r="C310" i="33"/>
  <c r="B310" i="33" s="1"/>
  <c r="P33" i="25"/>
  <c r="P5" i="25" s="1"/>
  <c r="E16" i="10"/>
  <c r="B14" i="25"/>
  <c r="B48" i="25" s="1"/>
  <c r="D18" i="33"/>
  <c r="C18" i="33"/>
  <c r="B18" i="33" s="1"/>
  <c r="D26" i="33"/>
  <c r="C26" i="33"/>
  <c r="B26" i="33" s="1"/>
  <c r="B28" i="25"/>
  <c r="D34" i="33"/>
  <c r="C34" i="33"/>
  <c r="B34" i="33" s="1"/>
  <c r="B36" i="25"/>
  <c r="D42" i="33"/>
  <c r="C42" i="33"/>
  <c r="B42" i="33" s="1"/>
  <c r="D50" i="33"/>
  <c r="C50" i="33"/>
  <c r="B50" i="33" s="1"/>
  <c r="D207" i="33"/>
  <c r="C207" i="33"/>
  <c r="B207" i="33" s="1"/>
  <c r="D213" i="33"/>
  <c r="C213" i="33"/>
  <c r="B213" i="33" s="1"/>
  <c r="D74" i="33"/>
  <c r="C74" i="33"/>
  <c r="B74" i="33" s="1"/>
  <c r="D79" i="33"/>
  <c r="C79" i="33"/>
  <c r="B79" i="33" s="1"/>
  <c r="D234" i="33"/>
  <c r="C234" i="33"/>
  <c r="B234" i="33" s="1"/>
  <c r="D16" i="25"/>
  <c r="D50" i="25" s="1"/>
  <c r="D94" i="33"/>
  <c r="C94" i="33"/>
  <c r="B94" i="33" s="1"/>
  <c r="D102" i="33"/>
  <c r="C102" i="33"/>
  <c r="B102" i="33" s="1"/>
  <c r="D30" i="25"/>
  <c r="D110" i="33"/>
  <c r="C110" i="33"/>
  <c r="B110" i="33" s="1"/>
  <c r="C10" i="10"/>
  <c r="D122" i="33"/>
  <c r="K39" i="31"/>
  <c r="C1687" i="33" s="1"/>
  <c r="B1687" i="33" s="1"/>
  <c r="O39" i="31"/>
  <c r="C1572" i="33" s="1"/>
  <c r="B1572" i="33" s="1"/>
  <c r="C122" i="33"/>
  <c r="B122" i="33" s="1"/>
  <c r="L5" i="31"/>
  <c r="C1481" i="33" s="1"/>
  <c r="B1481" i="33" s="1"/>
  <c r="P5" i="31"/>
  <c r="C1355" i="33" s="1"/>
  <c r="B1355" i="33" s="1"/>
  <c r="V5" i="31"/>
  <c r="D164" i="33"/>
  <c r="T5" i="31"/>
  <c r="C164" i="33"/>
  <c r="B164" i="33" s="1"/>
  <c r="D166" i="33"/>
  <c r="C166" i="33"/>
  <c r="B166" i="33" s="1"/>
  <c r="D168" i="33"/>
  <c r="C168" i="33"/>
  <c r="B168" i="33" s="1"/>
  <c r="D244" i="33"/>
  <c r="C244" i="33"/>
  <c r="B244" i="33" s="1"/>
  <c r="D172" i="33"/>
  <c r="C172" i="33"/>
  <c r="B172" i="33" s="1"/>
  <c r="D174" i="33"/>
  <c r="C174" i="33"/>
  <c r="B174" i="33" s="1"/>
  <c r="F21" i="25"/>
  <c r="F55" i="25" s="1"/>
  <c r="D176" i="33"/>
  <c r="C176" i="33"/>
  <c r="B176" i="33" s="1"/>
  <c r="D178" i="33"/>
  <c r="C178" i="33"/>
  <c r="B178" i="33" s="1"/>
  <c r="F26" i="25"/>
  <c r="D180" i="33"/>
  <c r="C180" i="33"/>
  <c r="B180" i="33" s="1"/>
  <c r="F28" i="25"/>
  <c r="D182" i="33"/>
  <c r="C182" i="33"/>
  <c r="B182" i="33" s="1"/>
  <c r="F30" i="25"/>
  <c r="D184" i="33"/>
  <c r="C184" i="33"/>
  <c r="B184" i="33" s="1"/>
  <c r="D186" i="33"/>
  <c r="C186" i="33"/>
  <c r="B186" i="33" s="1"/>
  <c r="F34" i="25"/>
  <c r="D188" i="33"/>
  <c r="C188" i="33"/>
  <c r="B188" i="33" s="1"/>
  <c r="F36" i="25"/>
  <c r="D190" i="33"/>
  <c r="C190" i="33"/>
  <c r="B190" i="33" s="1"/>
  <c r="D192" i="33"/>
  <c r="C192" i="33"/>
  <c r="B192" i="33" s="1"/>
  <c r="D194" i="33"/>
  <c r="C194" i="33"/>
  <c r="B194" i="33" s="1"/>
  <c r="L39" i="31"/>
  <c r="C1715" i="33" s="1"/>
  <c r="B1715" i="33" s="1"/>
  <c r="D196" i="33"/>
  <c r="P39" i="31"/>
  <c r="C1601" i="33" s="1"/>
  <c r="B1601" i="33" s="1"/>
  <c r="C196" i="33"/>
  <c r="B196" i="33" s="1"/>
  <c r="D198" i="33"/>
  <c r="C198" i="33"/>
  <c r="B198" i="33" s="1"/>
  <c r="D126" i="33"/>
  <c r="C126" i="33"/>
  <c r="B126" i="33" s="1"/>
  <c r="D128" i="33"/>
  <c r="C128" i="33"/>
  <c r="B128" i="33" s="1"/>
  <c r="N20" i="25"/>
  <c r="N54" i="25" s="1"/>
  <c r="D130" i="33"/>
  <c r="C130" i="33"/>
  <c r="B130" i="33" s="1"/>
  <c r="D58" i="33"/>
  <c r="C58" i="33"/>
  <c r="B58" i="33" s="1"/>
  <c r="L21" i="25"/>
  <c r="L55" i="25" s="1"/>
  <c r="D60" i="33"/>
  <c r="C60" i="33"/>
  <c r="B60" i="33" s="1"/>
  <c r="L23" i="25"/>
  <c r="L57" i="25" s="1"/>
  <c r="D62" i="33"/>
  <c r="C62" i="33"/>
  <c r="B62" i="33" s="1"/>
  <c r="J56" i="31"/>
  <c r="C1675" i="33" s="1"/>
  <c r="B1675" i="33" s="1"/>
  <c r="D64" i="33"/>
  <c r="C64" i="33"/>
  <c r="B64" i="33" s="1"/>
  <c r="D66" i="33"/>
  <c r="C66" i="33"/>
  <c r="B66" i="33" s="1"/>
  <c r="D289" i="33"/>
  <c r="C289" i="33"/>
  <c r="B289" i="33" s="1"/>
  <c r="D143" i="33"/>
  <c r="C143" i="33"/>
  <c r="B143" i="33" s="1"/>
  <c r="D71" i="33"/>
  <c r="C71" i="33"/>
  <c r="B71" i="33" s="1"/>
  <c r="L64" i="31"/>
  <c r="D222" i="33"/>
  <c r="C222" i="33"/>
  <c r="B222" i="33" s="1"/>
  <c r="D225" i="33"/>
  <c r="C225" i="33"/>
  <c r="B225" i="33" s="1"/>
  <c r="D227" i="33"/>
  <c r="C227" i="33"/>
  <c r="B227" i="33" s="1"/>
  <c r="D229" i="33"/>
  <c r="C229" i="33"/>
  <c r="B229" i="33" s="1"/>
  <c r="D157" i="33"/>
  <c r="C157" i="33"/>
  <c r="B157" i="33" s="1"/>
  <c r="D159" i="33"/>
  <c r="C159" i="33"/>
  <c r="B159" i="33" s="1"/>
  <c r="D87" i="33"/>
  <c r="C87" i="33"/>
  <c r="B87" i="33" s="1"/>
  <c r="D89" i="33"/>
  <c r="C89" i="33"/>
  <c r="B89" i="33" s="1"/>
  <c r="B9" i="41"/>
  <c r="N22" i="25"/>
  <c r="N56" i="25" s="1"/>
  <c r="M15" i="25"/>
  <c r="D92" i="33"/>
  <c r="C92" i="33"/>
  <c r="B92" i="33" s="1"/>
  <c r="D98" i="33"/>
  <c r="C98" i="33"/>
  <c r="B98" i="33" s="1"/>
  <c r="D106" i="33"/>
  <c r="C106" i="33"/>
  <c r="B106" i="33" s="1"/>
  <c r="H12" i="25"/>
  <c r="M5" i="31"/>
  <c r="C1512" i="33" s="1"/>
  <c r="B1512" i="33" s="1"/>
  <c r="Q5" i="31"/>
  <c r="C1387" i="33" s="1"/>
  <c r="B1387" i="33" s="1"/>
  <c r="D238" i="33"/>
  <c r="C238" i="33"/>
  <c r="B238" i="33" s="1"/>
  <c r="D240" i="33"/>
  <c r="C240" i="33"/>
  <c r="B240" i="33" s="1"/>
  <c r="D242" i="33"/>
  <c r="C242" i="33"/>
  <c r="B242" i="33" s="1"/>
  <c r="D246" i="33"/>
  <c r="C246" i="33"/>
  <c r="B246" i="33" s="1"/>
  <c r="D248" i="33"/>
  <c r="C248" i="33"/>
  <c r="B248" i="33" s="1"/>
  <c r="D250" i="33"/>
  <c r="C250" i="33"/>
  <c r="B250" i="33" s="1"/>
  <c r="H23" i="25"/>
  <c r="H57" i="25" s="1"/>
  <c r="D252" i="33"/>
  <c r="C252" i="33"/>
  <c r="B252" i="33" s="1"/>
  <c r="D254" i="33"/>
  <c r="C254" i="33"/>
  <c r="B254" i="33" s="1"/>
  <c r="D256" i="33"/>
  <c r="C256" i="33"/>
  <c r="B256" i="33" s="1"/>
  <c r="D258" i="33"/>
  <c r="C258" i="33"/>
  <c r="B258" i="33" s="1"/>
  <c r="H32" i="25"/>
  <c r="D260" i="33"/>
  <c r="C260" i="33"/>
  <c r="B260" i="33" s="1"/>
  <c r="D262" i="33"/>
  <c r="C262" i="33"/>
  <c r="B262" i="33" s="1"/>
  <c r="D264" i="33"/>
  <c r="C264" i="33"/>
  <c r="B264" i="33" s="1"/>
  <c r="D266" i="33"/>
  <c r="C266" i="33"/>
  <c r="B266" i="33" s="1"/>
  <c r="D268" i="33"/>
  <c r="C268" i="33"/>
  <c r="B268" i="33" s="1"/>
  <c r="M39" i="31"/>
  <c r="C1743" i="33" s="1"/>
  <c r="B1743" i="33" s="1"/>
  <c r="D270" i="33"/>
  <c r="Q39" i="31"/>
  <c r="C1630" i="33" s="1"/>
  <c r="B1630" i="33" s="1"/>
  <c r="C270" i="33"/>
  <c r="B270" i="33" s="1"/>
  <c r="D272" i="33"/>
  <c r="C272" i="33"/>
  <c r="B272" i="33" s="1"/>
  <c r="P16" i="25"/>
  <c r="P50" i="25" s="1"/>
  <c r="D200" i="33"/>
  <c r="C200" i="33"/>
  <c r="B200" i="33" s="1"/>
  <c r="D202" i="33"/>
  <c r="C202" i="33"/>
  <c r="B202" i="33" s="1"/>
  <c r="D204" i="33"/>
  <c r="C204" i="33"/>
  <c r="B204" i="33" s="1"/>
  <c r="D132" i="33"/>
  <c r="C132" i="33"/>
  <c r="B132" i="33" s="1"/>
  <c r="D134" i="33"/>
  <c r="C134" i="33"/>
  <c r="B134" i="33" s="1"/>
  <c r="D136" i="33"/>
  <c r="C136" i="33"/>
  <c r="B136" i="33" s="1"/>
  <c r="K56" i="31"/>
  <c r="C1703" i="33" s="1"/>
  <c r="B1703" i="33" s="1"/>
  <c r="D138" i="33"/>
  <c r="C138" i="33"/>
  <c r="B138" i="33" s="1"/>
  <c r="D140" i="33"/>
  <c r="C140" i="33"/>
  <c r="B140" i="33" s="1"/>
  <c r="D68" i="33"/>
  <c r="C68" i="33"/>
  <c r="B68" i="33" s="1"/>
  <c r="D217" i="33"/>
  <c r="C217" i="33"/>
  <c r="B217" i="33" s="1"/>
  <c r="D145" i="33"/>
  <c r="C145" i="33"/>
  <c r="B145" i="33" s="1"/>
  <c r="D73" i="33"/>
  <c r="C73" i="33"/>
  <c r="B73" i="33" s="1"/>
  <c r="D296" i="33"/>
  <c r="C296" i="33"/>
  <c r="B296" i="33" s="1"/>
  <c r="D76" i="33"/>
  <c r="C76" i="33"/>
  <c r="B76" i="33" s="1"/>
  <c r="B8" i="41"/>
  <c r="D299" i="33"/>
  <c r="C299" i="33"/>
  <c r="B299" i="33" s="1"/>
  <c r="D301" i="33"/>
  <c r="C301" i="33"/>
  <c r="B301" i="33" s="1"/>
  <c r="D303" i="33"/>
  <c r="C303" i="33"/>
  <c r="B303" i="33" s="1"/>
  <c r="D231" i="33"/>
  <c r="C231" i="33"/>
  <c r="B231" i="33" s="1"/>
  <c r="D233" i="33"/>
  <c r="C233" i="33"/>
  <c r="B233" i="33" s="1"/>
  <c r="D161" i="33"/>
  <c r="C161" i="33"/>
  <c r="B161" i="33" s="1"/>
  <c r="D163" i="33"/>
  <c r="C163" i="33"/>
  <c r="B163" i="33" s="1"/>
  <c r="I9" i="41"/>
  <c r="Q71" i="25"/>
  <c r="C1742" i="33"/>
  <c r="B1742" i="33" s="1"/>
  <c r="D23" i="33"/>
  <c r="C23" i="33"/>
  <c r="B23" i="33" s="1"/>
  <c r="B25" i="25"/>
  <c r="B64" i="25" s="1"/>
  <c r="D31" i="33"/>
  <c r="J21" i="31"/>
  <c r="C1434" i="33" s="1"/>
  <c r="B1434" i="33" s="1"/>
  <c r="C31" i="33"/>
  <c r="B31" i="33" s="1"/>
  <c r="D37" i="33"/>
  <c r="C37" i="33"/>
  <c r="B37" i="33" s="1"/>
  <c r="D41" i="33"/>
  <c r="C41" i="33"/>
  <c r="B41" i="33" s="1"/>
  <c r="B37" i="25"/>
  <c r="D43" i="33"/>
  <c r="C43" i="33"/>
  <c r="B43" i="33" s="1"/>
  <c r="D45" i="33"/>
  <c r="C45" i="33"/>
  <c r="B45" i="33" s="1"/>
  <c r="D47" i="33"/>
  <c r="C47" i="33"/>
  <c r="B47" i="33" s="1"/>
  <c r="B5" i="41"/>
  <c r="C5" i="41" s="1"/>
  <c r="L13" i="25"/>
  <c r="D49" i="33"/>
  <c r="C49" i="33"/>
  <c r="B49" i="33" s="1"/>
  <c r="D51" i="33"/>
  <c r="C51" i="33"/>
  <c r="B51" i="33" s="1"/>
  <c r="D274" i="33"/>
  <c r="C274" i="33"/>
  <c r="B274" i="33" s="1"/>
  <c r="D276" i="33"/>
  <c r="C276" i="33"/>
  <c r="B276" i="33" s="1"/>
  <c r="D278" i="33"/>
  <c r="C278" i="33"/>
  <c r="B278" i="33" s="1"/>
  <c r="D206" i="33"/>
  <c r="C206" i="33"/>
  <c r="B206" i="33" s="1"/>
  <c r="D208" i="33"/>
  <c r="C208" i="33"/>
  <c r="B208" i="33" s="1"/>
  <c r="D210" i="33"/>
  <c r="C210" i="33"/>
  <c r="B210" i="33" s="1"/>
  <c r="D212" i="33"/>
  <c r="L56" i="31"/>
  <c r="C1731" i="33" s="1"/>
  <c r="B1731" i="33" s="1"/>
  <c r="C212" i="33"/>
  <c r="B212" i="33" s="1"/>
  <c r="D214" i="33"/>
  <c r="C214" i="33"/>
  <c r="B214" i="33" s="1"/>
  <c r="D142" i="33"/>
  <c r="C142" i="33"/>
  <c r="B142" i="33" s="1"/>
  <c r="D291" i="33"/>
  <c r="C291" i="33"/>
  <c r="B291" i="33" s="1"/>
  <c r="D219" i="33"/>
  <c r="C219" i="33"/>
  <c r="B219" i="33" s="1"/>
  <c r="D147" i="33"/>
  <c r="C147" i="33"/>
  <c r="B147" i="33" s="1"/>
  <c r="D75" i="33"/>
  <c r="C75" i="33"/>
  <c r="B75" i="33" s="1"/>
  <c r="B7" i="41"/>
  <c r="C7" i="41" s="1"/>
  <c r="O68" i="31"/>
  <c r="D150" i="33"/>
  <c r="C150" i="33"/>
  <c r="B150" i="33" s="1"/>
  <c r="I8" i="41"/>
  <c r="J8" i="41" s="1"/>
  <c r="D78" i="33"/>
  <c r="C78" i="33"/>
  <c r="B78" i="33" s="1"/>
  <c r="D80" i="33"/>
  <c r="C80" i="33"/>
  <c r="B80" i="33" s="1"/>
  <c r="D305" i="33"/>
  <c r="C305" i="33"/>
  <c r="B305" i="33" s="1"/>
  <c r="D307" i="33"/>
  <c r="C307" i="33"/>
  <c r="B307" i="33" s="1"/>
  <c r="D235" i="33"/>
  <c r="C235" i="33"/>
  <c r="B235" i="33" s="1"/>
  <c r="D237" i="33"/>
  <c r="C237" i="33"/>
  <c r="B237" i="33" s="1"/>
  <c r="N18" i="25"/>
  <c r="N52" i="25" s="1"/>
  <c r="E10" i="10"/>
  <c r="D96" i="33"/>
  <c r="C96" i="33"/>
  <c r="B96" i="33" s="1"/>
  <c r="D30" i="33"/>
  <c r="C30" i="33"/>
  <c r="B30" i="33" s="1"/>
  <c r="B3" i="41"/>
  <c r="D38" i="33"/>
  <c r="C38" i="33"/>
  <c r="B38" i="33" s="1"/>
  <c r="B40" i="25"/>
  <c r="B5" i="25" s="1"/>
  <c r="D46" i="33"/>
  <c r="C46" i="33"/>
  <c r="B46" i="33" s="1"/>
  <c r="B4" i="41"/>
  <c r="C4" i="41" s="1"/>
  <c r="D275" i="33"/>
  <c r="C275" i="33"/>
  <c r="B275" i="33" s="1"/>
  <c r="D209" i="33"/>
  <c r="C209" i="33"/>
  <c r="B209" i="33" s="1"/>
  <c r="D220" i="33"/>
  <c r="C220" i="33"/>
  <c r="B220" i="33" s="1"/>
  <c r="D306" i="33"/>
  <c r="C306" i="33"/>
  <c r="B306" i="33" s="1"/>
  <c r="L32" i="25"/>
  <c r="L70" i="25" s="1"/>
  <c r="B13" i="25"/>
  <c r="B47" i="25" s="1"/>
  <c r="D17" i="33"/>
  <c r="C17" i="33"/>
  <c r="B17" i="33" s="1"/>
  <c r="D25" i="33"/>
  <c r="C25" i="33"/>
  <c r="B25" i="33" s="1"/>
  <c r="H29" i="20"/>
  <c r="C2820" i="33" s="1"/>
  <c r="B2820" i="33" s="1"/>
  <c r="D35" i="33"/>
  <c r="C35" i="33"/>
  <c r="B35" i="33" s="1"/>
  <c r="D13" i="25"/>
  <c r="D47" i="25" s="1"/>
  <c r="D91" i="33"/>
  <c r="C91" i="33"/>
  <c r="B91" i="33" s="1"/>
  <c r="F17" i="25"/>
  <c r="F51" i="25" s="1"/>
  <c r="D169" i="33"/>
  <c r="C169" i="33"/>
  <c r="B169" i="33" s="1"/>
  <c r="D99" i="33"/>
  <c r="C99" i="33"/>
  <c r="B99" i="33" s="1"/>
  <c r="I29" i="20"/>
  <c r="C2824" i="33" s="1"/>
  <c r="B2824" i="33" s="1"/>
  <c r="D20" i="25"/>
  <c r="D54" i="25" s="1"/>
  <c r="D101" i="33"/>
  <c r="C101" i="33"/>
  <c r="B101" i="33" s="1"/>
  <c r="D22" i="25"/>
  <c r="D56" i="25" s="1"/>
  <c r="D103" i="33"/>
  <c r="C103" i="33"/>
  <c r="B103" i="33" s="1"/>
  <c r="K21" i="31"/>
  <c r="C1465" i="33" s="1"/>
  <c r="B1465" i="33" s="1"/>
  <c r="D105" i="33"/>
  <c r="C105" i="33"/>
  <c r="B105" i="33" s="1"/>
  <c r="D107" i="33"/>
  <c r="C107" i="33"/>
  <c r="B107" i="33" s="1"/>
  <c r="D29" i="25"/>
  <c r="D109" i="33"/>
  <c r="C109" i="33"/>
  <c r="B109" i="33" s="1"/>
  <c r="D111" i="33"/>
  <c r="C111" i="33"/>
  <c r="B111" i="33" s="1"/>
  <c r="D113" i="33"/>
  <c r="C113" i="33"/>
  <c r="B113" i="33" s="1"/>
  <c r="D115" i="33"/>
  <c r="C115" i="33"/>
  <c r="B115" i="33" s="1"/>
  <c r="D117" i="33"/>
  <c r="C117" i="33"/>
  <c r="B117" i="33" s="1"/>
  <c r="D119" i="33"/>
  <c r="C119" i="33"/>
  <c r="B119" i="33" s="1"/>
  <c r="D41" i="25"/>
  <c r="D6" i="25" s="1"/>
  <c r="O5" i="31"/>
  <c r="C1323" i="33" s="1"/>
  <c r="B1323" i="33" s="1"/>
  <c r="D121" i="33"/>
  <c r="C121" i="33"/>
  <c r="B121" i="33" s="1"/>
  <c r="I5" i="41"/>
  <c r="J5" i="41" s="1"/>
  <c r="D123" i="33"/>
  <c r="C123" i="33"/>
  <c r="B123" i="33" s="1"/>
  <c r="D125" i="33"/>
  <c r="C125" i="33"/>
  <c r="B125" i="33" s="1"/>
  <c r="D53" i="33"/>
  <c r="C53" i="33"/>
  <c r="B53" i="33" s="1"/>
  <c r="D55" i="33"/>
  <c r="C55" i="33"/>
  <c r="B55" i="33" s="1"/>
  <c r="J47" i="31"/>
  <c r="D280" i="33"/>
  <c r="C280" i="33"/>
  <c r="B280" i="33" s="1"/>
  <c r="D282" i="33"/>
  <c r="C282" i="33"/>
  <c r="B282" i="33" s="1"/>
  <c r="D284" i="33"/>
  <c r="C284" i="33"/>
  <c r="B284" i="33" s="1"/>
  <c r="R26" i="25"/>
  <c r="D286" i="33"/>
  <c r="M56" i="31"/>
  <c r="C1759" i="33" s="1"/>
  <c r="B1759" i="33" s="1"/>
  <c r="C286" i="33"/>
  <c r="B286" i="33" s="1"/>
  <c r="D288" i="33"/>
  <c r="C288" i="33"/>
  <c r="B288" i="33" s="1"/>
  <c r="D216" i="33"/>
  <c r="C216" i="33"/>
  <c r="B216" i="33" s="1"/>
  <c r="D70" i="33"/>
  <c r="C70" i="33"/>
  <c r="B70" i="33" s="1"/>
  <c r="D293" i="33"/>
  <c r="C293" i="33"/>
  <c r="B293" i="33" s="1"/>
  <c r="D221" i="33"/>
  <c r="C221" i="33"/>
  <c r="B221" i="33" s="1"/>
  <c r="C16" i="10"/>
  <c r="D149" i="33"/>
  <c r="C149" i="33"/>
  <c r="B149" i="33" s="1"/>
  <c r="I7" i="41"/>
  <c r="J7" i="41" s="1"/>
  <c r="P34" i="25"/>
  <c r="P6" i="25" s="1"/>
  <c r="D224" i="33"/>
  <c r="C224" i="33"/>
  <c r="B224" i="33" s="1"/>
  <c r="D152" i="33"/>
  <c r="C152" i="33"/>
  <c r="B152" i="33" s="1"/>
  <c r="D154" i="33"/>
  <c r="C154" i="33"/>
  <c r="B154" i="33" s="1"/>
  <c r="D82" i="33"/>
  <c r="C82" i="33"/>
  <c r="B82" i="33" s="1"/>
  <c r="D84" i="33"/>
  <c r="C84" i="33"/>
  <c r="B84" i="33" s="1"/>
  <c r="P78" i="31"/>
  <c r="D309" i="33"/>
  <c r="C309" i="33"/>
  <c r="B309" i="33" s="1"/>
  <c r="D311" i="33"/>
  <c r="C311" i="33"/>
  <c r="B311" i="33" s="1"/>
  <c r="L20" i="25"/>
  <c r="L54" i="25" s="1"/>
  <c r="N33" i="25"/>
  <c r="N5" i="25" s="1"/>
  <c r="R21" i="25"/>
  <c r="R55" i="25" s="1"/>
  <c r="B11" i="10"/>
  <c r="D10" i="10"/>
  <c r="B4" i="10"/>
  <c r="H28" i="20" s="1"/>
  <c r="C2819" i="33" s="1"/>
  <c r="B2819" i="33" s="1"/>
  <c r="D20" i="33"/>
  <c r="C20" i="33"/>
  <c r="B20" i="33" s="1"/>
  <c r="D28" i="33"/>
  <c r="C28" i="33"/>
  <c r="B28" i="33" s="1"/>
  <c r="D36" i="33"/>
  <c r="C36" i="33"/>
  <c r="B36" i="33" s="1"/>
  <c r="D44" i="33"/>
  <c r="C44" i="33"/>
  <c r="B44" i="33" s="1"/>
  <c r="D277" i="33"/>
  <c r="C277" i="33"/>
  <c r="B277" i="33" s="1"/>
  <c r="D141" i="33"/>
  <c r="C141" i="33"/>
  <c r="B141" i="33" s="1"/>
  <c r="D304" i="33"/>
  <c r="C304" i="33"/>
  <c r="B304" i="33" s="1"/>
  <c r="D95" i="33"/>
  <c r="C95" i="33"/>
  <c r="B95" i="33" s="1"/>
  <c r="D29" i="33"/>
  <c r="C29" i="33"/>
  <c r="B29" i="33" s="1"/>
  <c r="B33" i="25"/>
  <c r="D39" i="33"/>
  <c r="C39" i="33"/>
  <c r="B39" i="33" s="1"/>
  <c r="D93" i="33"/>
  <c r="C93" i="33"/>
  <c r="B93" i="33" s="1"/>
  <c r="D97" i="33"/>
  <c r="C97" i="33"/>
  <c r="B97" i="33" s="1"/>
  <c r="F13" i="25"/>
  <c r="F47" i="25" s="1"/>
  <c r="D165" i="33"/>
  <c r="C165" i="33"/>
  <c r="B165" i="33" s="1"/>
  <c r="D167" i="33"/>
  <c r="C167" i="33"/>
  <c r="B167" i="33" s="1"/>
  <c r="D243" i="33"/>
  <c r="C243" i="33"/>
  <c r="B243" i="33" s="1"/>
  <c r="D171" i="33"/>
  <c r="C171" i="33"/>
  <c r="B171" i="33" s="1"/>
  <c r="D173" i="33"/>
  <c r="C173" i="33"/>
  <c r="B173" i="33" s="1"/>
  <c r="J29" i="20"/>
  <c r="C2828" i="33" s="1"/>
  <c r="B2828" i="33" s="1"/>
  <c r="F20" i="25"/>
  <c r="F54" i="25" s="1"/>
  <c r="D175" i="33"/>
  <c r="C175" i="33"/>
  <c r="B175" i="33" s="1"/>
  <c r="D177" i="33"/>
  <c r="C177" i="33"/>
  <c r="B177" i="33" s="1"/>
  <c r="D179" i="33"/>
  <c r="L21" i="31"/>
  <c r="C1496" i="33" s="1"/>
  <c r="B1496" i="33" s="1"/>
  <c r="C179" i="33"/>
  <c r="B179" i="33" s="1"/>
  <c r="D181" i="33"/>
  <c r="C181" i="33"/>
  <c r="B181" i="33" s="1"/>
  <c r="D183" i="33"/>
  <c r="C183" i="33"/>
  <c r="B183" i="33" s="1"/>
  <c r="D185" i="33"/>
  <c r="C185" i="33"/>
  <c r="B185" i="33" s="1"/>
  <c r="D187" i="33"/>
  <c r="C187" i="33"/>
  <c r="B187" i="33" s="1"/>
  <c r="D189" i="33"/>
  <c r="C189" i="33"/>
  <c r="B189" i="33" s="1"/>
  <c r="F37" i="25"/>
  <c r="D191" i="33"/>
  <c r="C191" i="33"/>
  <c r="B191" i="33" s="1"/>
  <c r="D193" i="33"/>
  <c r="C193" i="33"/>
  <c r="B193" i="33" s="1"/>
  <c r="G12" i="25"/>
  <c r="D195" i="33"/>
  <c r="C195" i="33"/>
  <c r="B195" i="33" s="1"/>
  <c r="D197" i="33"/>
  <c r="C197" i="33"/>
  <c r="B197" i="33" s="1"/>
  <c r="D199" i="33"/>
  <c r="C199" i="33"/>
  <c r="B199" i="33" s="1"/>
  <c r="D127" i="33"/>
  <c r="C127" i="33"/>
  <c r="B127" i="33" s="1"/>
  <c r="D129" i="33"/>
  <c r="C129" i="33"/>
  <c r="B129" i="33" s="1"/>
  <c r="D57" i="33"/>
  <c r="C57" i="33"/>
  <c r="B57" i="33" s="1"/>
  <c r="D59" i="33"/>
  <c r="C59" i="33"/>
  <c r="B59" i="33" s="1"/>
  <c r="R52" i="31"/>
  <c r="D61" i="33"/>
  <c r="C61" i="33"/>
  <c r="B61" i="33" s="1"/>
  <c r="J51" i="31"/>
  <c r="D63" i="33"/>
  <c r="C63" i="33"/>
  <c r="B63" i="33" s="1"/>
  <c r="B6" i="41"/>
  <c r="C6" i="41" s="1"/>
  <c r="D65" i="33"/>
  <c r="C65" i="33"/>
  <c r="B65" i="33" s="1"/>
  <c r="O58" i="31"/>
  <c r="C1590" i="33" s="1"/>
  <c r="B1590" i="33" s="1"/>
  <c r="R28" i="25"/>
  <c r="R66" i="25" s="1"/>
  <c r="D290" i="33"/>
  <c r="C290" i="33"/>
  <c r="B290" i="33" s="1"/>
  <c r="D144" i="33"/>
  <c r="C144" i="33"/>
  <c r="B144" i="33" s="1"/>
  <c r="D72" i="33"/>
  <c r="C72" i="33"/>
  <c r="B72" i="33" s="1"/>
  <c r="D295" i="33"/>
  <c r="C295" i="33"/>
  <c r="B295" i="33" s="1"/>
  <c r="D16" i="10"/>
  <c r="D223" i="33"/>
  <c r="C223" i="33"/>
  <c r="B223" i="33" s="1"/>
  <c r="D298" i="33"/>
  <c r="C298" i="33"/>
  <c r="B298" i="33" s="1"/>
  <c r="D226" i="33"/>
  <c r="C226" i="33"/>
  <c r="B226" i="33" s="1"/>
  <c r="D228" i="33"/>
  <c r="C228" i="33"/>
  <c r="B228" i="33" s="1"/>
  <c r="D156" i="33"/>
  <c r="C156" i="33"/>
  <c r="B156" i="33" s="1"/>
  <c r="D158" i="33"/>
  <c r="C158" i="33"/>
  <c r="B158" i="33" s="1"/>
  <c r="D86" i="33"/>
  <c r="C86" i="33"/>
  <c r="B86" i="33" s="1"/>
  <c r="D88" i="33"/>
  <c r="C88" i="33"/>
  <c r="B88" i="33" s="1"/>
  <c r="L15" i="25"/>
  <c r="L49" i="25" s="1"/>
  <c r="N29" i="25"/>
  <c r="N67" i="25" s="1"/>
  <c r="P22" i="25"/>
  <c r="P56" i="25" s="1"/>
  <c r="R17" i="25"/>
  <c r="R51" i="25" s="1"/>
  <c r="Q66" i="25"/>
  <c r="B12" i="10"/>
  <c r="D9" i="10"/>
  <c r="D24" i="33"/>
  <c r="C24" i="33"/>
  <c r="B24" i="33" s="1"/>
  <c r="D32" i="33"/>
  <c r="C32" i="33"/>
  <c r="B32" i="33" s="1"/>
  <c r="B34" i="25"/>
  <c r="D40" i="33"/>
  <c r="C40" i="33"/>
  <c r="B40" i="33" s="1"/>
  <c r="N39" i="31"/>
  <c r="C1543" i="33" s="1"/>
  <c r="B1543" i="33" s="1"/>
  <c r="D48" i="33"/>
  <c r="J39" i="31"/>
  <c r="C1659" i="33" s="1"/>
  <c r="B1659" i="33" s="1"/>
  <c r="C48" i="33"/>
  <c r="B48" i="33" s="1"/>
  <c r="D205" i="33"/>
  <c r="C205" i="33"/>
  <c r="B205" i="33" s="1"/>
  <c r="H90" i="31"/>
  <c r="D211" i="33"/>
  <c r="C211" i="33"/>
  <c r="B211" i="33" s="1"/>
  <c r="D292" i="33"/>
  <c r="C292" i="33"/>
  <c r="B292" i="33" s="1"/>
  <c r="D77" i="33"/>
  <c r="C77" i="33"/>
  <c r="B77" i="33" s="1"/>
  <c r="D236" i="33"/>
  <c r="C236" i="33"/>
  <c r="B236" i="33" s="1"/>
  <c r="D19" i="33"/>
  <c r="C19" i="33"/>
  <c r="B19" i="33" s="1"/>
  <c r="D27" i="33"/>
  <c r="C27" i="33"/>
  <c r="B27" i="33" s="1"/>
  <c r="B27" i="25"/>
  <c r="D33" i="33"/>
  <c r="C33" i="33"/>
  <c r="B33" i="33" s="1"/>
  <c r="D239" i="33"/>
  <c r="C239" i="33"/>
  <c r="B239" i="33" s="1"/>
  <c r="D241" i="33"/>
  <c r="C241" i="33"/>
  <c r="B241" i="33" s="1"/>
  <c r="D22" i="33"/>
  <c r="C22" i="33"/>
  <c r="B22" i="33" s="1"/>
  <c r="D245" i="33"/>
  <c r="C245" i="33"/>
  <c r="B245" i="33" s="1"/>
  <c r="D247" i="33"/>
  <c r="C247" i="33"/>
  <c r="B247" i="33" s="1"/>
  <c r="D249" i="33"/>
  <c r="C249" i="33"/>
  <c r="B249" i="33" s="1"/>
  <c r="D251" i="33"/>
  <c r="C251" i="33"/>
  <c r="B251" i="33" s="1"/>
  <c r="H25" i="25"/>
  <c r="D253" i="33"/>
  <c r="M21" i="31"/>
  <c r="C1527" i="33" s="1"/>
  <c r="B1527" i="33" s="1"/>
  <c r="C253" i="33"/>
  <c r="B253" i="33" s="1"/>
  <c r="D255" i="33"/>
  <c r="C255" i="33"/>
  <c r="B255" i="33" s="1"/>
  <c r="D257" i="33"/>
  <c r="C257" i="33"/>
  <c r="B257" i="33" s="1"/>
  <c r="D259" i="33"/>
  <c r="C259" i="33"/>
  <c r="B259" i="33" s="1"/>
  <c r="D261" i="33"/>
  <c r="C261" i="33"/>
  <c r="B261" i="33" s="1"/>
  <c r="D263" i="33"/>
  <c r="C263" i="33"/>
  <c r="B263" i="33" s="1"/>
  <c r="D265" i="33"/>
  <c r="C265" i="33"/>
  <c r="B265" i="33" s="1"/>
  <c r="D267" i="33"/>
  <c r="C267" i="33"/>
  <c r="B267" i="33" s="1"/>
  <c r="E7" i="10"/>
  <c r="E3" i="20" s="1"/>
  <c r="C2794" i="33" s="1"/>
  <c r="B2794" i="33" s="1"/>
  <c r="D269" i="33"/>
  <c r="C269" i="33"/>
  <c r="B269" i="33" s="1"/>
  <c r="D271" i="33"/>
  <c r="C271" i="33"/>
  <c r="B271" i="33" s="1"/>
  <c r="E12" i="10"/>
  <c r="D273" i="33"/>
  <c r="C273" i="33"/>
  <c r="B273" i="33" s="1"/>
  <c r="D201" i="33"/>
  <c r="C201" i="33"/>
  <c r="B201" i="33" s="1"/>
  <c r="D203" i="33"/>
  <c r="C203" i="33"/>
  <c r="B203" i="33" s="1"/>
  <c r="D131" i="33"/>
  <c r="C131" i="33"/>
  <c r="B131" i="33" s="1"/>
  <c r="G90" i="31"/>
  <c r="D133" i="33"/>
  <c r="C133" i="33"/>
  <c r="B133" i="33" s="1"/>
  <c r="D135" i="33"/>
  <c r="C135" i="33"/>
  <c r="B135" i="33" s="1"/>
  <c r="C15" i="10"/>
  <c r="D137" i="33"/>
  <c r="C137" i="33"/>
  <c r="B137" i="33" s="1"/>
  <c r="I6" i="41"/>
  <c r="J6" i="41" s="1"/>
  <c r="D139" i="33"/>
  <c r="C139" i="33"/>
  <c r="B139" i="33" s="1"/>
  <c r="D67" i="33"/>
  <c r="C67" i="33"/>
  <c r="B67" i="33" s="1"/>
  <c r="J60" i="31"/>
  <c r="D218" i="33"/>
  <c r="C218" i="33"/>
  <c r="B218" i="33" s="1"/>
  <c r="D146" i="33"/>
  <c r="C146" i="33"/>
  <c r="B146" i="33" s="1"/>
  <c r="S31" i="25"/>
  <c r="C1655" i="33"/>
  <c r="B1655" i="33" s="1"/>
  <c r="D297" i="33"/>
  <c r="C297" i="33"/>
  <c r="B297" i="33" s="1"/>
  <c r="S34" i="25"/>
  <c r="S6" i="25" s="1"/>
  <c r="C1658" i="33"/>
  <c r="B1658" i="33" s="1"/>
  <c r="D300" i="33"/>
  <c r="C300" i="33"/>
  <c r="B300" i="33" s="1"/>
  <c r="D302" i="33"/>
  <c r="C302" i="33"/>
  <c r="B302" i="33" s="1"/>
  <c r="D230" i="33"/>
  <c r="C230" i="33"/>
  <c r="B230" i="33" s="1"/>
  <c r="D232" i="33"/>
  <c r="C232" i="33"/>
  <c r="B232" i="33" s="1"/>
  <c r="D160" i="33"/>
  <c r="C160" i="33"/>
  <c r="B160" i="33" s="1"/>
  <c r="D162" i="33"/>
  <c r="C162" i="33"/>
  <c r="B162" i="33" s="1"/>
  <c r="T83" i="31"/>
  <c r="H17" i="25"/>
  <c r="H51" i="25" s="1"/>
  <c r="L14" i="25"/>
  <c r="L48" i="25" s="1"/>
  <c r="N28" i="25"/>
  <c r="N66" i="25" s="1"/>
  <c r="P20" i="25"/>
  <c r="P54" i="25" s="1"/>
  <c r="R16" i="25"/>
  <c r="R50" i="25" s="1"/>
  <c r="D21" i="33"/>
  <c r="C21" i="33"/>
  <c r="B21" i="33" s="1"/>
  <c r="B15" i="10"/>
  <c r="D18" i="10"/>
  <c r="D6" i="20" s="1"/>
  <c r="C8" i="10"/>
  <c r="R5" i="31"/>
  <c r="N5" i="31"/>
  <c r="C1291" i="33" s="1"/>
  <c r="B1291" i="33" s="1"/>
  <c r="J5" i="31"/>
  <c r="C1419" i="33" s="1"/>
  <c r="B1419" i="33" s="1"/>
  <c r="D16" i="33"/>
  <c r="C16" i="33"/>
  <c r="H10" i="10"/>
  <c r="J10" i="10"/>
  <c r="J33" i="10" s="1"/>
  <c r="K10" i="10"/>
  <c r="I10" i="10"/>
  <c r="I4" i="20"/>
  <c r="J6" i="20"/>
  <c r="J22" i="20" s="1"/>
  <c r="C2833" i="33" s="1"/>
  <c r="B2833" i="33" s="1"/>
  <c r="F90" i="31"/>
  <c r="P71" i="31"/>
  <c r="V73" i="31"/>
  <c r="H94" i="31"/>
  <c r="T77" i="31"/>
  <c r="O82" i="31"/>
  <c r="C18" i="10"/>
  <c r="O70" i="31"/>
  <c r="F93" i="31"/>
  <c r="O73" i="31"/>
  <c r="P75" i="31"/>
  <c r="V77" i="31"/>
  <c r="O80" i="31"/>
  <c r="V82" i="31"/>
  <c r="Q71" i="31"/>
  <c r="N74" i="31"/>
  <c r="Q77" i="31"/>
  <c r="O74" i="31"/>
  <c r="N76" i="31"/>
  <c r="N77" i="31"/>
  <c r="P79" i="31"/>
  <c r="T81" i="31"/>
  <c r="Q82" i="31"/>
  <c r="Q78" i="31"/>
  <c r="Q73" i="31"/>
  <c r="V70" i="31"/>
  <c r="Q70" i="31"/>
  <c r="O76" i="31"/>
  <c r="N78" i="31"/>
  <c r="Q79" i="31"/>
  <c r="V81" i="31"/>
  <c r="N82" i="31"/>
  <c r="N70" i="31"/>
  <c r="O72" i="31"/>
  <c r="Q75" i="31"/>
  <c r="B18" i="10"/>
  <c r="B6" i="20" s="1"/>
  <c r="R71" i="31"/>
  <c r="R73" i="31"/>
  <c r="Q74" i="31"/>
  <c r="O78" i="31"/>
  <c r="F94" i="31"/>
  <c r="Q81" i="31"/>
  <c r="Q76" i="31"/>
  <c r="N81" i="31"/>
  <c r="V83" i="31"/>
  <c r="E18" i="10"/>
  <c r="E6" i="20" s="1"/>
  <c r="O51" i="31"/>
  <c r="N21" i="25"/>
  <c r="N55" i="25" s="1"/>
  <c r="Q59" i="31"/>
  <c r="C1649" i="33" s="1"/>
  <c r="B1649" i="33" s="1"/>
  <c r="O40" i="31"/>
  <c r="C11" i="10"/>
  <c r="N13" i="25"/>
  <c r="N47" i="25" s="1"/>
  <c r="O42" i="31"/>
  <c r="Q47" i="31"/>
  <c r="L66" i="31"/>
  <c r="P32" i="25"/>
  <c r="P70" i="25" s="1"/>
  <c r="O41" i="31"/>
  <c r="N43" i="31"/>
  <c r="P48" i="31"/>
  <c r="C1610" i="33" s="1"/>
  <c r="B1610" i="33" s="1"/>
  <c r="Q12" i="25"/>
  <c r="P12" i="25"/>
  <c r="P46" i="25" s="1"/>
  <c r="H92" i="31"/>
  <c r="P24" i="25"/>
  <c r="P4" i="25" s="1"/>
  <c r="D15" i="10"/>
  <c r="P57" i="31"/>
  <c r="P27" i="25"/>
  <c r="P65" i="25" s="1"/>
  <c r="C12" i="10"/>
  <c r="N53" i="31"/>
  <c r="N58" i="31"/>
  <c r="C1561" i="33" s="1"/>
  <c r="B1561" i="33" s="1"/>
  <c r="O61" i="31"/>
  <c r="C1593" i="33" s="1"/>
  <c r="B1593" i="33" s="1"/>
  <c r="R61" i="31"/>
  <c r="N44" i="31"/>
  <c r="L17" i="25"/>
  <c r="L51" i="25" s="1"/>
  <c r="P51" i="31"/>
  <c r="N65" i="31"/>
  <c r="R65" i="31"/>
  <c r="R44" i="31"/>
  <c r="Q46" i="31"/>
  <c r="R19" i="25"/>
  <c r="R53" i="25" s="1"/>
  <c r="O57" i="31"/>
  <c r="C9" i="10"/>
  <c r="N27" i="25"/>
  <c r="N65" i="25" s="1"/>
  <c r="J65" i="31"/>
  <c r="Q54" i="31"/>
  <c r="R24" i="25"/>
  <c r="R4" i="25" s="1"/>
  <c r="W62" i="31"/>
  <c r="C2435" i="33" s="1"/>
  <c r="B2435" i="33" s="1"/>
  <c r="Q64" i="31"/>
  <c r="R30" i="25"/>
  <c r="R68" i="25" s="1"/>
  <c r="M64" i="31"/>
  <c r="P21" i="25"/>
  <c r="P55" i="25" s="1"/>
  <c r="N32" i="25"/>
  <c r="N70" i="25" s="1"/>
  <c r="O66" i="31"/>
  <c r="R20" i="25"/>
  <c r="R54" i="25" s="1"/>
  <c r="P42" i="31"/>
  <c r="P15" i="25"/>
  <c r="P49" i="25" s="1"/>
  <c r="D12" i="10"/>
  <c r="L19" i="25"/>
  <c r="L53" i="25" s="1"/>
  <c r="P56" i="31"/>
  <c r="D8" i="10"/>
  <c r="O65" i="31"/>
  <c r="N31" i="25"/>
  <c r="N69" i="25" s="1"/>
  <c r="L16" i="25"/>
  <c r="L50" i="25" s="1"/>
  <c r="N15" i="25"/>
  <c r="N49" i="25" s="1"/>
  <c r="D11" i="10"/>
  <c r="N52" i="31"/>
  <c r="B14" i="10"/>
  <c r="L22" i="25"/>
  <c r="L56" i="25" s="1"/>
  <c r="M53" i="31"/>
  <c r="V53" i="31"/>
  <c r="R23" i="25"/>
  <c r="R57" i="25" s="1"/>
  <c r="N62" i="31"/>
  <c r="C1565" i="33" s="1"/>
  <c r="B1565" i="33" s="1"/>
  <c r="Q63" i="31"/>
  <c r="R67" i="31"/>
  <c r="L33" i="25"/>
  <c r="L5" i="25" s="1"/>
  <c r="B16" i="10"/>
  <c r="N34" i="25"/>
  <c r="N6" i="25" s="1"/>
  <c r="L31" i="25"/>
  <c r="L69" i="25" s="1"/>
  <c r="N14" i="25"/>
  <c r="N48" i="25" s="1"/>
  <c r="P13" i="25"/>
  <c r="P47" i="25" s="1"/>
  <c r="E15" i="10"/>
  <c r="O49" i="31"/>
  <c r="C1582" i="33" s="1"/>
  <c r="B1582" i="33" s="1"/>
  <c r="M45" i="31"/>
  <c r="R18" i="25"/>
  <c r="R52" i="25" s="1"/>
  <c r="O44" i="31"/>
  <c r="N17" i="25"/>
  <c r="N51" i="25" s="1"/>
  <c r="K50" i="31"/>
  <c r="C1698" i="33" s="1"/>
  <c r="B1698" i="33" s="1"/>
  <c r="R57" i="31"/>
  <c r="Q60" i="31"/>
  <c r="N64" i="31"/>
  <c r="J64" i="31"/>
  <c r="L30" i="25"/>
  <c r="L68" i="25" s="1"/>
  <c r="P26" i="25"/>
  <c r="M40" i="31"/>
  <c r="M57" i="31"/>
  <c r="L62" i="31"/>
  <c r="C1737" i="33" s="1"/>
  <c r="B1737" i="33" s="1"/>
  <c r="M12" i="25"/>
  <c r="Q42" i="31"/>
  <c r="P44" i="31"/>
  <c r="J48" i="31"/>
  <c r="C1668" i="33" s="1"/>
  <c r="B1668" i="33" s="1"/>
  <c r="M49" i="31"/>
  <c r="C1753" i="33" s="1"/>
  <c r="B1753" i="33" s="1"/>
  <c r="Q51" i="31"/>
  <c r="N56" i="31"/>
  <c r="K59" i="31"/>
  <c r="C1706" i="33" s="1"/>
  <c r="B1706" i="33" s="1"/>
  <c r="O64" i="31"/>
  <c r="P65" i="31"/>
  <c r="M66" i="31"/>
  <c r="R27" i="25"/>
  <c r="P46" i="31"/>
  <c r="K48" i="31"/>
  <c r="C1696" i="33" s="1"/>
  <c r="B1696" i="33" s="1"/>
  <c r="O56" i="31"/>
  <c r="P59" i="31"/>
  <c r="C1620" i="33" s="1"/>
  <c r="B1620" i="33" s="1"/>
  <c r="N61" i="31"/>
  <c r="C1564" i="33" s="1"/>
  <c r="B1564" i="33" s="1"/>
  <c r="M62" i="31"/>
  <c r="C1765" i="33" s="1"/>
  <c r="B1765" i="33" s="1"/>
  <c r="P64" i="31"/>
  <c r="M65" i="31"/>
  <c r="R68" i="31"/>
  <c r="L29" i="25"/>
  <c r="L67" i="25" s="1"/>
  <c r="N26" i="25"/>
  <c r="P19" i="25"/>
  <c r="P53" i="25" s="1"/>
  <c r="R34" i="25"/>
  <c r="R6" i="25" s="1"/>
  <c r="E9" i="10"/>
  <c r="S12" i="25"/>
  <c r="N47" i="31"/>
  <c r="Q56" i="31"/>
  <c r="P68" i="31"/>
  <c r="R32" i="25"/>
  <c r="R70" i="25" s="1"/>
  <c r="E11" i="10"/>
  <c r="O43" i="31"/>
  <c r="P50" i="31"/>
  <c r="C1612" i="33" s="1"/>
  <c r="B1612" i="33" s="1"/>
  <c r="K67" i="31"/>
  <c r="L12" i="25"/>
  <c r="L46" i="25" s="1"/>
  <c r="M46" i="25"/>
  <c r="R48" i="31"/>
  <c r="Q50" i="31"/>
  <c r="C1641" i="33" s="1"/>
  <c r="B1641" i="33" s="1"/>
  <c r="F92" i="31"/>
  <c r="M64" i="25"/>
  <c r="O60" i="31"/>
  <c r="K63" i="31"/>
  <c r="P67" i="31"/>
  <c r="L34" i="25"/>
  <c r="L6" i="25" s="1"/>
  <c r="L26" i="25"/>
  <c r="L64" i="25" s="1"/>
  <c r="R12" i="25"/>
  <c r="R46" i="25" s="1"/>
  <c r="R31" i="25"/>
  <c r="R69" i="25" s="1"/>
  <c r="R15" i="25"/>
  <c r="R49" i="25" s="1"/>
  <c r="B8" i="10"/>
  <c r="B17" i="10"/>
  <c r="E17" i="10"/>
  <c r="E4" i="20" s="1"/>
  <c r="C2795" i="33" s="1"/>
  <c r="B2795" i="33" s="1"/>
  <c r="E8" i="10"/>
  <c r="L41" i="31"/>
  <c r="N45" i="31"/>
  <c r="M48" i="31"/>
  <c r="C1752" i="33" s="1"/>
  <c r="B1752" i="33" s="1"/>
  <c r="O52" i="31"/>
  <c r="N60" i="31"/>
  <c r="P61" i="31"/>
  <c r="C1622" i="33" s="1"/>
  <c r="B1622" i="33" s="1"/>
  <c r="P17" i="25"/>
  <c r="P51" i="25" s="1"/>
  <c r="M41" i="31"/>
  <c r="P43" i="31"/>
  <c r="O47" i="31"/>
  <c r="P52" i="31"/>
  <c r="N40" i="31"/>
  <c r="Q43" i="31"/>
  <c r="P47" i="31"/>
  <c r="N49" i="31"/>
  <c r="C1553" i="33" s="1"/>
  <c r="B1553" i="33" s="1"/>
  <c r="N51" i="31"/>
  <c r="M52" i="31"/>
  <c r="G92" i="31"/>
  <c r="N57" i="31"/>
  <c r="M58" i="31"/>
  <c r="C1761" i="33" s="1"/>
  <c r="B1761" i="33" s="1"/>
  <c r="P60" i="31"/>
  <c r="P63" i="31"/>
  <c r="N66" i="31"/>
  <c r="Q67" i="31"/>
  <c r="N68" i="31"/>
  <c r="N24" i="25"/>
  <c r="N4" i="25" s="1"/>
  <c r="N16" i="25"/>
  <c r="N50" i="25" s="1"/>
  <c r="N30" i="25"/>
  <c r="N68" i="25" s="1"/>
  <c r="P31" i="25"/>
  <c r="P69" i="25" s="1"/>
  <c r="P23" i="25"/>
  <c r="P57" i="25" s="1"/>
  <c r="R22" i="25"/>
  <c r="R56" i="25" s="1"/>
  <c r="R14" i="25"/>
  <c r="R48" i="25" s="1"/>
  <c r="B9" i="10"/>
  <c r="D17" i="10"/>
  <c r="D4" i="20" s="1"/>
  <c r="C2770" i="33" s="1"/>
  <c r="B2770" i="33" s="1"/>
  <c r="E14" i="10"/>
  <c r="H26" i="25"/>
  <c r="D33" i="25"/>
  <c r="H34" i="25"/>
  <c r="M30" i="31"/>
  <c r="N25" i="31"/>
  <c r="B29" i="25"/>
  <c r="E5" i="10"/>
  <c r="G46" i="25"/>
  <c r="H56" i="38"/>
  <c r="T7" i="31"/>
  <c r="O9" i="31"/>
  <c r="N13" i="31"/>
  <c r="C1299" i="33" s="1"/>
  <c r="B1299" i="33" s="1"/>
  <c r="N15" i="31"/>
  <c r="N17" i="31"/>
  <c r="F89" i="31"/>
  <c r="P21" i="31"/>
  <c r="P23" i="31"/>
  <c r="P25" i="31"/>
  <c r="O27" i="31"/>
  <c r="N31" i="31"/>
  <c r="M32" i="31"/>
  <c r="T36" i="31"/>
  <c r="T37" i="31"/>
  <c r="B15" i="25"/>
  <c r="B49" i="25" s="1"/>
  <c r="B19" i="25"/>
  <c r="B53" i="25" s="1"/>
  <c r="D40" i="25"/>
  <c r="D79" i="25" s="1"/>
  <c r="D32" i="25"/>
  <c r="D23" i="25"/>
  <c r="D4" i="25" s="1"/>
  <c r="D15" i="25"/>
  <c r="D49" i="25" s="1"/>
  <c r="F29" i="25"/>
  <c r="H41" i="25"/>
  <c r="H6" i="25" s="1"/>
  <c r="H33" i="25"/>
  <c r="H16" i="25"/>
  <c r="H50" i="25" s="1"/>
  <c r="D5" i="10"/>
  <c r="G56" i="38"/>
  <c r="O23" i="31"/>
  <c r="P34" i="31"/>
  <c r="I56" i="38"/>
  <c r="P7" i="31"/>
  <c r="P9" i="31"/>
  <c r="P11" i="31"/>
  <c r="O13" i="31"/>
  <c r="C1331" i="33" s="1"/>
  <c r="B1331" i="33" s="1"/>
  <c r="T15" i="31"/>
  <c r="K17" i="31"/>
  <c r="P27" i="31"/>
  <c r="P29" i="31"/>
  <c r="O31" i="31"/>
  <c r="J33" i="31"/>
  <c r="V37" i="31"/>
  <c r="B35" i="25"/>
  <c r="D39" i="25"/>
  <c r="D31" i="25"/>
  <c r="D14" i="25"/>
  <c r="D48" i="25" s="1"/>
  <c r="F19" i="25"/>
  <c r="F53" i="25" s="1"/>
  <c r="H40" i="25"/>
  <c r="H5" i="25" s="1"/>
  <c r="H15" i="25"/>
  <c r="H49" i="25" s="1"/>
  <c r="B3" i="10"/>
  <c r="C5" i="10"/>
  <c r="N7" i="31"/>
  <c r="P13" i="31"/>
  <c r="C1363" i="33" s="1"/>
  <c r="B1363" i="33" s="1"/>
  <c r="P17" i="31"/>
  <c r="N22" i="31"/>
  <c r="N24" i="31"/>
  <c r="P31" i="31"/>
  <c r="O33" i="31"/>
  <c r="Q37" i="31"/>
  <c r="B26" i="25"/>
  <c r="D21" i="25"/>
  <c r="D55" i="25" s="1"/>
  <c r="F35" i="25"/>
  <c r="F27" i="25"/>
  <c r="F18" i="25"/>
  <c r="F52" i="25" s="1"/>
  <c r="H39" i="25"/>
  <c r="H31" i="25"/>
  <c r="H22" i="25"/>
  <c r="H56" i="25" s="1"/>
  <c r="H14" i="25"/>
  <c r="H48" i="25" s="1"/>
  <c r="D7" i="10"/>
  <c r="D3" i="20" s="1"/>
  <c r="C2769" i="33" s="1"/>
  <c r="B2769" i="33" s="1"/>
  <c r="E4" i="10"/>
  <c r="N9" i="31"/>
  <c r="F95" i="31"/>
  <c r="C3" i="10"/>
  <c r="M19" i="31"/>
  <c r="K22" i="31"/>
  <c r="T24" i="31"/>
  <c r="N26" i="31"/>
  <c r="N28" i="31"/>
  <c r="N30" i="31"/>
  <c r="M31" i="31"/>
  <c r="P33" i="31"/>
  <c r="J36" i="31"/>
  <c r="N37" i="31"/>
  <c r="B41" i="25"/>
  <c r="B6" i="25" s="1"/>
  <c r="D37" i="25"/>
  <c r="F12" i="25"/>
  <c r="H38" i="25"/>
  <c r="H30" i="25"/>
  <c r="H21" i="25"/>
  <c r="H55" i="25" s="1"/>
  <c r="H13" i="25"/>
  <c r="H47" i="25" s="1"/>
  <c r="B5" i="10"/>
  <c r="C7" i="10"/>
  <c r="D4" i="10"/>
  <c r="J28" i="20" s="1"/>
  <c r="C2827" i="33" s="1"/>
  <c r="B2827" i="33" s="1"/>
  <c r="N11" i="31"/>
  <c r="P32" i="31"/>
  <c r="D25" i="25"/>
  <c r="D64" i="25" s="1"/>
  <c r="F38" i="25"/>
  <c r="N6" i="31"/>
  <c r="O10" i="31"/>
  <c r="N12" i="31"/>
  <c r="C1298" i="33" s="1"/>
  <c r="B1298" i="33" s="1"/>
  <c r="N14" i="31"/>
  <c r="C1300" i="33" s="1"/>
  <c r="B1300" i="33" s="1"/>
  <c r="N18" i="31"/>
  <c r="O19" i="31"/>
  <c r="P22" i="31"/>
  <c r="P24" i="31"/>
  <c r="R26" i="31"/>
  <c r="K30" i="31"/>
  <c r="Q31" i="31"/>
  <c r="K36" i="31"/>
  <c r="O37" i="31"/>
  <c r="B12" i="25"/>
  <c r="B46" i="25" s="1"/>
  <c r="B32" i="25"/>
  <c r="B23" i="25"/>
  <c r="B4" i="25" s="1"/>
  <c r="D28" i="25"/>
  <c r="D19" i="25"/>
  <c r="D53" i="25" s="1"/>
  <c r="F41" i="25"/>
  <c r="F6" i="25" s="1"/>
  <c r="F33" i="25"/>
  <c r="F25" i="25"/>
  <c r="F64" i="25" s="1"/>
  <c r="F16" i="25"/>
  <c r="F50" i="25" s="1"/>
  <c r="H37" i="25"/>
  <c r="H29" i="25"/>
  <c r="H20" i="25"/>
  <c r="H54" i="25" s="1"/>
  <c r="B6" i="10"/>
  <c r="E6" i="10"/>
  <c r="C4" i="10"/>
  <c r="I28" i="20" s="1"/>
  <c r="C2823" i="33" s="1"/>
  <c r="B2823" i="33" s="1"/>
  <c r="N27" i="31"/>
  <c r="B16" i="25"/>
  <c r="B50" i="25" s="1"/>
  <c r="N10" i="31"/>
  <c r="O6" i="31"/>
  <c r="P6" i="31"/>
  <c r="P8" i="31"/>
  <c r="P10" i="31"/>
  <c r="O12" i="31"/>
  <c r="C1330" i="33" s="1"/>
  <c r="B1330" i="33" s="1"/>
  <c r="O14" i="31"/>
  <c r="C1332" i="33" s="1"/>
  <c r="B1332" i="33" s="1"/>
  <c r="O16" i="31"/>
  <c r="O18" i="31"/>
  <c r="P19" i="31"/>
  <c r="M24" i="31"/>
  <c r="P26" i="31"/>
  <c r="P30" i="31"/>
  <c r="N32" i="31"/>
  <c r="J34" i="31"/>
  <c r="P35" i="31"/>
  <c r="L36" i="31"/>
  <c r="B18" i="25"/>
  <c r="B52" i="25" s="1"/>
  <c r="B39" i="25"/>
  <c r="B31" i="25"/>
  <c r="B22" i="25"/>
  <c r="B56" i="25" s="1"/>
  <c r="D35" i="25"/>
  <c r="D27" i="25"/>
  <c r="D18" i="25"/>
  <c r="D52" i="25" s="1"/>
  <c r="F40" i="25"/>
  <c r="F5" i="25" s="1"/>
  <c r="F32" i="25"/>
  <c r="F23" i="25"/>
  <c r="F4" i="25" s="1"/>
  <c r="F15" i="25"/>
  <c r="F49" i="25" s="1"/>
  <c r="H36" i="25"/>
  <c r="H28" i="25"/>
  <c r="H19" i="25"/>
  <c r="H53" i="25" s="1"/>
  <c r="B7" i="10"/>
  <c r="D6" i="10"/>
  <c r="E3" i="10"/>
  <c r="V12" i="31"/>
  <c r="O25" i="31"/>
  <c r="N29" i="31"/>
  <c r="R36" i="31"/>
  <c r="C12" i="25"/>
  <c r="F56" i="38"/>
  <c r="P14" i="31"/>
  <c r="C1364" i="33" s="1"/>
  <c r="B1364" i="33" s="1"/>
  <c r="P16" i="31"/>
  <c r="P18" i="31"/>
  <c r="N21" i="31"/>
  <c r="N23" i="31"/>
  <c r="M28" i="31"/>
  <c r="K32" i="31"/>
  <c r="O34" i="31"/>
  <c r="T35" i="31"/>
  <c r="M36" i="31"/>
  <c r="B38" i="25"/>
  <c r="B30" i="25"/>
  <c r="B21" i="25"/>
  <c r="B55" i="25" s="1"/>
  <c r="D12" i="25"/>
  <c r="D46" i="25" s="1"/>
  <c r="D34" i="25"/>
  <c r="D26" i="25"/>
  <c r="D17" i="25"/>
  <c r="D51" i="25" s="1"/>
  <c r="F39" i="25"/>
  <c r="F31" i="25"/>
  <c r="F22" i="25"/>
  <c r="F56" i="25" s="1"/>
  <c r="F14" i="25"/>
  <c r="F48" i="25" s="1"/>
  <c r="H35" i="25"/>
  <c r="H27" i="25"/>
  <c r="H18" i="25"/>
  <c r="H52" i="25" s="1"/>
  <c r="C6" i="10"/>
  <c r="D3" i="10"/>
  <c r="N71" i="25"/>
  <c r="L58" i="25"/>
  <c r="L71" i="25"/>
  <c r="R71" i="25"/>
  <c r="H4" i="25"/>
  <c r="D57" i="25"/>
  <c r="B79" i="25"/>
  <c r="Q13" i="31"/>
  <c r="C1395" i="33" s="1"/>
  <c r="B1395" i="33" s="1"/>
  <c r="Q28" i="31"/>
  <c r="T60" i="31"/>
  <c r="T64" i="31"/>
  <c r="V68" i="31"/>
  <c r="N72" i="31"/>
  <c r="P73" i="31"/>
  <c r="T76" i="31"/>
  <c r="V78" i="31"/>
  <c r="Q6" i="31"/>
  <c r="V18" i="31"/>
  <c r="Q33" i="31"/>
  <c r="L34" i="31"/>
  <c r="O46" i="25"/>
  <c r="L42" i="31"/>
  <c r="L46" i="31"/>
  <c r="T68" i="31"/>
  <c r="O77" i="31"/>
  <c r="G94" i="31"/>
  <c r="I95" i="31"/>
  <c r="Q8" i="31"/>
  <c r="Q17" i="31"/>
  <c r="M18" i="31"/>
  <c r="Q22" i="31"/>
  <c r="V27" i="31"/>
  <c r="T29" i="31"/>
  <c r="L33" i="31"/>
  <c r="J40" i="31"/>
  <c r="M42" i="31"/>
  <c r="J43" i="31"/>
  <c r="L45" i="31"/>
  <c r="M46" i="31"/>
  <c r="L49" i="31"/>
  <c r="C1725" i="33" s="1"/>
  <c r="B1725" i="33" s="1"/>
  <c r="L50" i="31"/>
  <c r="C1726" i="33" s="1"/>
  <c r="B1726" i="33" s="1"/>
  <c r="L53" i="31"/>
  <c r="L54" i="31"/>
  <c r="H91" i="31"/>
  <c r="L59" i="31"/>
  <c r="C1734" i="33" s="1"/>
  <c r="B1734" i="33" s="1"/>
  <c r="L63" i="31"/>
  <c r="P77" i="31"/>
  <c r="T43" i="31"/>
  <c r="T47" i="31"/>
  <c r="J17" i="31"/>
  <c r="R18" i="31"/>
  <c r="O22" i="31"/>
  <c r="J27" i="31"/>
  <c r="Q30" i="31"/>
  <c r="N33" i="31"/>
  <c r="S46" i="25"/>
  <c r="K40" i="31"/>
  <c r="P41" i="31"/>
  <c r="K43" i="31"/>
  <c r="T46" i="31"/>
  <c r="K47" i="31"/>
  <c r="M50" i="31"/>
  <c r="C1754" i="33" s="1"/>
  <c r="B1754" i="33" s="1"/>
  <c r="K51" i="31"/>
  <c r="M54" i="31"/>
  <c r="M59" i="31"/>
  <c r="C1762" i="33" s="1"/>
  <c r="B1762" i="33" s="1"/>
  <c r="K60" i="31"/>
  <c r="M63" i="31"/>
  <c r="K64" i="31"/>
  <c r="T73" i="31"/>
  <c r="O81" i="31"/>
  <c r="C46" i="25"/>
  <c r="Q24" i="31"/>
  <c r="V29" i="31"/>
  <c r="J30" i="31"/>
  <c r="J31" i="31"/>
  <c r="O32" i="31"/>
  <c r="R39" i="31"/>
  <c r="Q40" i="31"/>
  <c r="V41" i="31"/>
  <c r="L43" i="31"/>
  <c r="J44" i="31"/>
  <c r="L47" i="31"/>
  <c r="T50" i="31"/>
  <c r="L51" i="31"/>
  <c r="J52" i="31"/>
  <c r="T54" i="31"/>
  <c r="Q64" i="25"/>
  <c r="J57" i="31"/>
  <c r="T59" i="31"/>
  <c r="T63" i="31"/>
  <c r="R77" i="31"/>
  <c r="R79" i="31"/>
  <c r="N80" i="31"/>
  <c r="P81" i="31"/>
  <c r="P82" i="31"/>
  <c r="I92" i="31"/>
  <c r="T56" i="31"/>
  <c r="M7" i="31"/>
  <c r="V16" i="31"/>
  <c r="L17" i="31"/>
  <c r="Q26" i="31"/>
  <c r="M29" i="31"/>
  <c r="K31" i="31"/>
  <c r="K35" i="31"/>
  <c r="G95" i="31"/>
  <c r="T39" i="31"/>
  <c r="R40" i="31"/>
  <c r="V42" i="31"/>
  <c r="M43" i="31"/>
  <c r="K44" i="31"/>
  <c r="V46" i="31"/>
  <c r="M47" i="31"/>
  <c r="V49" i="31"/>
  <c r="V50" i="31"/>
  <c r="M51" i="31"/>
  <c r="K52" i="31"/>
  <c r="V54" i="31"/>
  <c r="S64" i="25"/>
  <c r="K57" i="31"/>
  <c r="V58" i="31"/>
  <c r="V59" i="31"/>
  <c r="M60" i="31"/>
  <c r="J61" i="31"/>
  <c r="C1680" i="33" s="1"/>
  <c r="B1680" i="33" s="1"/>
  <c r="V63" i="31"/>
  <c r="T51" i="31"/>
  <c r="L7" i="31"/>
  <c r="Q9" i="31"/>
  <c r="Q11" i="31"/>
  <c r="Q16" i="31"/>
  <c r="J26" i="31"/>
  <c r="Q29" i="31"/>
  <c r="L30" i="31"/>
  <c r="K42" i="31"/>
  <c r="R43" i="31"/>
  <c r="K46" i="31"/>
  <c r="R47" i="31"/>
  <c r="R50" i="31"/>
  <c r="R51" i="31"/>
  <c r="Q52" i="31"/>
  <c r="R56" i="31"/>
  <c r="Q57" i="31"/>
  <c r="R59" i="31"/>
  <c r="R60" i="31"/>
  <c r="K61" i="31"/>
  <c r="C1708" i="33" s="1"/>
  <c r="B1708" i="33" s="1"/>
  <c r="R63" i="31"/>
  <c r="R64" i="31"/>
  <c r="K65" i="31"/>
  <c r="V66" i="31"/>
  <c r="T67" i="31"/>
  <c r="P70" i="31"/>
  <c r="H93" i="31"/>
  <c r="N73" i="31"/>
  <c r="V74" i="31"/>
  <c r="R76" i="31"/>
  <c r="R81" i="31"/>
  <c r="R13" i="31"/>
  <c r="J9" i="31"/>
  <c r="J10" i="31"/>
  <c r="V14" i="31"/>
  <c r="K10" i="31"/>
  <c r="J22" i="31"/>
  <c r="V23" i="31"/>
  <c r="V25" i="31"/>
  <c r="L26" i="31"/>
  <c r="K27" i="31"/>
  <c r="R31" i="31"/>
  <c r="Q32" i="31"/>
  <c r="V6" i="31"/>
  <c r="V10" i="31"/>
  <c r="K9" i="31"/>
  <c r="R10" i="31"/>
  <c r="J14" i="31"/>
  <c r="C1428" i="33" s="1"/>
  <c r="B1428" i="33" s="1"/>
  <c r="R17" i="31"/>
  <c r="J23" i="31"/>
  <c r="K24" i="31"/>
  <c r="L25" i="31"/>
  <c r="M26" i="31"/>
  <c r="R27" i="31"/>
  <c r="R30" i="31"/>
  <c r="T34" i="31"/>
  <c r="V35" i="31"/>
  <c r="L9" i="31"/>
  <c r="K14" i="31"/>
  <c r="C1459" i="33" s="1"/>
  <c r="B1459" i="33" s="1"/>
  <c r="L22" i="31"/>
  <c r="O24" i="31"/>
  <c r="O26" i="31"/>
  <c r="F88" i="31"/>
  <c r="J13" i="31"/>
  <c r="C1427" i="33" s="1"/>
  <c r="B1427" i="33" s="1"/>
  <c r="K23" i="31"/>
  <c r="V8" i="31"/>
  <c r="L13" i="31"/>
  <c r="C1489" i="33" s="1"/>
  <c r="B1489" i="33" s="1"/>
  <c r="R14" i="31"/>
  <c r="J18" i="31"/>
  <c r="K19" i="31"/>
  <c r="V21" i="31"/>
  <c r="M22" i="31"/>
  <c r="M23" i="31"/>
  <c r="T28" i="31"/>
  <c r="L29" i="31"/>
  <c r="V31" i="31"/>
  <c r="O35" i="31"/>
  <c r="R23" i="31"/>
  <c r="K7" i="31"/>
  <c r="R9" i="31"/>
  <c r="Q18" i="31"/>
  <c r="R22" i="31"/>
  <c r="I46" i="25"/>
  <c r="R6" i="31"/>
  <c r="M12" i="31"/>
  <c r="C1519" i="33" s="1"/>
  <c r="B1519" i="33" s="1"/>
  <c r="R41" i="31"/>
  <c r="J41" i="31"/>
  <c r="R16" i="31"/>
  <c r="J16" i="31"/>
  <c r="M33" i="31"/>
  <c r="M34" i="31"/>
  <c r="V34" i="31"/>
  <c r="Q34" i="31"/>
  <c r="V40" i="31"/>
  <c r="T40" i="31"/>
  <c r="L40" i="31"/>
  <c r="O7" i="31"/>
  <c r="M15" i="31"/>
  <c r="T16" i="31"/>
  <c r="K16" i="31"/>
  <c r="R29" i="31"/>
  <c r="J29" i="31"/>
  <c r="Q80" i="31"/>
  <c r="I94" i="31"/>
  <c r="J6" i="31"/>
  <c r="M8" i="31"/>
  <c r="T11" i="31"/>
  <c r="Q12" i="31"/>
  <c r="C1394" i="33" s="1"/>
  <c r="B1394" i="33" s="1"/>
  <c r="Q14" i="31"/>
  <c r="C1396" i="33" s="1"/>
  <c r="B1396" i="33" s="1"/>
  <c r="K15" i="31"/>
  <c r="M17" i="31"/>
  <c r="Q19" i="31"/>
  <c r="M27" i="31"/>
  <c r="T32" i="31"/>
  <c r="N34" i="31"/>
  <c r="Q35" i="31"/>
  <c r="M35" i="31"/>
  <c r="R8" i="31"/>
  <c r="J8" i="31"/>
  <c r="T21" i="31"/>
  <c r="E64" i="25"/>
  <c r="J35" i="31"/>
  <c r="R35" i="31"/>
  <c r="M61" i="31"/>
  <c r="C1764" i="33" s="1"/>
  <c r="B1764" i="33" s="1"/>
  <c r="Q61" i="31"/>
  <c r="C1651" i="33" s="1"/>
  <c r="B1651" i="33" s="1"/>
  <c r="I91" i="31"/>
  <c r="M9" i="31"/>
  <c r="T13" i="31"/>
  <c r="V15" i="31"/>
  <c r="L15" i="31"/>
  <c r="I88" i="31"/>
  <c r="M25" i="31"/>
  <c r="G88" i="31"/>
  <c r="T53" i="31"/>
  <c r="K53" i="31"/>
  <c r="O53" i="31"/>
  <c r="M14" i="31"/>
  <c r="C1521" i="33" s="1"/>
  <c r="B1521" i="33" s="1"/>
  <c r="T26" i="31"/>
  <c r="V28" i="31"/>
  <c r="L28" i="31"/>
  <c r="R46" i="31"/>
  <c r="J46" i="31"/>
  <c r="N46" i="31"/>
  <c r="K6" i="31"/>
  <c r="Q7" i="31"/>
  <c r="N8" i="31"/>
  <c r="T9" i="31"/>
  <c r="V11" i="31"/>
  <c r="L11" i="31"/>
  <c r="F87" i="31"/>
  <c r="J12" i="31"/>
  <c r="C1426" i="33" s="1"/>
  <c r="B1426" i="33" s="1"/>
  <c r="R12" i="31"/>
  <c r="K13" i="31"/>
  <c r="C1458" i="33" s="1"/>
  <c r="B1458" i="33" s="1"/>
  <c r="O15" i="31"/>
  <c r="O17" i="31"/>
  <c r="T22" i="31"/>
  <c r="V24" i="31"/>
  <c r="L24" i="31"/>
  <c r="J25" i="31"/>
  <c r="R25" i="31"/>
  <c r="Q25" i="31"/>
  <c r="Q27" i="31"/>
  <c r="K28" i="31"/>
  <c r="O30" i="31"/>
  <c r="V32" i="31"/>
  <c r="L32" i="31"/>
  <c r="R33" i="31"/>
  <c r="N35" i="31"/>
  <c r="N41" i="31"/>
  <c r="T8" i="31"/>
  <c r="K8" i="31"/>
  <c r="M6" i="31"/>
  <c r="O8" i="31"/>
  <c r="M10" i="31"/>
  <c r="M11" i="31"/>
  <c r="G87" i="31"/>
  <c r="T12" i="31"/>
  <c r="K12" i="31"/>
  <c r="C1457" i="33" s="1"/>
  <c r="B1457" i="33" s="1"/>
  <c r="P15" i="31"/>
  <c r="M16" i="31"/>
  <c r="G89" i="31"/>
  <c r="T19" i="31"/>
  <c r="O21" i="31"/>
  <c r="T25" i="31"/>
  <c r="K25" i="31"/>
  <c r="K26" i="31"/>
  <c r="O28" i="31"/>
  <c r="V33" i="31"/>
  <c r="P40" i="31"/>
  <c r="Q72" i="31"/>
  <c r="I93" i="31"/>
  <c r="E46" i="25"/>
  <c r="V7" i="31"/>
  <c r="Q10" i="31"/>
  <c r="K11" i="31"/>
  <c r="M13" i="31"/>
  <c r="C1520" i="33" s="1"/>
  <c r="B1520" i="33" s="1"/>
  <c r="Q15" i="31"/>
  <c r="N16" i="31"/>
  <c r="T17" i="31"/>
  <c r="K18" i="31"/>
  <c r="H89" i="31"/>
  <c r="V19" i="31"/>
  <c r="L16" i="31"/>
  <c r="L12" i="31"/>
  <c r="C1488" i="33" s="1"/>
  <c r="B1488" i="33" s="1"/>
  <c r="L8" i="31"/>
  <c r="L19" i="31"/>
  <c r="R21" i="31"/>
  <c r="C64" i="25"/>
  <c r="Q21" i="31"/>
  <c r="Q23" i="31"/>
  <c r="P28" i="31"/>
  <c r="T30" i="31"/>
  <c r="R34" i="31"/>
  <c r="V44" i="31"/>
  <c r="T44" i="31"/>
  <c r="L44" i="31"/>
  <c r="T45" i="31"/>
  <c r="K45" i="31"/>
  <c r="O45" i="31"/>
  <c r="I87" i="31"/>
  <c r="M44" i="31"/>
  <c r="Q44" i="31"/>
  <c r="I89" i="31"/>
  <c r="O29" i="31"/>
  <c r="H88" i="31"/>
  <c r="T62" i="31"/>
  <c r="K62" i="31"/>
  <c r="C1709" i="33" s="1"/>
  <c r="B1709" i="33" s="1"/>
  <c r="G93" i="31"/>
  <c r="L6" i="31"/>
  <c r="T6" i="31"/>
  <c r="J7" i="31"/>
  <c r="R7" i="31"/>
  <c r="V9" i="31"/>
  <c r="L10" i="31"/>
  <c r="T10" i="31"/>
  <c r="J11" i="31"/>
  <c r="R11" i="31"/>
  <c r="H87" i="31"/>
  <c r="P12" i="31"/>
  <c r="C1362" i="33" s="1"/>
  <c r="B1362" i="33" s="1"/>
  <c r="V13" i="31"/>
  <c r="L14" i="31"/>
  <c r="C1490" i="33" s="1"/>
  <c r="B1490" i="33" s="1"/>
  <c r="T14" i="31"/>
  <c r="J15" i="31"/>
  <c r="R15" i="31"/>
  <c r="V17" i="31"/>
  <c r="L18" i="31"/>
  <c r="T18" i="31"/>
  <c r="J19" i="31"/>
  <c r="R19" i="31"/>
  <c r="V22" i="31"/>
  <c r="L23" i="31"/>
  <c r="T23" i="31"/>
  <c r="J24" i="31"/>
  <c r="R24" i="31"/>
  <c r="V26" i="31"/>
  <c r="L27" i="31"/>
  <c r="T27" i="31"/>
  <c r="J28" i="31"/>
  <c r="R28" i="31"/>
  <c r="V30" i="31"/>
  <c r="L31" i="31"/>
  <c r="T31" i="31"/>
  <c r="J32" i="31"/>
  <c r="R32" i="31"/>
  <c r="Q36" i="31"/>
  <c r="Q41" i="31"/>
  <c r="O62" i="31"/>
  <c r="C1594" i="33" s="1"/>
  <c r="B1594" i="33" s="1"/>
  <c r="K29" i="31"/>
  <c r="K33" i="31"/>
  <c r="T33" i="31"/>
  <c r="K34" i="31"/>
  <c r="L35" i="31"/>
  <c r="H95" i="31"/>
  <c r="P37" i="31"/>
  <c r="R42" i="31"/>
  <c r="J42" i="31"/>
  <c r="T42" i="31"/>
  <c r="P45" i="31"/>
  <c r="T41" i="31"/>
  <c r="K41" i="31"/>
  <c r="Q48" i="31"/>
  <c r="C1639" i="33" s="1"/>
  <c r="B1639" i="33" s="1"/>
  <c r="T66" i="31"/>
  <c r="K66" i="31"/>
  <c r="O71" i="31"/>
  <c r="T71" i="31"/>
  <c r="O79" i="31"/>
  <c r="T79" i="31"/>
  <c r="N19" i="31"/>
  <c r="V45" i="31"/>
  <c r="R49" i="31"/>
  <c r="J49" i="31"/>
  <c r="C1669" i="33" s="1"/>
  <c r="B1669" i="33" s="1"/>
  <c r="G91" i="31"/>
  <c r="T58" i="31"/>
  <c r="K58" i="31"/>
  <c r="C1705" i="33" s="1"/>
  <c r="B1705" i="33" s="1"/>
  <c r="R45" i="31"/>
  <c r="J45" i="31"/>
  <c r="V48" i="31"/>
  <c r="T48" i="31"/>
  <c r="L48" i="31"/>
  <c r="C1724" i="33" s="1"/>
  <c r="B1724" i="33" s="1"/>
  <c r="T49" i="31"/>
  <c r="K49" i="31"/>
  <c r="C1697" i="33" s="1"/>
  <c r="B1697" i="33" s="1"/>
  <c r="R75" i="31"/>
  <c r="R83" i="31"/>
  <c r="O75" i="31"/>
  <c r="T75" i="31"/>
  <c r="P49" i="31"/>
  <c r="C1611" i="33" s="1"/>
  <c r="B1611" i="33" s="1"/>
  <c r="N50" i="31"/>
  <c r="C1554" i="33" s="1"/>
  <c r="B1554" i="33" s="1"/>
  <c r="P53" i="31"/>
  <c r="N54" i="31"/>
  <c r="P58" i="31"/>
  <c r="C1619" i="33" s="1"/>
  <c r="B1619" i="33" s="1"/>
  <c r="N59" i="31"/>
  <c r="C1562" i="33" s="1"/>
  <c r="B1562" i="33" s="1"/>
  <c r="P62" i="31"/>
  <c r="C1623" i="33" s="1"/>
  <c r="B1623" i="33" s="1"/>
  <c r="N63" i="31"/>
  <c r="P66" i="31"/>
  <c r="N67" i="31"/>
  <c r="R70" i="31"/>
  <c r="V72" i="31"/>
  <c r="R74" i="31"/>
  <c r="V76" i="31"/>
  <c r="R78" i="31"/>
  <c r="V80" i="31"/>
  <c r="R82" i="31"/>
  <c r="Q45" i="31"/>
  <c r="O46" i="31"/>
  <c r="Q49" i="31"/>
  <c r="C1640" i="33" s="1"/>
  <c r="B1640" i="33" s="1"/>
  <c r="O50" i="31"/>
  <c r="C1583" i="33" s="1"/>
  <c r="B1583" i="33" s="1"/>
  <c r="Q53" i="31"/>
  <c r="O54" i="31"/>
  <c r="Q58" i="31"/>
  <c r="C1648" i="33" s="1"/>
  <c r="B1648" i="33" s="1"/>
  <c r="O59" i="31"/>
  <c r="C1591" i="33" s="1"/>
  <c r="B1591" i="33" s="1"/>
  <c r="Q62" i="31"/>
  <c r="C1652" i="33" s="1"/>
  <c r="B1652" i="33" s="1"/>
  <c r="O63" i="31"/>
  <c r="Q66" i="31"/>
  <c r="O67" i="31"/>
  <c r="N36" i="31"/>
  <c r="V36" i="31"/>
  <c r="V39" i="31"/>
  <c r="V43" i="31"/>
  <c r="V47" i="31"/>
  <c r="V51" i="31"/>
  <c r="L52" i="31"/>
  <c r="T52" i="31"/>
  <c r="J53" i="31"/>
  <c r="R53" i="31"/>
  <c r="P54" i="31"/>
  <c r="V56" i="31"/>
  <c r="L57" i="31"/>
  <c r="T57" i="31"/>
  <c r="J58" i="31"/>
  <c r="C1677" i="33" s="1"/>
  <c r="B1677" i="33" s="1"/>
  <c r="R58" i="31"/>
  <c r="V60" i="31"/>
  <c r="L61" i="31"/>
  <c r="C1736" i="33" s="1"/>
  <c r="B1736" i="33" s="1"/>
  <c r="T61" i="31"/>
  <c r="J62" i="31"/>
  <c r="C1681" i="33" s="1"/>
  <c r="B1681" i="33" s="1"/>
  <c r="R62" i="31"/>
  <c r="V64" i="31"/>
  <c r="L65" i="31"/>
  <c r="T65" i="31"/>
  <c r="J66" i="31"/>
  <c r="R66" i="31"/>
  <c r="T70" i="31"/>
  <c r="N71" i="31"/>
  <c r="V71" i="31"/>
  <c r="P72" i="31"/>
  <c r="T74" i="31"/>
  <c r="N75" i="31"/>
  <c r="V75" i="31"/>
  <c r="P76" i="31"/>
  <c r="T78" i="31"/>
  <c r="N79" i="31"/>
  <c r="V79" i="31"/>
  <c r="P80" i="31"/>
  <c r="T82" i="31"/>
  <c r="O36" i="31"/>
  <c r="P36" i="31"/>
  <c r="R37" i="31"/>
  <c r="N48" i="31"/>
  <c r="C1552" i="33" s="1"/>
  <c r="B1552" i="33" s="1"/>
  <c r="J50" i="31"/>
  <c r="C1670" i="33" s="1"/>
  <c r="B1670" i="33" s="1"/>
  <c r="V52" i="31"/>
  <c r="J54" i="31"/>
  <c r="R54" i="31"/>
  <c r="V57" i="31"/>
  <c r="L58" i="31"/>
  <c r="C1733" i="33" s="1"/>
  <c r="B1733" i="33" s="1"/>
  <c r="J59" i="31"/>
  <c r="C1678" i="33" s="1"/>
  <c r="B1678" i="33" s="1"/>
  <c r="V61" i="31"/>
  <c r="J63" i="31"/>
  <c r="V65" i="31"/>
  <c r="J67" i="31"/>
  <c r="R72" i="31"/>
  <c r="R80" i="31"/>
  <c r="F91" i="31"/>
  <c r="O48" i="31"/>
  <c r="C1581" i="33" s="1"/>
  <c r="B1581" i="33" s="1"/>
  <c r="K54" i="31"/>
  <c r="T72" i="31"/>
  <c r="T80" i="31"/>
  <c r="R44" i="25"/>
  <c r="R62" i="25" s="1"/>
  <c r="K44" i="25"/>
  <c r="K62" i="25" s="1"/>
  <c r="P44" i="25"/>
  <c r="P62" i="25" s="1"/>
  <c r="N44" i="25"/>
  <c r="N62" i="25" s="1"/>
  <c r="L2" i="25"/>
  <c r="L9" i="25" s="1"/>
  <c r="L44" i="25"/>
  <c r="L62" i="25" s="1"/>
  <c r="R2" i="25"/>
  <c r="R9" i="25" s="1"/>
  <c r="P2" i="25"/>
  <c r="P9" i="25" s="1"/>
  <c r="N2" i="25"/>
  <c r="N9" i="25" s="1"/>
  <c r="B28" i="10"/>
  <c r="B29" i="10"/>
  <c r="B30" i="10"/>
  <c r="B27" i="10"/>
  <c r="B26" i="10"/>
  <c r="C46" i="15"/>
  <c r="D46" i="15"/>
  <c r="E46" i="15"/>
  <c r="C47" i="15"/>
  <c r="D47" i="15"/>
  <c r="E47" i="15"/>
  <c r="C48" i="15"/>
  <c r="D48" i="15"/>
  <c r="E48" i="15"/>
  <c r="C49" i="15"/>
  <c r="D49" i="15"/>
  <c r="E49" i="15"/>
  <c r="C50" i="15"/>
  <c r="D50" i="15"/>
  <c r="E50" i="15"/>
  <c r="C51" i="15"/>
  <c r="D51" i="15"/>
  <c r="E51" i="15"/>
  <c r="C52" i="15"/>
  <c r="D52" i="15"/>
  <c r="E52" i="15"/>
  <c r="C53" i="15"/>
  <c r="D53" i="15"/>
  <c r="E53" i="15"/>
  <c r="C54" i="15"/>
  <c r="D54" i="15"/>
  <c r="E54" i="15"/>
  <c r="C55" i="15"/>
  <c r="D55" i="15"/>
  <c r="E55" i="15"/>
  <c r="B55" i="15"/>
  <c r="B54" i="15"/>
  <c r="B53" i="15"/>
  <c r="B52" i="15"/>
  <c r="B50" i="15"/>
  <c r="B49" i="15"/>
  <c r="B48" i="15"/>
  <c r="B46" i="15"/>
  <c r="C54" i="13"/>
  <c r="D54" i="13"/>
  <c r="E54" i="13"/>
  <c r="C55" i="13"/>
  <c r="D55" i="13"/>
  <c r="E55" i="13"/>
  <c r="C56" i="13"/>
  <c r="D56" i="13"/>
  <c r="E56" i="13"/>
  <c r="C57" i="13"/>
  <c r="D57" i="13"/>
  <c r="E57" i="13"/>
  <c r="C58" i="13"/>
  <c r="D58" i="13"/>
  <c r="E58" i="13"/>
  <c r="C59" i="13"/>
  <c r="D59" i="13"/>
  <c r="E59" i="13"/>
  <c r="B58" i="13"/>
  <c r="B57" i="13"/>
  <c r="B56" i="13"/>
  <c r="B55" i="13"/>
  <c r="B54" i="13"/>
  <c r="F14" i="15"/>
  <c r="G14" i="15"/>
  <c r="H14" i="15"/>
  <c r="I14" i="15"/>
  <c r="O64" i="25" l="1"/>
  <c r="I12" i="25"/>
  <c r="Q46" i="25"/>
  <c r="P71" i="25"/>
  <c r="O12" i="25"/>
  <c r="G64" i="25"/>
  <c r="E31" i="10"/>
  <c r="E12" i="20" s="1"/>
  <c r="C2803" i="33" s="1"/>
  <c r="B2803" i="33" s="1"/>
  <c r="C1025" i="33"/>
  <c r="B1025" i="33" s="1"/>
  <c r="M160" i="11"/>
  <c r="C31" i="10"/>
  <c r="C953" i="33"/>
  <c r="B953" i="33" s="1"/>
  <c r="K160" i="11"/>
  <c r="C917" i="33"/>
  <c r="B917" i="33" s="1"/>
  <c r="J160" i="11"/>
  <c r="D31" i="10"/>
  <c r="C989" i="33"/>
  <c r="B989" i="33" s="1"/>
  <c r="L160" i="11"/>
  <c r="C2069" i="33"/>
  <c r="B2069" i="33" s="1"/>
  <c r="Y61" i="11"/>
  <c r="C2252" i="33" s="1"/>
  <c r="V61" i="11"/>
  <c r="C2130" i="33" s="1"/>
  <c r="B2130" i="33" s="1"/>
  <c r="C2300" i="33"/>
  <c r="B2300" i="33" s="1"/>
  <c r="AB47" i="11"/>
  <c r="C2361" i="33" s="1"/>
  <c r="B2361" i="33" s="1"/>
  <c r="AE47" i="11"/>
  <c r="C2483" i="33" s="1"/>
  <c r="B2483" i="33" s="1"/>
  <c r="C2036" i="33"/>
  <c r="B2036" i="33" s="1"/>
  <c r="Y26" i="11"/>
  <c r="C2219" i="33" s="1"/>
  <c r="B2219" i="33" s="1"/>
  <c r="V26" i="11"/>
  <c r="C2097" i="33" s="1"/>
  <c r="C47" i="25"/>
  <c r="C1420" i="33"/>
  <c r="B1420" i="33" s="1"/>
  <c r="C2288" i="33"/>
  <c r="B2288" i="33" s="1"/>
  <c r="AE34" i="11"/>
  <c r="C2471" i="33" s="1"/>
  <c r="B2471" i="33" s="1"/>
  <c r="AB34" i="11"/>
  <c r="C2349" i="33" s="1"/>
  <c r="B2349" i="33" s="1"/>
  <c r="C1822" i="33"/>
  <c r="B1822" i="33" s="1"/>
  <c r="S58" i="11"/>
  <c r="C2005" i="33" s="1"/>
  <c r="B2005" i="33" s="1"/>
  <c r="P58" i="11"/>
  <c r="C1883" i="33" s="1"/>
  <c r="C2298" i="33"/>
  <c r="B2298" i="33" s="1"/>
  <c r="AE45" i="11"/>
  <c r="C2481" i="33" s="1"/>
  <c r="B2481" i="33" s="1"/>
  <c r="AB45" i="11"/>
  <c r="C2359" i="33" s="1"/>
  <c r="B2359" i="33" s="1"/>
  <c r="C77" i="25"/>
  <c r="C1447" i="33"/>
  <c r="B1447" i="33" s="1"/>
  <c r="C18" i="25"/>
  <c r="C1297" i="33"/>
  <c r="B1297" i="33" s="1"/>
  <c r="G31" i="25"/>
  <c r="C1376" i="33"/>
  <c r="B1376" i="33" s="1"/>
  <c r="M34" i="25"/>
  <c r="M6" i="25" s="1"/>
  <c r="C1571" i="33"/>
  <c r="B1571" i="33" s="1"/>
  <c r="M26" i="25"/>
  <c r="C1559" i="33"/>
  <c r="B1559" i="33" s="1"/>
  <c r="C29" i="25"/>
  <c r="C1310" i="33"/>
  <c r="B1310" i="33" s="1"/>
  <c r="S33" i="25"/>
  <c r="S5" i="25" s="1"/>
  <c r="C1657" i="33"/>
  <c r="B1657" i="33" s="1"/>
  <c r="M21" i="25"/>
  <c r="C1555" i="33"/>
  <c r="B1555" i="33" s="1"/>
  <c r="S48" i="25"/>
  <c r="C1745" i="33"/>
  <c r="B1745" i="33" s="1"/>
  <c r="S26" i="25"/>
  <c r="C1646" i="33"/>
  <c r="B1646" i="33" s="1"/>
  <c r="C1831" i="33"/>
  <c r="B1831" i="33" s="1"/>
  <c r="S67" i="11"/>
  <c r="C2014" i="33" s="1"/>
  <c r="P67" i="11"/>
  <c r="C1892" i="33" s="1"/>
  <c r="B1892" i="33" s="1"/>
  <c r="Q19" i="25"/>
  <c r="C1608" i="33"/>
  <c r="B1608" i="33" s="1"/>
  <c r="S21" i="25"/>
  <c r="C1642" i="33"/>
  <c r="B1642" i="33" s="1"/>
  <c r="S47" i="25"/>
  <c r="C1744" i="33"/>
  <c r="B1744" i="33" s="1"/>
  <c r="C2305" i="33"/>
  <c r="B2305" i="33" s="1"/>
  <c r="AE52" i="11"/>
  <c r="C2488" i="33" s="1"/>
  <c r="B2488" i="33" s="1"/>
  <c r="AB52" i="11"/>
  <c r="C2366" i="33" s="1"/>
  <c r="B2366" i="33" s="1"/>
  <c r="C1808" i="33"/>
  <c r="B1808" i="33" s="1"/>
  <c r="S43" i="11"/>
  <c r="C1991" i="33" s="1"/>
  <c r="P43" i="11"/>
  <c r="C1869" i="33" s="1"/>
  <c r="B1869" i="33" s="1"/>
  <c r="O15" i="25"/>
  <c r="C1575" i="33"/>
  <c r="B1575" i="33" s="1"/>
  <c r="D2669" i="33"/>
  <c r="E7" i="41"/>
  <c r="C2685" i="33"/>
  <c r="B2685" i="33" s="1"/>
  <c r="Q32" i="25"/>
  <c r="C1627" i="33"/>
  <c r="B1627" i="33" s="1"/>
  <c r="S14" i="25"/>
  <c r="C1632" i="33"/>
  <c r="B1632" i="33" s="1"/>
  <c r="I17" i="25"/>
  <c r="C1392" i="33"/>
  <c r="B1392" i="33" s="1"/>
  <c r="C2312" i="33"/>
  <c r="B2312" i="33" s="1"/>
  <c r="AE60" i="11"/>
  <c r="C2495" i="33" s="1"/>
  <c r="B2495" i="33" s="1"/>
  <c r="AB60" i="11"/>
  <c r="C2373" i="33" s="1"/>
  <c r="B2373" i="33" s="1"/>
  <c r="C2068" i="33"/>
  <c r="B2068" i="33" s="1"/>
  <c r="Y60" i="11"/>
  <c r="C2251" i="33" s="1"/>
  <c r="B2251" i="33" s="1"/>
  <c r="V60" i="11"/>
  <c r="C2129" i="33" s="1"/>
  <c r="B2129" i="33" s="1"/>
  <c r="AB79" i="11"/>
  <c r="AE79" i="11"/>
  <c r="C2297" i="33"/>
  <c r="B2297" i="33" s="1"/>
  <c r="AE44" i="11"/>
  <c r="C2480" i="33" s="1"/>
  <c r="B2480" i="33" s="1"/>
  <c r="AB44" i="11"/>
  <c r="C2358" i="33" s="1"/>
  <c r="B2358" i="33" s="1"/>
  <c r="E68" i="25"/>
  <c r="C1469" i="33"/>
  <c r="B1469" i="33" s="1"/>
  <c r="I14" i="25"/>
  <c r="C1389" i="33"/>
  <c r="B1389" i="33" s="1"/>
  <c r="C54" i="25"/>
  <c r="C1430" i="33"/>
  <c r="B1430" i="33" s="1"/>
  <c r="C51" i="25"/>
  <c r="C1424" i="33"/>
  <c r="B1424" i="33" s="1"/>
  <c r="E74" i="25"/>
  <c r="C1475" i="33"/>
  <c r="B1475" i="33" s="1"/>
  <c r="C2067" i="33"/>
  <c r="B2067" i="33" s="1"/>
  <c r="V59" i="11"/>
  <c r="C2128" i="33" s="1"/>
  <c r="Y59" i="11"/>
  <c r="C2250" i="33" s="1"/>
  <c r="Q48" i="25"/>
  <c r="C1717" i="33"/>
  <c r="B1717" i="33" s="1"/>
  <c r="C1812" i="33"/>
  <c r="B1812" i="33" s="1"/>
  <c r="P47" i="11"/>
  <c r="C1873" i="33" s="1"/>
  <c r="S47" i="11"/>
  <c r="C1995" i="33" s="1"/>
  <c r="B1995" i="33" s="1"/>
  <c r="S65" i="25"/>
  <c r="C1760" i="33"/>
  <c r="B1760" i="33" s="1"/>
  <c r="S19" i="25"/>
  <c r="C1637" i="33"/>
  <c r="B1637" i="33" s="1"/>
  <c r="S20" i="25"/>
  <c r="C1638" i="33"/>
  <c r="B1638" i="33" s="1"/>
  <c r="C1816" i="33"/>
  <c r="B1816" i="33" s="1"/>
  <c r="S51" i="11"/>
  <c r="C1999" i="33" s="1"/>
  <c r="B1999" i="33" s="1"/>
  <c r="P51" i="11"/>
  <c r="C1877" i="33" s="1"/>
  <c r="B1877" i="33" s="1"/>
  <c r="C1802" i="33"/>
  <c r="B1802" i="33" s="1"/>
  <c r="S36" i="11"/>
  <c r="C1985" i="33" s="1"/>
  <c r="P36" i="11"/>
  <c r="C1863" i="33" s="1"/>
  <c r="B1863" i="33" s="1"/>
  <c r="C1829" i="33"/>
  <c r="B1829" i="33" s="1"/>
  <c r="S65" i="11"/>
  <c r="C2012" i="33" s="1"/>
  <c r="B2012" i="33" s="1"/>
  <c r="P65" i="11"/>
  <c r="C1890" i="33" s="1"/>
  <c r="C1817" i="33"/>
  <c r="B1817" i="33" s="1"/>
  <c r="S52" i="11"/>
  <c r="C2000" i="33" s="1"/>
  <c r="B2000" i="33" s="1"/>
  <c r="P52" i="11"/>
  <c r="C1878" i="33" s="1"/>
  <c r="G78" i="25"/>
  <c r="C1510" i="33"/>
  <c r="B1510" i="33" s="1"/>
  <c r="C1797" i="33"/>
  <c r="B1797" i="33" s="1"/>
  <c r="S31" i="11"/>
  <c r="C1980" i="33" s="1"/>
  <c r="P31" i="11"/>
  <c r="C1858" i="33" s="1"/>
  <c r="E33" i="25"/>
  <c r="C1346" i="33"/>
  <c r="B1346" i="33" s="1"/>
  <c r="E56" i="25"/>
  <c r="C1463" i="33"/>
  <c r="B1463" i="33" s="1"/>
  <c r="C39" i="25"/>
  <c r="C1320" i="33"/>
  <c r="B1320" i="33" s="1"/>
  <c r="C1778" i="33"/>
  <c r="B1778" i="33" s="1"/>
  <c r="P11" i="11"/>
  <c r="S11" i="11"/>
  <c r="C1961" i="33" s="1"/>
  <c r="B1961" i="33" s="1"/>
  <c r="C2030" i="33"/>
  <c r="B2030" i="33" s="1"/>
  <c r="Y20" i="11"/>
  <c r="V20" i="11"/>
  <c r="Q47" i="25"/>
  <c r="C1716" i="33"/>
  <c r="B1716" i="33" s="1"/>
  <c r="I65" i="25"/>
  <c r="C1528" i="33"/>
  <c r="B1528" i="33" s="1"/>
  <c r="E70" i="25"/>
  <c r="C1471" i="33"/>
  <c r="B1471" i="33" s="1"/>
  <c r="G48" i="25"/>
  <c r="C1483" i="33"/>
  <c r="B1483" i="33" s="1"/>
  <c r="I72" i="25"/>
  <c r="C1535" i="33"/>
  <c r="B1535" i="33" s="1"/>
  <c r="C2062" i="33"/>
  <c r="B2062" i="33" s="1"/>
  <c r="Y53" i="11"/>
  <c r="C2245" i="33" s="1"/>
  <c r="V53" i="11"/>
  <c r="C2123" i="33" s="1"/>
  <c r="O55" i="25"/>
  <c r="C1699" i="33"/>
  <c r="B1699" i="33" s="1"/>
  <c r="C2038" i="33"/>
  <c r="B2038" i="33" s="1"/>
  <c r="Y28" i="11"/>
  <c r="C2221" i="33" s="1"/>
  <c r="B2221" i="33" s="1"/>
  <c r="V28" i="11"/>
  <c r="C2099" i="33" s="1"/>
  <c r="I71" i="25"/>
  <c r="C1534" i="33"/>
  <c r="B1534" i="33" s="1"/>
  <c r="C30" i="25"/>
  <c r="C1311" i="33"/>
  <c r="B1311" i="33" s="1"/>
  <c r="C19" i="25"/>
  <c r="C1301" i="33"/>
  <c r="B1301" i="33" s="1"/>
  <c r="G40" i="25"/>
  <c r="G5" i="25" s="1"/>
  <c r="C1385" i="33"/>
  <c r="B1385" i="33" s="1"/>
  <c r="AE74" i="11"/>
  <c r="AB74" i="11"/>
  <c r="M70" i="25"/>
  <c r="C1685" i="33"/>
  <c r="B1685" i="33" s="1"/>
  <c r="C2311" i="33"/>
  <c r="B2311" i="33" s="1"/>
  <c r="AE59" i="11"/>
  <c r="C2494" i="33" s="1"/>
  <c r="B2494" i="33" s="1"/>
  <c r="AB59" i="11"/>
  <c r="C2372" i="33" s="1"/>
  <c r="B2372" i="33" s="1"/>
  <c r="M57" i="25"/>
  <c r="C1673" i="33"/>
  <c r="B1673" i="33" s="1"/>
  <c r="C40" i="25"/>
  <c r="C5" i="25" s="1"/>
  <c r="C1321" i="33"/>
  <c r="B1321" i="33" s="1"/>
  <c r="S23" i="25"/>
  <c r="C1644" i="33"/>
  <c r="B1644" i="33" s="1"/>
  <c r="AE75" i="11"/>
  <c r="AB75" i="11"/>
  <c r="S82" i="11"/>
  <c r="P82" i="11"/>
  <c r="C1809" i="33"/>
  <c r="B1809" i="33" s="1"/>
  <c r="S44" i="11"/>
  <c r="C1992" i="33" s="1"/>
  <c r="P44" i="11"/>
  <c r="C1870" i="33" s="1"/>
  <c r="B1870" i="33" s="1"/>
  <c r="Y78" i="11"/>
  <c r="V78" i="11"/>
  <c r="C2049" i="33"/>
  <c r="B2049" i="33" s="1"/>
  <c r="Y40" i="11"/>
  <c r="C2232" i="33" s="1"/>
  <c r="V40" i="11"/>
  <c r="C2110" i="33" s="1"/>
  <c r="B2110" i="33" s="1"/>
  <c r="E77" i="25"/>
  <c r="C1478" i="33"/>
  <c r="B1478" i="33" s="1"/>
  <c r="C75" i="25"/>
  <c r="C1445" i="33"/>
  <c r="B1445" i="33" s="1"/>
  <c r="C2279" i="33"/>
  <c r="B2279" i="33" s="1"/>
  <c r="AE25" i="11"/>
  <c r="C2462" i="33" s="1"/>
  <c r="B2462" i="33" s="1"/>
  <c r="AB25" i="11"/>
  <c r="C2340" i="33" s="1"/>
  <c r="B2340" i="33" s="1"/>
  <c r="C2028" i="33"/>
  <c r="B2028" i="33" s="1"/>
  <c r="Y17" i="11"/>
  <c r="C2211" i="33" s="1"/>
  <c r="V17" i="11"/>
  <c r="C2089" i="33" s="1"/>
  <c r="B2089" i="33" s="1"/>
  <c r="C48" i="25"/>
  <c r="C1421" i="33"/>
  <c r="B1421" i="33" s="1"/>
  <c r="C2052" i="33"/>
  <c r="B2052" i="33" s="1"/>
  <c r="V43" i="11"/>
  <c r="C2113" i="33" s="1"/>
  <c r="B2113" i="33" s="1"/>
  <c r="Y43" i="11"/>
  <c r="C2235" i="33" s="1"/>
  <c r="C1786" i="33"/>
  <c r="B1786" i="33" s="1"/>
  <c r="P20" i="11"/>
  <c r="S20" i="11"/>
  <c r="C2027" i="33"/>
  <c r="B2027" i="33" s="1"/>
  <c r="V16" i="11"/>
  <c r="C2088" i="33" s="1"/>
  <c r="Y16" i="11"/>
  <c r="C2210" i="33" s="1"/>
  <c r="E25" i="25"/>
  <c r="C1338" i="33"/>
  <c r="B1338" i="33" s="1"/>
  <c r="I52" i="25"/>
  <c r="C1518" i="33"/>
  <c r="B1518" i="33" s="1"/>
  <c r="C1798" i="33"/>
  <c r="B1798" i="33" s="1"/>
  <c r="S32" i="11"/>
  <c r="C1981" i="33" s="1"/>
  <c r="B1981" i="33" s="1"/>
  <c r="P32" i="11"/>
  <c r="C1859" i="33" s="1"/>
  <c r="C68" i="25"/>
  <c r="C1438" i="33"/>
  <c r="B1438" i="33" s="1"/>
  <c r="M19" i="25"/>
  <c r="C1550" i="33"/>
  <c r="B1550" i="33" s="1"/>
  <c r="O57" i="25"/>
  <c r="C1701" i="33"/>
  <c r="B1701" i="33" s="1"/>
  <c r="I50" i="25"/>
  <c r="C1516" i="33"/>
  <c r="B1516" i="33" s="1"/>
  <c r="C49" i="25"/>
  <c r="C1422" i="33"/>
  <c r="B1422" i="33" s="1"/>
  <c r="I55" i="25"/>
  <c r="C1524" i="33"/>
  <c r="B1524" i="33" s="1"/>
  <c r="C2048" i="33"/>
  <c r="B2048" i="33" s="1"/>
  <c r="Y39" i="11"/>
  <c r="C2231" i="33" s="1"/>
  <c r="B2231" i="33" s="1"/>
  <c r="V39" i="11"/>
  <c r="C2109" i="33" s="1"/>
  <c r="B2109" i="33" s="1"/>
  <c r="M48" i="25"/>
  <c r="C1661" i="33"/>
  <c r="B1661" i="33" s="1"/>
  <c r="E48" i="25"/>
  <c r="C1452" i="33"/>
  <c r="B1452" i="33" s="1"/>
  <c r="C2274" i="33"/>
  <c r="B2274" i="33" s="1"/>
  <c r="AB20" i="11"/>
  <c r="C2335" i="33" s="1"/>
  <c r="B2335" i="33" s="1"/>
  <c r="AE20" i="11"/>
  <c r="C2457" i="33" s="1"/>
  <c r="B2457" i="33" s="1"/>
  <c r="C1795" i="33"/>
  <c r="B1795" i="33" s="1"/>
  <c r="P29" i="11"/>
  <c r="C1856" i="33" s="1"/>
  <c r="S29" i="11"/>
  <c r="C1978" i="33" s="1"/>
  <c r="C1776" i="33"/>
  <c r="B1776" i="33" s="1"/>
  <c r="S9" i="11"/>
  <c r="C1959" i="33" s="1"/>
  <c r="P9" i="11"/>
  <c r="C1837" i="33" s="1"/>
  <c r="B1837" i="33" s="1"/>
  <c r="G69" i="25"/>
  <c r="C1501" i="33"/>
  <c r="B1501" i="33" s="1"/>
  <c r="C1779" i="33"/>
  <c r="B1779" i="33" s="1"/>
  <c r="P12" i="11"/>
  <c r="S12" i="11"/>
  <c r="C1962" i="33" s="1"/>
  <c r="C2317" i="33"/>
  <c r="B2317" i="33" s="1"/>
  <c r="AE65" i="11"/>
  <c r="C2500" i="33" s="1"/>
  <c r="B2500" i="33" s="1"/>
  <c r="AB65" i="11"/>
  <c r="C2378" i="33" s="1"/>
  <c r="B2378" i="33" s="1"/>
  <c r="C1819" i="33"/>
  <c r="B1819" i="33" s="1"/>
  <c r="P55" i="11"/>
  <c r="C1880" i="33" s="1"/>
  <c r="B1880" i="33" s="1"/>
  <c r="S55" i="11"/>
  <c r="C2002" i="33" s="1"/>
  <c r="B2002" i="33" s="1"/>
  <c r="G73" i="25"/>
  <c r="C1505" i="33"/>
  <c r="B1505" i="33" s="1"/>
  <c r="C2059" i="33"/>
  <c r="B2059" i="33" s="1"/>
  <c r="V50" i="11"/>
  <c r="C2120" i="33" s="1"/>
  <c r="Y50" i="11"/>
  <c r="C2242" i="33" s="1"/>
  <c r="C2306" i="33"/>
  <c r="B2306" i="33" s="1"/>
  <c r="AB53" i="11"/>
  <c r="C2367" i="33" s="1"/>
  <c r="B2367" i="33" s="1"/>
  <c r="AE53" i="11"/>
  <c r="C2489" i="33" s="1"/>
  <c r="B2489" i="33" s="1"/>
  <c r="S50" i="25"/>
  <c r="C1747" i="33"/>
  <c r="B1747" i="33" s="1"/>
  <c r="I30" i="25"/>
  <c r="C1407" i="33"/>
  <c r="B1407" i="33" s="1"/>
  <c r="M56" i="25"/>
  <c r="C1672" i="33"/>
  <c r="B1672" i="33" s="1"/>
  <c r="C1803" i="33"/>
  <c r="B1803" i="33" s="1"/>
  <c r="P38" i="11"/>
  <c r="C1864" i="33" s="1"/>
  <c r="B1864" i="33" s="1"/>
  <c r="S38" i="11"/>
  <c r="Y72" i="11"/>
  <c r="V72" i="11"/>
  <c r="I34" i="25"/>
  <c r="C1411" i="33"/>
  <c r="B1411" i="33" s="1"/>
  <c r="S53" i="25"/>
  <c r="C1750" i="33"/>
  <c r="B1750" i="33" s="1"/>
  <c r="C2280" i="33"/>
  <c r="B2280" i="33" s="1"/>
  <c r="AE26" i="11"/>
  <c r="C2463" i="33" s="1"/>
  <c r="B2463" i="33" s="1"/>
  <c r="AB26" i="11"/>
  <c r="C2341" i="33" s="1"/>
  <c r="B2341" i="33" s="1"/>
  <c r="C2075" i="33"/>
  <c r="B2075" i="33" s="1"/>
  <c r="V67" i="11"/>
  <c r="C2136" i="33" s="1"/>
  <c r="Y67" i="11"/>
  <c r="C2258" i="33" s="1"/>
  <c r="AE77" i="11"/>
  <c r="AB77" i="11"/>
  <c r="C27" i="25"/>
  <c r="C1308" i="33"/>
  <c r="B1308" i="33" s="1"/>
  <c r="C33" i="25"/>
  <c r="C1314" i="33"/>
  <c r="B1314" i="33" s="1"/>
  <c r="G34" i="25"/>
  <c r="C1379" i="33"/>
  <c r="B1379" i="33" s="1"/>
  <c r="G17" i="25"/>
  <c r="C1360" i="33"/>
  <c r="B1360" i="33" s="1"/>
  <c r="I35" i="25"/>
  <c r="C1412" i="33"/>
  <c r="B1412" i="33" s="1"/>
  <c r="C3" i="20"/>
  <c r="C2744" i="33" s="1"/>
  <c r="B2744" i="33" s="1"/>
  <c r="C2033" i="33"/>
  <c r="B2033" i="33" s="1"/>
  <c r="Y23" i="11"/>
  <c r="C2216" i="33" s="1"/>
  <c r="V23" i="11"/>
  <c r="C2094" i="33" s="1"/>
  <c r="B2094" i="33" s="1"/>
  <c r="C14" i="25"/>
  <c r="C1293" i="33"/>
  <c r="B1293" i="33" s="1"/>
  <c r="E55" i="25"/>
  <c r="C1462" i="33"/>
  <c r="B1462" i="33" s="1"/>
  <c r="E27" i="25"/>
  <c r="C1340" i="33"/>
  <c r="B1340" i="33" s="1"/>
  <c r="C35" i="25"/>
  <c r="C1316" i="33"/>
  <c r="B1316" i="33" s="1"/>
  <c r="I73" i="25"/>
  <c r="C1536" i="33"/>
  <c r="B1536" i="33" s="1"/>
  <c r="M32" i="25"/>
  <c r="C1569" i="33"/>
  <c r="B1569" i="33" s="1"/>
  <c r="Q33" i="25"/>
  <c r="Q5" i="25" s="1"/>
  <c r="C1628" i="33"/>
  <c r="B1628" i="33" s="1"/>
  <c r="M20" i="25"/>
  <c r="C1551" i="33"/>
  <c r="B1551" i="33" s="1"/>
  <c r="S69" i="25"/>
  <c r="C1768" i="33"/>
  <c r="B1768" i="33" s="1"/>
  <c r="O17" i="25"/>
  <c r="C1577" i="33"/>
  <c r="B1577" i="33" s="1"/>
  <c r="S57" i="25"/>
  <c r="C1757" i="33"/>
  <c r="B1757" i="33" s="1"/>
  <c r="O31" i="25"/>
  <c r="C1597" i="33"/>
  <c r="B1597" i="33" s="1"/>
  <c r="O32" i="25"/>
  <c r="C1598" i="33"/>
  <c r="B1598" i="33" s="1"/>
  <c r="S24" i="25"/>
  <c r="S4" i="25" s="1"/>
  <c r="C1645" i="33"/>
  <c r="B1645" i="33" s="1"/>
  <c r="C1828" i="33"/>
  <c r="B1828" i="33" s="1"/>
  <c r="P64" i="11"/>
  <c r="C1889" i="33" s="1"/>
  <c r="B1889" i="33" s="1"/>
  <c r="S64" i="11"/>
  <c r="C2011" i="33" s="1"/>
  <c r="M23" i="25"/>
  <c r="C1557" i="33"/>
  <c r="B1557" i="33" s="1"/>
  <c r="S52" i="31"/>
  <c r="C1938" i="33" s="1"/>
  <c r="B1938" i="33" s="1"/>
  <c r="AB80" i="11"/>
  <c r="AE80" i="11"/>
  <c r="C6" i="20"/>
  <c r="J12" i="41"/>
  <c r="C2709" i="33" s="1"/>
  <c r="B2709" i="33" s="1"/>
  <c r="L6" i="41"/>
  <c r="C2713" i="33" s="1"/>
  <c r="B2713" i="33" s="1"/>
  <c r="C2703" i="33"/>
  <c r="B2703" i="33" s="1"/>
  <c r="E6" i="41"/>
  <c r="C2684" i="33"/>
  <c r="B2684" i="33" s="1"/>
  <c r="D2668" i="33"/>
  <c r="C3" i="41"/>
  <c r="B10" i="41"/>
  <c r="D2667" i="33"/>
  <c r="C2683" i="33"/>
  <c r="B2683" i="33" s="1"/>
  <c r="E5" i="41"/>
  <c r="C2307" i="33"/>
  <c r="B2307" i="33" s="1"/>
  <c r="AB55" i="11"/>
  <c r="C2368" i="33" s="1"/>
  <c r="B2368" i="33" s="1"/>
  <c r="AE55" i="11"/>
  <c r="C2490" i="33" s="1"/>
  <c r="B2490" i="33" s="1"/>
  <c r="C2056" i="33"/>
  <c r="B2056" i="33" s="1"/>
  <c r="Y47" i="11"/>
  <c r="C2239" i="33" s="1"/>
  <c r="B2239" i="33" s="1"/>
  <c r="V47" i="11"/>
  <c r="C2117" i="33" s="1"/>
  <c r="C2024" i="33"/>
  <c r="B2024" i="33" s="1"/>
  <c r="Y13" i="11"/>
  <c r="C2207" i="33" s="1"/>
  <c r="V13" i="11"/>
  <c r="C2085" i="33" s="1"/>
  <c r="B2085" i="33" s="1"/>
  <c r="O58" i="25"/>
  <c r="C1702" i="33"/>
  <c r="B1702" i="33" s="1"/>
  <c r="C1785" i="33"/>
  <c r="B1785" i="33" s="1"/>
  <c r="S18" i="11"/>
  <c r="C1968" i="33" s="1"/>
  <c r="B1968" i="33" s="1"/>
  <c r="P18" i="11"/>
  <c r="C2053" i="33"/>
  <c r="B2053" i="33" s="1"/>
  <c r="Y44" i="11"/>
  <c r="C2236" i="33" s="1"/>
  <c r="V44" i="11"/>
  <c r="C2114" i="33" s="1"/>
  <c r="B2114" i="33" s="1"/>
  <c r="C2261" i="33"/>
  <c r="B2261" i="33" s="1"/>
  <c r="AE6" i="11"/>
  <c r="C2444" i="33" s="1"/>
  <c r="B2444" i="33" s="1"/>
  <c r="AB6" i="11"/>
  <c r="C2322" i="33" s="1"/>
  <c r="B2322" i="33" s="1"/>
  <c r="I29" i="25"/>
  <c r="C1406" i="33"/>
  <c r="B1406" i="33" s="1"/>
  <c r="I22" i="25"/>
  <c r="C1400" i="33"/>
  <c r="B1400" i="33" s="1"/>
  <c r="C1783" i="33"/>
  <c r="B1783" i="33" s="1"/>
  <c r="S16" i="11"/>
  <c r="C1966" i="33" s="1"/>
  <c r="P16" i="11"/>
  <c r="C1807" i="33"/>
  <c r="B1807" i="33" s="1"/>
  <c r="S42" i="11"/>
  <c r="C1990" i="33" s="1"/>
  <c r="B1990" i="33" s="1"/>
  <c r="P42" i="11"/>
  <c r="C1868" i="33" s="1"/>
  <c r="S58" i="25"/>
  <c r="C1758" i="33"/>
  <c r="B1758" i="33" s="1"/>
  <c r="C2272" i="33"/>
  <c r="B2272" i="33" s="1"/>
  <c r="AE17" i="11"/>
  <c r="C2455" i="33" s="1"/>
  <c r="B2455" i="33" s="1"/>
  <c r="AB17" i="11"/>
  <c r="C2333" i="33" s="1"/>
  <c r="B2333" i="33" s="1"/>
  <c r="E75" i="25"/>
  <c r="C1476" i="33"/>
  <c r="B1476" i="33" s="1"/>
  <c r="C22" i="25"/>
  <c r="C1304" i="33"/>
  <c r="B1304" i="33" s="1"/>
  <c r="C2045" i="33"/>
  <c r="B2045" i="33" s="1"/>
  <c r="Y35" i="11"/>
  <c r="C2228" i="33" s="1"/>
  <c r="B2228" i="33" s="1"/>
  <c r="V35" i="11"/>
  <c r="C2106" i="33" s="1"/>
  <c r="Q16" i="25"/>
  <c r="C1605" i="33"/>
  <c r="B1605" i="33" s="1"/>
  <c r="O34" i="25"/>
  <c r="O6" i="25" s="1"/>
  <c r="C1600" i="33"/>
  <c r="B1600" i="33" s="1"/>
  <c r="G70" i="25"/>
  <c r="C1502" i="33"/>
  <c r="B1502" i="33" s="1"/>
  <c r="O23" i="25"/>
  <c r="C1586" i="33"/>
  <c r="B1586" i="33" s="1"/>
  <c r="C1782" i="33"/>
  <c r="B1782" i="33" s="1"/>
  <c r="S15" i="11"/>
  <c r="C1965" i="33" s="1"/>
  <c r="P15" i="11"/>
  <c r="C1843" i="33" s="1"/>
  <c r="B1843" i="33" s="1"/>
  <c r="C2043" i="33"/>
  <c r="B2043" i="33" s="1"/>
  <c r="V33" i="11"/>
  <c r="C2104" i="33" s="1"/>
  <c r="Y33" i="11"/>
  <c r="C2226" i="33" s="1"/>
  <c r="C2074" i="33"/>
  <c r="B2074" i="33" s="1"/>
  <c r="V66" i="11"/>
  <c r="C2135" i="33" s="1"/>
  <c r="Y66" i="11"/>
  <c r="C2257" i="33" s="1"/>
  <c r="S13" i="25"/>
  <c r="C1631" i="33"/>
  <c r="B1631" i="33" s="1"/>
  <c r="C2051" i="33"/>
  <c r="B2051" i="33" s="1"/>
  <c r="V42" i="11"/>
  <c r="C2112" i="33" s="1"/>
  <c r="B2112" i="33" s="1"/>
  <c r="Y42" i="11"/>
  <c r="C2234" i="33" s="1"/>
  <c r="I13" i="25"/>
  <c r="C1388" i="33"/>
  <c r="B1388" i="33" s="1"/>
  <c r="C1801" i="33"/>
  <c r="B1801" i="33" s="1"/>
  <c r="S35" i="11"/>
  <c r="C1984" i="33" s="1"/>
  <c r="P35" i="11"/>
  <c r="C1862" i="33" s="1"/>
  <c r="B1862" i="33" s="1"/>
  <c r="I64" i="25"/>
  <c r="P79" i="11"/>
  <c r="S79" i="11"/>
  <c r="C2308" i="33"/>
  <c r="B2308" i="33" s="1"/>
  <c r="AE56" i="11"/>
  <c r="C2491" i="33" s="1"/>
  <c r="B2491" i="33" s="1"/>
  <c r="AB56" i="11"/>
  <c r="C2369" i="33" s="1"/>
  <c r="B2369" i="33" s="1"/>
  <c r="E40" i="25"/>
  <c r="E5" i="25" s="1"/>
  <c r="C1353" i="33"/>
  <c r="B1353" i="33" s="1"/>
  <c r="C2072" i="33"/>
  <c r="B2072" i="33" s="1"/>
  <c r="Y64" i="11"/>
  <c r="C2255" i="33" s="1"/>
  <c r="B2255" i="33" s="1"/>
  <c r="V64" i="11"/>
  <c r="C2133" i="33" s="1"/>
  <c r="C1821" i="33"/>
  <c r="B1821" i="33" s="1"/>
  <c r="S57" i="11"/>
  <c r="C2004" i="33" s="1"/>
  <c r="P57" i="11"/>
  <c r="C1882" i="33" s="1"/>
  <c r="C2060" i="33"/>
  <c r="B2060" i="33" s="1"/>
  <c r="V51" i="11"/>
  <c r="C2121" i="33" s="1"/>
  <c r="B2121" i="33" s="1"/>
  <c r="Y51" i="11"/>
  <c r="C2243" i="33" s="1"/>
  <c r="B2243" i="33" s="1"/>
  <c r="O33" i="25"/>
  <c r="O5" i="25" s="1"/>
  <c r="C1599" i="33"/>
  <c r="B1599" i="33" s="1"/>
  <c r="P73" i="11"/>
  <c r="S73" i="11"/>
  <c r="S74" i="11"/>
  <c r="P74" i="11"/>
  <c r="Q18" i="25"/>
  <c r="C1607" i="33"/>
  <c r="B1607" i="33" s="1"/>
  <c r="C2042" i="33"/>
  <c r="B2042" i="33" s="1"/>
  <c r="V32" i="11"/>
  <c r="C2103" i="33" s="1"/>
  <c r="Y32" i="11"/>
  <c r="C2225" i="33" s="1"/>
  <c r="B2225" i="33" s="1"/>
  <c r="C2040" i="33"/>
  <c r="B2040" i="33" s="1"/>
  <c r="Y30" i="11"/>
  <c r="C2223" i="33" s="1"/>
  <c r="V30" i="11"/>
  <c r="C2101" i="33" s="1"/>
  <c r="C1789" i="33"/>
  <c r="B1789" i="33" s="1"/>
  <c r="S23" i="11"/>
  <c r="C1972" i="33" s="1"/>
  <c r="B1972" i="33" s="1"/>
  <c r="P23" i="11"/>
  <c r="C1850" i="33" s="1"/>
  <c r="B1850" i="33" s="1"/>
  <c r="G56" i="25"/>
  <c r="C1494" i="33"/>
  <c r="B1494" i="33" s="1"/>
  <c r="C2016" i="33"/>
  <c r="B2016" i="33" s="1"/>
  <c r="Y5" i="11"/>
  <c r="C2199" i="33" s="1"/>
  <c r="V5" i="11"/>
  <c r="C2077" i="33" s="1"/>
  <c r="S17" i="25"/>
  <c r="C1635" i="33"/>
  <c r="B1635" i="33" s="1"/>
  <c r="C2296" i="33"/>
  <c r="B2296" i="33" s="1"/>
  <c r="AE43" i="11"/>
  <c r="C2479" i="33" s="1"/>
  <c r="B2479" i="33" s="1"/>
  <c r="AB43" i="11"/>
  <c r="C2357" i="33" s="1"/>
  <c r="B2357" i="33" s="1"/>
  <c r="G57" i="25"/>
  <c r="C1495" i="33"/>
  <c r="B1495" i="33" s="1"/>
  <c r="C20" i="25"/>
  <c r="C1302" i="33"/>
  <c r="B1302" i="33" s="1"/>
  <c r="C2029" i="33"/>
  <c r="B2029" i="33" s="1"/>
  <c r="Y18" i="11"/>
  <c r="C2212" i="33" s="1"/>
  <c r="B2212" i="33" s="1"/>
  <c r="V18" i="11"/>
  <c r="C2090" i="33" s="1"/>
  <c r="I51" i="25"/>
  <c r="C1517" i="33"/>
  <c r="B1517" i="33" s="1"/>
  <c r="G75" i="25"/>
  <c r="C1507" i="33"/>
  <c r="B1507" i="33" s="1"/>
  <c r="G67" i="25"/>
  <c r="C1499" i="33"/>
  <c r="B1499" i="33" s="1"/>
  <c r="M53" i="25"/>
  <c r="C1666" i="33"/>
  <c r="B1666" i="33" s="1"/>
  <c r="C2061" i="33"/>
  <c r="B2061" i="33" s="1"/>
  <c r="Y52" i="11"/>
  <c r="C2244" i="33" s="1"/>
  <c r="V52" i="11"/>
  <c r="C2122" i="33" s="1"/>
  <c r="C1774" i="33"/>
  <c r="B1774" i="33" s="1"/>
  <c r="S7" i="11"/>
  <c r="C1957" i="33" s="1"/>
  <c r="B1957" i="33" s="1"/>
  <c r="P7" i="11"/>
  <c r="C1835" i="33" s="1"/>
  <c r="B1835" i="33" s="1"/>
  <c r="E53" i="25"/>
  <c r="C1460" i="33"/>
  <c r="B1460" i="33" s="1"/>
  <c r="C72" i="25"/>
  <c r="C1442" i="33"/>
  <c r="B1442" i="33" s="1"/>
  <c r="C2292" i="33"/>
  <c r="B2292" i="33" s="1"/>
  <c r="AB39" i="11"/>
  <c r="C2353" i="33" s="1"/>
  <c r="B2353" i="33" s="1"/>
  <c r="AE39" i="11"/>
  <c r="C2475" i="33" s="1"/>
  <c r="B2475" i="33" s="1"/>
  <c r="C1805" i="33"/>
  <c r="B1805" i="33" s="1"/>
  <c r="S40" i="11"/>
  <c r="C1988" i="33" s="1"/>
  <c r="B1988" i="33" s="1"/>
  <c r="P40" i="11"/>
  <c r="C1866" i="33" s="1"/>
  <c r="C1788" i="33"/>
  <c r="B1788" i="33" s="1"/>
  <c r="S22" i="11"/>
  <c r="C1971" i="33" s="1"/>
  <c r="P22" i="11"/>
  <c r="C1849" i="33" s="1"/>
  <c r="E57" i="25"/>
  <c r="C1464" i="33"/>
  <c r="B1464" i="33" s="1"/>
  <c r="E30" i="25"/>
  <c r="C1343" i="33"/>
  <c r="B1343" i="33" s="1"/>
  <c r="C1792" i="33"/>
  <c r="B1792" i="33" s="1"/>
  <c r="S26" i="11"/>
  <c r="C1975" i="33" s="1"/>
  <c r="P26" i="11"/>
  <c r="C1853" i="33" s="1"/>
  <c r="E50" i="25"/>
  <c r="C1454" i="33"/>
  <c r="B1454" i="33" s="1"/>
  <c r="C2278" i="33"/>
  <c r="B2278" i="33" s="1"/>
  <c r="AE24" i="11"/>
  <c r="C2461" i="33" s="1"/>
  <c r="B2461" i="33" s="1"/>
  <c r="AB24" i="11"/>
  <c r="C2339" i="33" s="1"/>
  <c r="B2339" i="33" s="1"/>
  <c r="P80" i="11"/>
  <c r="S80" i="11"/>
  <c r="O69" i="25"/>
  <c r="C1712" i="33"/>
  <c r="B1712" i="33" s="1"/>
  <c r="S22" i="25"/>
  <c r="C1643" i="33"/>
  <c r="B1643" i="33" s="1"/>
  <c r="I33" i="25"/>
  <c r="C1410" i="33"/>
  <c r="B1410" i="33" s="1"/>
  <c r="C2314" i="33"/>
  <c r="B2314" i="33" s="1"/>
  <c r="AB62" i="11"/>
  <c r="C2375" i="33" s="1"/>
  <c r="B2375" i="33" s="1"/>
  <c r="AE62" i="11"/>
  <c r="C2497" i="33" s="1"/>
  <c r="B2497" i="33" s="1"/>
  <c r="O56" i="25"/>
  <c r="C1700" i="33"/>
  <c r="B1700" i="33" s="1"/>
  <c r="C2294" i="33"/>
  <c r="B2294" i="33" s="1"/>
  <c r="AE41" i="11"/>
  <c r="C2477" i="33" s="1"/>
  <c r="B2477" i="33" s="1"/>
  <c r="AB41" i="11"/>
  <c r="C2355" i="33" s="1"/>
  <c r="B2355" i="33" s="1"/>
  <c r="G55" i="25"/>
  <c r="C1493" i="33"/>
  <c r="B1493" i="33" s="1"/>
  <c r="S78" i="11"/>
  <c r="P78" i="11"/>
  <c r="Q55" i="25"/>
  <c r="C1727" i="33"/>
  <c r="B1727" i="33" s="1"/>
  <c r="E36" i="25"/>
  <c r="C1349" i="33"/>
  <c r="B1349" i="33" s="1"/>
  <c r="O68" i="25"/>
  <c r="C1711" i="33"/>
  <c r="B1711" i="33" s="1"/>
  <c r="O54" i="25"/>
  <c r="C1695" i="33"/>
  <c r="B1695" i="33" s="1"/>
  <c r="C70" i="25"/>
  <c r="C1440" i="33"/>
  <c r="B1440" i="33" s="1"/>
  <c r="Q67" i="25"/>
  <c r="C1738" i="33"/>
  <c r="B1738" i="33" s="1"/>
  <c r="Q52" i="25"/>
  <c r="C1721" i="33"/>
  <c r="B1721" i="33" s="1"/>
  <c r="I26" i="25"/>
  <c r="C1403" i="33"/>
  <c r="B1403" i="33" s="1"/>
  <c r="Q53" i="25"/>
  <c r="C1722" i="33"/>
  <c r="B1722" i="33" s="1"/>
  <c r="V75" i="11"/>
  <c r="Y75" i="11"/>
  <c r="R58" i="25"/>
  <c r="C25" i="25"/>
  <c r="C1306" i="33"/>
  <c r="B1306" i="33" s="1"/>
  <c r="E29" i="25"/>
  <c r="C1342" i="33"/>
  <c r="B1342" i="33" s="1"/>
  <c r="G30" i="25"/>
  <c r="C1375" i="33"/>
  <c r="B1375" i="33" s="1"/>
  <c r="G15" i="25"/>
  <c r="C1358" i="33"/>
  <c r="B1358" i="33" s="1"/>
  <c r="E73" i="25"/>
  <c r="C1474" i="33"/>
  <c r="B1474" i="33" s="1"/>
  <c r="E17" i="25"/>
  <c r="C1328" i="33"/>
  <c r="B1328" i="33" s="1"/>
  <c r="C41" i="25"/>
  <c r="C6" i="25" s="1"/>
  <c r="C1322" i="33"/>
  <c r="B1322" i="33" s="1"/>
  <c r="E65" i="25"/>
  <c r="C1466" i="33"/>
  <c r="B1466" i="33" s="1"/>
  <c r="I41" i="25"/>
  <c r="I6" i="25" s="1"/>
  <c r="C1418" i="33"/>
  <c r="B1418" i="33" s="1"/>
  <c r="C2025" i="33"/>
  <c r="B2025" i="33" s="1"/>
  <c r="V14" i="11"/>
  <c r="C2086" i="33" s="1"/>
  <c r="Y14" i="11"/>
  <c r="C2208" i="33" s="1"/>
  <c r="B2208" i="33" s="1"/>
  <c r="E31" i="25"/>
  <c r="C1344" i="33"/>
  <c r="B1344" i="33" s="1"/>
  <c r="E16" i="25"/>
  <c r="C1327" i="33"/>
  <c r="B1327" i="33" s="1"/>
  <c r="Q29" i="25"/>
  <c r="C1624" i="33"/>
  <c r="B1624" i="33" s="1"/>
  <c r="Q20" i="25"/>
  <c r="C1609" i="33"/>
  <c r="B1609" i="33" s="1"/>
  <c r="O67" i="25"/>
  <c r="C1710" i="33"/>
  <c r="B1710" i="33" s="1"/>
  <c r="O71" i="25"/>
  <c r="C1714" i="33"/>
  <c r="B1714" i="33" s="1"/>
  <c r="Q30" i="25"/>
  <c r="C1625" i="33"/>
  <c r="B1625" i="33" s="1"/>
  <c r="M69" i="25"/>
  <c r="C1684" i="33"/>
  <c r="B1684" i="33" s="1"/>
  <c r="M31" i="25"/>
  <c r="C1568" i="33"/>
  <c r="B1568" i="33" s="1"/>
  <c r="C2797" i="33"/>
  <c r="B2797" i="33" s="1"/>
  <c r="E22" i="20"/>
  <c r="C2813" i="33" s="1"/>
  <c r="B2813" i="33" s="1"/>
  <c r="P72" i="11"/>
  <c r="S72" i="11"/>
  <c r="Y80" i="11"/>
  <c r="V80" i="11"/>
  <c r="AB81" i="11"/>
  <c r="AE81" i="11"/>
  <c r="M67" i="25"/>
  <c r="C1682" i="33"/>
  <c r="B1682" i="33" s="1"/>
  <c r="P81" i="11"/>
  <c r="S81" i="11"/>
  <c r="C2073" i="33"/>
  <c r="B2073" i="33" s="1"/>
  <c r="Y65" i="11"/>
  <c r="C2256" i="33" s="1"/>
  <c r="B2256" i="33" s="1"/>
  <c r="V65" i="11"/>
  <c r="C2134" i="33" s="1"/>
  <c r="B2134" i="33" s="1"/>
  <c r="I27" i="25"/>
  <c r="C1404" i="33"/>
  <c r="B1404" i="33" s="1"/>
  <c r="V77" i="11"/>
  <c r="Y77" i="11"/>
  <c r="M29" i="25"/>
  <c r="C1566" i="33"/>
  <c r="B1566" i="33" s="1"/>
  <c r="I40" i="25"/>
  <c r="I5" i="25" s="1"/>
  <c r="C1417" i="33"/>
  <c r="B1417" i="33" s="1"/>
  <c r="I25" i="25"/>
  <c r="C1402" i="33"/>
  <c r="B1402" i="33" s="1"/>
  <c r="C2022" i="33"/>
  <c r="B2022" i="33" s="1"/>
  <c r="Y11" i="11"/>
  <c r="C2205" i="33" s="1"/>
  <c r="V11" i="11"/>
  <c r="C2083" i="33" s="1"/>
  <c r="C2269" i="33"/>
  <c r="B2269" i="33" s="1"/>
  <c r="AE14" i="11"/>
  <c r="C2452" i="33" s="1"/>
  <c r="B2452" i="33" s="1"/>
  <c r="AB14" i="11"/>
  <c r="C2330" i="33" s="1"/>
  <c r="B2330" i="33" s="1"/>
  <c r="E66" i="25"/>
  <c r="C1467" i="33"/>
  <c r="B1467" i="33" s="1"/>
  <c r="I16" i="25"/>
  <c r="C1391" i="33"/>
  <c r="B1391" i="33" s="1"/>
  <c r="C2055" i="33"/>
  <c r="B2055" i="33" s="1"/>
  <c r="Y46" i="11"/>
  <c r="C2238" i="33" s="1"/>
  <c r="V46" i="11"/>
  <c r="C2116" i="33" s="1"/>
  <c r="B2116" i="33" s="1"/>
  <c r="C31" i="25"/>
  <c r="C1312" i="33"/>
  <c r="B1312" i="33" s="1"/>
  <c r="G21" i="25"/>
  <c r="C1367" i="33"/>
  <c r="B1367" i="33" s="1"/>
  <c r="Q15" i="25"/>
  <c r="C1604" i="33"/>
  <c r="B1604" i="33" s="1"/>
  <c r="O24" i="25"/>
  <c r="O4" i="25" s="1"/>
  <c r="C1587" i="33"/>
  <c r="B1587" i="33" s="1"/>
  <c r="O48" i="25"/>
  <c r="C1689" i="33"/>
  <c r="B1689" i="33" s="1"/>
  <c r="C1773" i="33"/>
  <c r="B1773" i="33" s="1"/>
  <c r="S6" i="11"/>
  <c r="C1956" i="33" s="1"/>
  <c r="B1956" i="33" s="1"/>
  <c r="P6" i="11"/>
  <c r="C2023" i="33"/>
  <c r="B2023" i="33" s="1"/>
  <c r="Y12" i="11"/>
  <c r="C2206" i="33" s="1"/>
  <c r="V12" i="11"/>
  <c r="C2084" i="33" s="1"/>
  <c r="B2084" i="33" s="1"/>
  <c r="O49" i="25"/>
  <c r="C1690" i="33"/>
  <c r="B1690" i="33" s="1"/>
  <c r="E79" i="25"/>
  <c r="C1480" i="33"/>
  <c r="B1480" i="33" s="1"/>
  <c r="I75" i="25"/>
  <c r="C1538" i="33"/>
  <c r="B1538" i="33" s="1"/>
  <c r="C1818" i="33"/>
  <c r="B1818" i="33" s="1"/>
  <c r="S53" i="11"/>
  <c r="C2001" i="33" s="1"/>
  <c r="B2001" i="33" s="1"/>
  <c r="P53" i="11"/>
  <c r="C1879" i="33" s="1"/>
  <c r="B1879" i="33" s="1"/>
  <c r="Y81" i="11"/>
  <c r="V81" i="11"/>
  <c r="Q69" i="25"/>
  <c r="C1740" i="33"/>
  <c r="B1740" i="33" s="1"/>
  <c r="Q56" i="25"/>
  <c r="C1728" i="33"/>
  <c r="B1728" i="33" s="1"/>
  <c r="S32" i="25"/>
  <c r="C1656" i="33"/>
  <c r="B1656" i="33" s="1"/>
  <c r="AE71" i="11"/>
  <c r="AB71" i="11"/>
  <c r="M24" i="25"/>
  <c r="M4" i="25" s="1"/>
  <c r="C2504" i="33"/>
  <c r="B2504" i="33" s="1"/>
  <c r="C1558" i="33"/>
  <c r="B1558" i="33" s="1"/>
  <c r="C2065" i="33"/>
  <c r="B2065" i="33" s="1"/>
  <c r="Y57" i="11"/>
  <c r="C2248" i="33" s="1"/>
  <c r="B2248" i="33" s="1"/>
  <c r="V57" i="11"/>
  <c r="C2126" i="33" s="1"/>
  <c r="B2126" i="33" s="1"/>
  <c r="Y70" i="11"/>
  <c r="V70" i="11"/>
  <c r="C2050" i="33"/>
  <c r="B2050" i="33" s="1"/>
  <c r="V41" i="11"/>
  <c r="C2111" i="33" s="1"/>
  <c r="Y41" i="11"/>
  <c r="C2233" i="33" s="1"/>
  <c r="E76" i="25"/>
  <c r="C1477" i="33"/>
  <c r="B1477" i="33" s="1"/>
  <c r="G74" i="25"/>
  <c r="C1506" i="33"/>
  <c r="B1506" i="33" s="1"/>
  <c r="C67" i="25"/>
  <c r="C1437" i="33"/>
  <c r="B1437" i="33" s="1"/>
  <c r="C2271" i="33"/>
  <c r="B2271" i="33" s="1"/>
  <c r="AE16" i="11"/>
  <c r="C2454" i="33" s="1"/>
  <c r="B2454" i="33" s="1"/>
  <c r="AB16" i="11"/>
  <c r="C2332" i="33" s="1"/>
  <c r="B2332" i="33" s="1"/>
  <c r="C1777" i="33"/>
  <c r="B1777" i="33" s="1"/>
  <c r="S10" i="11"/>
  <c r="C1960" i="33" s="1"/>
  <c r="P10" i="11"/>
  <c r="C1838" i="33" s="1"/>
  <c r="B1838" i="33" s="1"/>
  <c r="G47" i="25"/>
  <c r="C1482" i="33"/>
  <c r="B1482" i="33" s="1"/>
  <c r="S51" i="25"/>
  <c r="C1748" i="33"/>
  <c r="B1748" i="33" s="1"/>
  <c r="C1799" i="33"/>
  <c r="B1799" i="33" s="1"/>
  <c r="S33" i="11"/>
  <c r="C1982" i="33" s="1"/>
  <c r="B1982" i="33" s="1"/>
  <c r="P33" i="11"/>
  <c r="C1860" i="33" s="1"/>
  <c r="B1860" i="33" s="1"/>
  <c r="G49" i="25"/>
  <c r="C1484" i="33"/>
  <c r="B1484" i="33" s="1"/>
  <c r="I19" i="25"/>
  <c r="C1397" i="33"/>
  <c r="B1397" i="33" s="1"/>
  <c r="Q13" i="25"/>
  <c r="C1602" i="33"/>
  <c r="B1602" i="33" s="1"/>
  <c r="E15" i="25"/>
  <c r="C1326" i="33"/>
  <c r="B1326" i="33" s="1"/>
  <c r="C2285" i="33"/>
  <c r="B2285" i="33" s="1"/>
  <c r="AB31" i="11"/>
  <c r="C2346" i="33" s="1"/>
  <c r="B2346" i="33" s="1"/>
  <c r="AE31" i="11"/>
  <c r="C2468" i="33" s="1"/>
  <c r="B2468" i="33" s="1"/>
  <c r="C2277" i="33"/>
  <c r="B2277" i="33" s="1"/>
  <c r="AE23" i="11"/>
  <c r="C2460" i="33" s="1"/>
  <c r="B2460" i="33" s="1"/>
  <c r="AB23" i="11"/>
  <c r="C2338" i="33" s="1"/>
  <c r="B2338" i="33" s="1"/>
  <c r="G52" i="25"/>
  <c r="C1487" i="33"/>
  <c r="B1487" i="33" s="1"/>
  <c r="C1810" i="33"/>
  <c r="B1810" i="33" s="1"/>
  <c r="S45" i="11"/>
  <c r="C1993" i="33" s="1"/>
  <c r="P45" i="11"/>
  <c r="C1871" i="33" s="1"/>
  <c r="I78" i="25"/>
  <c r="C1541" i="33"/>
  <c r="B1541" i="33" s="1"/>
  <c r="C1794" i="33"/>
  <c r="B1794" i="33" s="1"/>
  <c r="P28" i="11"/>
  <c r="C1855" i="33" s="1"/>
  <c r="B1855" i="33" s="1"/>
  <c r="S28" i="11"/>
  <c r="C1977" i="33" s="1"/>
  <c r="I38" i="25"/>
  <c r="C1415" i="33"/>
  <c r="B1415" i="33" s="1"/>
  <c r="E39" i="25"/>
  <c r="C1352" i="33"/>
  <c r="B1352" i="33" s="1"/>
  <c r="C56" i="25"/>
  <c r="C1432" i="33"/>
  <c r="B1432" i="33" s="1"/>
  <c r="E28" i="25"/>
  <c r="C1341" i="33"/>
  <c r="B1341" i="33" s="1"/>
  <c r="I69" i="25"/>
  <c r="C1532" i="33"/>
  <c r="B1532" i="33" s="1"/>
  <c r="E12" i="25"/>
  <c r="C2276" i="33"/>
  <c r="B2276" i="33" s="1"/>
  <c r="AE22" i="11"/>
  <c r="C2459" i="33" s="1"/>
  <c r="B2459" i="33" s="1"/>
  <c r="AB22" i="11"/>
  <c r="C2337" i="33" s="1"/>
  <c r="B2337" i="33" s="1"/>
  <c r="S75" i="11"/>
  <c r="P75" i="11"/>
  <c r="C1827" i="33"/>
  <c r="B1827" i="33" s="1"/>
  <c r="S63" i="11"/>
  <c r="C2010" i="33" s="1"/>
  <c r="P63" i="11"/>
  <c r="C1888" i="33" s="1"/>
  <c r="B1888" i="33" s="1"/>
  <c r="C1815" i="33"/>
  <c r="B1815" i="33" s="1"/>
  <c r="S50" i="11"/>
  <c r="C1998" i="33" s="1"/>
  <c r="P50" i="11"/>
  <c r="C1876" i="33" s="1"/>
  <c r="C69" i="25"/>
  <c r="C1439" i="33"/>
  <c r="B1439" i="33" s="1"/>
  <c r="S55" i="25"/>
  <c r="C1755" i="33"/>
  <c r="B1755" i="33" s="1"/>
  <c r="C1804" i="33"/>
  <c r="B1804" i="33" s="1"/>
  <c r="P39" i="11"/>
  <c r="C1865" i="33" s="1"/>
  <c r="S39" i="11"/>
  <c r="C1987" i="33" s="1"/>
  <c r="C2270" i="33"/>
  <c r="B2270" i="33" s="1"/>
  <c r="AE15" i="11"/>
  <c r="C2453" i="33" s="1"/>
  <c r="B2453" i="33" s="1"/>
  <c r="AB15" i="11"/>
  <c r="C2331" i="33" s="1"/>
  <c r="B2331" i="33" s="1"/>
  <c r="P76" i="11"/>
  <c r="S76" i="11"/>
  <c r="C2058" i="33"/>
  <c r="B2058" i="33" s="1"/>
  <c r="V49" i="11"/>
  <c r="C2119" i="33" s="1"/>
  <c r="Y49" i="11"/>
  <c r="C2241" i="33" s="1"/>
  <c r="C74" i="25"/>
  <c r="C1444" i="33"/>
  <c r="B1444" i="33" s="1"/>
  <c r="S67" i="25"/>
  <c r="C1766" i="33"/>
  <c r="B1766" i="33" s="1"/>
  <c r="C2054" i="33"/>
  <c r="B2054" i="33" s="1"/>
  <c r="Y45" i="11"/>
  <c r="C2237" i="33" s="1"/>
  <c r="B2237" i="33" s="1"/>
  <c r="V45" i="11"/>
  <c r="C2115" i="33" s="1"/>
  <c r="E26" i="25"/>
  <c r="C1339" i="33"/>
  <c r="B1339" i="33" s="1"/>
  <c r="M50" i="25"/>
  <c r="C1663" i="33"/>
  <c r="B1663" i="33" s="1"/>
  <c r="I56" i="25"/>
  <c r="C1525" i="33"/>
  <c r="B1525" i="33" s="1"/>
  <c r="Q49" i="25"/>
  <c r="C1718" i="33"/>
  <c r="B1718" i="33" s="1"/>
  <c r="N58" i="25"/>
  <c r="G22" i="25"/>
  <c r="C1368" i="33"/>
  <c r="B1368" i="33" s="1"/>
  <c r="C2266" i="33"/>
  <c r="B2266" i="33" s="1"/>
  <c r="AB11" i="11"/>
  <c r="C2327" i="33" s="1"/>
  <c r="B2327" i="33" s="1"/>
  <c r="AE11" i="11"/>
  <c r="C2449" i="33" s="1"/>
  <c r="B2449" i="33" s="1"/>
  <c r="I67" i="25"/>
  <c r="C1530" i="33"/>
  <c r="B1530" i="33" s="1"/>
  <c r="G13" i="25"/>
  <c r="C1356" i="33"/>
  <c r="B1356" i="33" s="1"/>
  <c r="C1791" i="33"/>
  <c r="B1791" i="33" s="1"/>
  <c r="S25" i="11"/>
  <c r="C1974" i="33" s="1"/>
  <c r="P25" i="11"/>
  <c r="C1852" i="33" s="1"/>
  <c r="B1852" i="33" s="1"/>
  <c r="C13" i="25"/>
  <c r="C1292" i="33"/>
  <c r="B1292" i="33" s="1"/>
  <c r="C79" i="25"/>
  <c r="C1449" i="33"/>
  <c r="B1449" i="33" s="1"/>
  <c r="I57" i="25"/>
  <c r="C1526" i="33"/>
  <c r="B1526" i="33" s="1"/>
  <c r="E37" i="25"/>
  <c r="C1350" i="33"/>
  <c r="B1350" i="33" s="1"/>
  <c r="C2290" i="33"/>
  <c r="B2290" i="33" s="1"/>
  <c r="AB36" i="11"/>
  <c r="C2351" i="33" s="1"/>
  <c r="B2351" i="33" s="1"/>
  <c r="AE36" i="11"/>
  <c r="C2473" i="33" s="1"/>
  <c r="B2473" i="33" s="1"/>
  <c r="G29" i="25"/>
  <c r="C1374" i="33"/>
  <c r="B1374" i="33" s="1"/>
  <c r="C2017" i="33"/>
  <c r="B2017" i="33" s="1"/>
  <c r="V6" i="11"/>
  <c r="C2078" i="33" s="1"/>
  <c r="B2078" i="33" s="1"/>
  <c r="Y6" i="11"/>
  <c r="C2200" i="33" s="1"/>
  <c r="B2200" i="33" s="1"/>
  <c r="Q28" i="25"/>
  <c r="C1621" i="33"/>
  <c r="B1621" i="33" s="1"/>
  <c r="S16" i="25"/>
  <c r="C1634" i="33"/>
  <c r="B1634" i="33" s="1"/>
  <c r="M28" i="25"/>
  <c r="C1563" i="33"/>
  <c r="B1563" i="33" s="1"/>
  <c r="O28" i="25"/>
  <c r="C1592" i="33"/>
  <c r="B1592" i="33" s="1"/>
  <c r="S70" i="25"/>
  <c r="C1769" i="33"/>
  <c r="B1769" i="33" s="1"/>
  <c r="Q17" i="25"/>
  <c r="C1606" i="33"/>
  <c r="B1606" i="33" s="1"/>
  <c r="M68" i="25"/>
  <c r="C1683" i="33"/>
  <c r="B1683" i="33" s="1"/>
  <c r="S52" i="25"/>
  <c r="C1749" i="33"/>
  <c r="B1749" i="33" s="1"/>
  <c r="Q26" i="25"/>
  <c r="C1617" i="33"/>
  <c r="B1617" i="33" s="1"/>
  <c r="Q21" i="25"/>
  <c r="C1613" i="33"/>
  <c r="B1613" i="33" s="1"/>
  <c r="M16" i="25"/>
  <c r="C1547" i="33"/>
  <c r="B1547" i="33" s="1"/>
  <c r="O13" i="25"/>
  <c r="C1573" i="33"/>
  <c r="B1573" i="33" s="1"/>
  <c r="AE82" i="11"/>
  <c r="AB82" i="11"/>
  <c r="S70" i="11"/>
  <c r="P70" i="11"/>
  <c r="V76" i="11"/>
  <c r="Y76" i="11"/>
  <c r="C2704" i="33"/>
  <c r="B2704" i="33" s="1"/>
  <c r="L7" i="41"/>
  <c r="C2714" i="33" s="1"/>
  <c r="B2714" i="33" s="1"/>
  <c r="M54" i="25"/>
  <c r="C1667" i="33"/>
  <c r="B1667" i="33" s="1"/>
  <c r="C2682" i="33"/>
  <c r="B2682" i="33" s="1"/>
  <c r="D2666" i="33"/>
  <c r="E4" i="41"/>
  <c r="C2700" i="33"/>
  <c r="B2700" i="33" s="1"/>
  <c r="J10" i="41"/>
  <c r="L3" i="41"/>
  <c r="C2710" i="33" s="1"/>
  <c r="B2710" i="33" s="1"/>
  <c r="Y71" i="11"/>
  <c r="V71" i="11"/>
  <c r="C2295" i="33"/>
  <c r="B2295" i="33" s="1"/>
  <c r="AE42" i="11"/>
  <c r="C2478" i="33" s="1"/>
  <c r="B2478" i="33" s="1"/>
  <c r="AB42" i="11"/>
  <c r="C2356" i="33" s="1"/>
  <c r="B2356" i="33" s="1"/>
  <c r="C1813" i="33"/>
  <c r="B1813" i="33" s="1"/>
  <c r="S48" i="11"/>
  <c r="C1996" i="33" s="1"/>
  <c r="P48" i="11"/>
  <c r="C1874" i="33" s="1"/>
  <c r="B1874" i="33" s="1"/>
  <c r="G51" i="25"/>
  <c r="C1486" i="33"/>
  <c r="B1486" i="33" s="1"/>
  <c r="V69" i="11"/>
  <c r="Y69" i="11"/>
  <c r="C2291" i="33"/>
  <c r="B2291" i="33" s="1"/>
  <c r="AB38" i="11"/>
  <c r="C2352" i="33" s="1"/>
  <c r="B2352" i="33" s="1"/>
  <c r="AE38" i="11"/>
  <c r="C2474" i="33" s="1"/>
  <c r="B2474" i="33" s="1"/>
  <c r="Y74" i="11"/>
  <c r="V74" i="11"/>
  <c r="C2263" i="33"/>
  <c r="B2263" i="33" s="1"/>
  <c r="AE8" i="11"/>
  <c r="C2446" i="33" s="1"/>
  <c r="B2446" i="33" s="1"/>
  <c r="AB8" i="11"/>
  <c r="C2324" i="33" s="1"/>
  <c r="B2324" i="33" s="1"/>
  <c r="M14" i="25"/>
  <c r="C1545" i="33"/>
  <c r="B1545" i="33" s="1"/>
  <c r="I70" i="25"/>
  <c r="C1533" i="33"/>
  <c r="B1533" i="33" s="1"/>
  <c r="I66" i="25"/>
  <c r="C1529" i="33"/>
  <c r="B1529" i="33" s="1"/>
  <c r="C1796" i="33"/>
  <c r="B1796" i="33" s="1"/>
  <c r="S30" i="11"/>
  <c r="C1979" i="33" s="1"/>
  <c r="P30" i="11"/>
  <c r="C1857" i="33" s="1"/>
  <c r="O65" i="25"/>
  <c r="C1704" i="33"/>
  <c r="B1704" i="33" s="1"/>
  <c r="C2293" i="33"/>
  <c r="B2293" i="33" s="1"/>
  <c r="AE40" i="11"/>
  <c r="C2476" i="33" s="1"/>
  <c r="B2476" i="33" s="1"/>
  <c r="AB40" i="11"/>
  <c r="C2354" i="33" s="1"/>
  <c r="B2354" i="33" s="1"/>
  <c r="G76" i="25"/>
  <c r="C1508" i="33"/>
  <c r="B1508" i="33" s="1"/>
  <c r="E41" i="25"/>
  <c r="E6" i="25" s="1"/>
  <c r="C1354" i="33"/>
  <c r="B1354" i="33" s="1"/>
  <c r="C2289" i="33"/>
  <c r="B2289" i="33" s="1"/>
  <c r="AE35" i="11"/>
  <c r="C2472" i="33" s="1"/>
  <c r="B2472" i="33" s="1"/>
  <c r="AB35" i="11"/>
  <c r="C2350" i="33" s="1"/>
  <c r="B2350" i="33" s="1"/>
  <c r="M52" i="25"/>
  <c r="C1665" i="33"/>
  <c r="B1665" i="33" s="1"/>
  <c r="C2267" i="33"/>
  <c r="B2267" i="33" s="1"/>
  <c r="AB12" i="11"/>
  <c r="C2328" i="33" s="1"/>
  <c r="B2328" i="33" s="1"/>
  <c r="AE12" i="11"/>
  <c r="C2450" i="33" s="1"/>
  <c r="B2450" i="33" s="1"/>
  <c r="C1790" i="33"/>
  <c r="B1790" i="33" s="1"/>
  <c r="S24" i="11"/>
  <c r="C1973" i="33" s="1"/>
  <c r="B1973" i="33" s="1"/>
  <c r="P24" i="11"/>
  <c r="C1851" i="33" s="1"/>
  <c r="I23" i="25"/>
  <c r="I4" i="25" s="1"/>
  <c r="C1401" i="33"/>
  <c r="B1401" i="33" s="1"/>
  <c r="C1775" i="33"/>
  <c r="B1775" i="33" s="1"/>
  <c r="S8" i="11"/>
  <c r="C1958" i="33" s="1"/>
  <c r="P8" i="11"/>
  <c r="C1836" i="33" s="1"/>
  <c r="B1836" i="33" s="1"/>
  <c r="S27" i="25"/>
  <c r="C1647" i="33"/>
  <c r="B1647" i="33" s="1"/>
  <c r="C37" i="25"/>
  <c r="C1318" i="33"/>
  <c r="B1318" i="33" s="1"/>
  <c r="G38" i="25"/>
  <c r="C1383" i="33"/>
  <c r="B1383" i="33" s="1"/>
  <c r="S71" i="11"/>
  <c r="P71" i="11"/>
  <c r="Y73" i="11"/>
  <c r="V73" i="11"/>
  <c r="M58" i="25"/>
  <c r="C1674" i="33"/>
  <c r="B1674" i="33" s="1"/>
  <c r="C2315" i="33"/>
  <c r="B2315" i="33" s="1"/>
  <c r="AB63" i="11"/>
  <c r="C2376" i="33" s="1"/>
  <c r="B2376" i="33" s="1"/>
  <c r="AE63" i="11"/>
  <c r="C2498" i="33" s="1"/>
  <c r="B2498" i="33" s="1"/>
  <c r="C2064" i="33"/>
  <c r="B2064" i="33" s="1"/>
  <c r="Y56" i="11"/>
  <c r="C2247" i="33" s="1"/>
  <c r="V56" i="11"/>
  <c r="C2125" i="33" s="1"/>
  <c r="B2125" i="33" s="1"/>
  <c r="C2303" i="33"/>
  <c r="B2303" i="33" s="1"/>
  <c r="AE50" i="11"/>
  <c r="C2486" i="33" s="1"/>
  <c r="B2486" i="33" s="1"/>
  <c r="AB50" i="11"/>
  <c r="C2364" i="33" s="1"/>
  <c r="B2364" i="33" s="1"/>
  <c r="O29" i="25"/>
  <c r="C1595" i="33"/>
  <c r="B1595" i="33" s="1"/>
  <c r="O19" i="25"/>
  <c r="C1579" i="33"/>
  <c r="B1579" i="33" s="1"/>
  <c r="S69" i="11"/>
  <c r="P69" i="11"/>
  <c r="Q23" i="25"/>
  <c r="C1615" i="33"/>
  <c r="B1615" i="33" s="1"/>
  <c r="C2057" i="33"/>
  <c r="B2057" i="33" s="1"/>
  <c r="Y48" i="11"/>
  <c r="C2240" i="33" s="1"/>
  <c r="V48" i="11"/>
  <c r="C2118" i="33" s="1"/>
  <c r="B2118" i="33" s="1"/>
  <c r="M49" i="25"/>
  <c r="C1662" i="33"/>
  <c r="B1662" i="33" s="1"/>
  <c r="E72" i="25"/>
  <c r="C1473" i="33"/>
  <c r="B1473" i="33" s="1"/>
  <c r="C2283" i="33"/>
  <c r="B2283" i="33" s="1"/>
  <c r="AB29" i="11"/>
  <c r="C2344" i="33" s="1"/>
  <c r="B2344" i="33" s="1"/>
  <c r="AE29" i="11"/>
  <c r="C2466" i="33" s="1"/>
  <c r="B2466" i="33" s="1"/>
  <c r="C2032" i="33"/>
  <c r="B2032" i="33" s="1"/>
  <c r="Y22" i="11"/>
  <c r="C2215" i="33" s="1"/>
  <c r="B2215" i="33" s="1"/>
  <c r="V22" i="11"/>
  <c r="C2093" i="33" s="1"/>
  <c r="B2093" i="33" s="1"/>
  <c r="C1781" i="33"/>
  <c r="B1781" i="33" s="1"/>
  <c r="S14" i="11"/>
  <c r="C1964" i="33" s="1"/>
  <c r="B1964" i="33" s="1"/>
  <c r="P14" i="11"/>
  <c r="C52" i="25"/>
  <c r="C1425" i="33"/>
  <c r="B1425" i="33" s="1"/>
  <c r="C2039" i="33"/>
  <c r="B2039" i="33" s="1"/>
  <c r="Y29" i="11"/>
  <c r="C2222" i="33" s="1"/>
  <c r="V29" i="11"/>
  <c r="C2100" i="33" s="1"/>
  <c r="B2100" i="33" s="1"/>
  <c r="C2286" i="33"/>
  <c r="B2286" i="33" s="1"/>
  <c r="AE32" i="11"/>
  <c r="C2469" i="33" s="1"/>
  <c r="B2469" i="33" s="1"/>
  <c r="AB32" i="11"/>
  <c r="C2347" i="33" s="1"/>
  <c r="B2347" i="33" s="1"/>
  <c r="I54" i="25"/>
  <c r="C1523" i="33"/>
  <c r="B1523" i="33" s="1"/>
  <c r="I47" i="25"/>
  <c r="C1513" i="33"/>
  <c r="B1513" i="33" s="1"/>
  <c r="E34" i="25"/>
  <c r="C1347" i="33"/>
  <c r="B1347" i="33" s="1"/>
  <c r="C2031" i="33"/>
  <c r="B2031" i="33" s="1"/>
  <c r="Y21" i="11"/>
  <c r="C2214" i="33" s="1"/>
  <c r="V21" i="11"/>
  <c r="C2092" i="33" s="1"/>
  <c r="C2265" i="33"/>
  <c r="B2265" i="33" s="1"/>
  <c r="AE10" i="11"/>
  <c r="C2448" i="33" s="1"/>
  <c r="B2448" i="33" s="1"/>
  <c r="AB10" i="11"/>
  <c r="C2326" i="33" s="1"/>
  <c r="B2326" i="33" s="1"/>
  <c r="G71" i="25"/>
  <c r="C1503" i="33"/>
  <c r="B1503" i="33" s="1"/>
  <c r="I68" i="25"/>
  <c r="C1531" i="33"/>
  <c r="B1531" i="33" s="1"/>
  <c r="I39" i="25"/>
  <c r="C1416" i="33"/>
  <c r="B1416" i="33" s="1"/>
  <c r="E54" i="25"/>
  <c r="C1461" i="33"/>
  <c r="B1461" i="33" s="1"/>
  <c r="C2287" i="33"/>
  <c r="B2287" i="33" s="1"/>
  <c r="AE33" i="11"/>
  <c r="C2470" i="33" s="1"/>
  <c r="B2470" i="33" s="1"/>
  <c r="AB33" i="11"/>
  <c r="C2348" i="33" s="1"/>
  <c r="B2348" i="33" s="1"/>
  <c r="C1772" i="33"/>
  <c r="B1772" i="33" s="1"/>
  <c r="S5" i="11"/>
  <c r="C1955" i="33" s="1"/>
  <c r="P5" i="11"/>
  <c r="C2284" i="33"/>
  <c r="B2284" i="33" s="1"/>
  <c r="AE30" i="11"/>
  <c r="C2467" i="33" s="1"/>
  <c r="B2467" i="33" s="1"/>
  <c r="AB30" i="11"/>
  <c r="C2345" i="33" s="1"/>
  <c r="B2345" i="33" s="1"/>
  <c r="C1780" i="33"/>
  <c r="B1780" i="33" s="1"/>
  <c r="S13" i="11"/>
  <c r="C1963" i="33" s="1"/>
  <c r="P13" i="11"/>
  <c r="G65" i="25"/>
  <c r="C1497" i="33"/>
  <c r="B1497" i="33" s="1"/>
  <c r="G68" i="25"/>
  <c r="C1500" i="33"/>
  <c r="B1500" i="33" s="1"/>
  <c r="C2264" i="33"/>
  <c r="B2264" i="33" s="1"/>
  <c r="AE9" i="11"/>
  <c r="C2447" i="33" s="1"/>
  <c r="B2447" i="33" s="1"/>
  <c r="AB9" i="11"/>
  <c r="C2325" i="33" s="1"/>
  <c r="B2325" i="33" s="1"/>
  <c r="C65" i="25"/>
  <c r="C1435" i="33"/>
  <c r="B1435" i="33" s="1"/>
  <c r="AE73" i="11"/>
  <c r="AB73" i="11"/>
  <c r="C1826" i="33"/>
  <c r="B1826" i="33" s="1"/>
  <c r="S62" i="11"/>
  <c r="C2009" i="33" s="1"/>
  <c r="B2009" i="33" s="1"/>
  <c r="P62" i="11"/>
  <c r="C1887" i="33" s="1"/>
  <c r="C1814" i="33"/>
  <c r="B1814" i="33" s="1"/>
  <c r="S49" i="11"/>
  <c r="C1997" i="33" s="1"/>
  <c r="P49" i="11"/>
  <c r="C1875" i="33" s="1"/>
  <c r="S66" i="25"/>
  <c r="C1763" i="33"/>
  <c r="B1763" i="33" s="1"/>
  <c r="C2302" i="33"/>
  <c r="B2302" i="33" s="1"/>
  <c r="AE49" i="11"/>
  <c r="C2485" i="33" s="1"/>
  <c r="B2485" i="33" s="1"/>
  <c r="AB49" i="11"/>
  <c r="C2363" i="33" s="1"/>
  <c r="B2363" i="33" s="1"/>
  <c r="C2047" i="33"/>
  <c r="B2047" i="33" s="1"/>
  <c r="Y38" i="11"/>
  <c r="V38" i="11"/>
  <c r="I48" i="25"/>
  <c r="C1514" i="33"/>
  <c r="B1514" i="33" s="1"/>
  <c r="C2070" i="33"/>
  <c r="B2070" i="33" s="1"/>
  <c r="Y62" i="11"/>
  <c r="C2253" i="33" s="1"/>
  <c r="B2253" i="33" s="1"/>
  <c r="V62" i="11"/>
  <c r="C2131" i="33" s="1"/>
  <c r="Q54" i="25"/>
  <c r="C1723" i="33"/>
  <c r="B1723" i="33" s="1"/>
  <c r="C73" i="25"/>
  <c r="C1443" i="33"/>
  <c r="B1443" i="33" s="1"/>
  <c r="O66" i="25"/>
  <c r="C1707" i="33"/>
  <c r="B1707" i="33" s="1"/>
  <c r="O50" i="25"/>
  <c r="C1691" i="33"/>
  <c r="B1691" i="33" s="1"/>
  <c r="C1784" i="33"/>
  <c r="B1784" i="33" s="1"/>
  <c r="S17" i="11"/>
  <c r="C1967" i="33" s="1"/>
  <c r="P17" i="11"/>
  <c r="S49" i="25"/>
  <c r="C1746" i="33"/>
  <c r="B1746" i="33" s="1"/>
  <c r="I21" i="25"/>
  <c r="C1399" i="33"/>
  <c r="B1399" i="33" s="1"/>
  <c r="I79" i="25"/>
  <c r="C1542" i="33"/>
  <c r="B1542" i="33" s="1"/>
  <c r="G20" i="25"/>
  <c r="C1366" i="33"/>
  <c r="B1366" i="33" s="1"/>
  <c r="G23" i="25"/>
  <c r="G4" i="25" s="1"/>
  <c r="C1369" i="33"/>
  <c r="B1369" i="33" s="1"/>
  <c r="E13" i="25"/>
  <c r="C1324" i="33"/>
  <c r="B1324" i="33" s="1"/>
  <c r="G28" i="25"/>
  <c r="C1373" i="33"/>
  <c r="B1373" i="33" s="1"/>
  <c r="G37" i="25"/>
  <c r="C1382" i="33"/>
  <c r="B1382" i="33" s="1"/>
  <c r="G35" i="25"/>
  <c r="C1380" i="33"/>
  <c r="B1380" i="33" s="1"/>
  <c r="C76" i="25"/>
  <c r="C1446" i="33"/>
  <c r="B1446" i="33" s="1"/>
  <c r="G18" i="25"/>
  <c r="C1361" i="33"/>
  <c r="B1361" i="33" s="1"/>
  <c r="G27" i="25"/>
  <c r="C1372" i="33"/>
  <c r="B1372" i="33" s="1"/>
  <c r="M13" i="25"/>
  <c r="C1544" i="33"/>
  <c r="B1544" i="33" s="1"/>
  <c r="O22" i="25"/>
  <c r="C1585" i="33"/>
  <c r="B1585" i="33" s="1"/>
  <c r="O16" i="25"/>
  <c r="C1576" i="33"/>
  <c r="B1576" i="33" s="1"/>
  <c r="Q31" i="25"/>
  <c r="C1626" i="33"/>
  <c r="B1626" i="33" s="1"/>
  <c r="S15" i="25"/>
  <c r="C1633" i="33"/>
  <c r="B1633" i="33" s="1"/>
  <c r="M30" i="25"/>
  <c r="C1567" i="33"/>
  <c r="B1567" i="33" s="1"/>
  <c r="C1830" i="33"/>
  <c r="B1830" i="33" s="1"/>
  <c r="S66" i="11"/>
  <c r="C2013" i="33" s="1"/>
  <c r="B2013" i="33" s="1"/>
  <c r="P66" i="11"/>
  <c r="C1891" i="33" s="1"/>
  <c r="M22" i="25"/>
  <c r="C1556" i="33"/>
  <c r="B1556" i="33" s="1"/>
  <c r="S68" i="25"/>
  <c r="C1767" i="33"/>
  <c r="B1767" i="33" s="1"/>
  <c r="Q27" i="25"/>
  <c r="C1618" i="33"/>
  <c r="B1618" i="33" s="1"/>
  <c r="O14" i="25"/>
  <c r="C1574" i="33"/>
  <c r="B1574" i="33" s="1"/>
  <c r="B22" i="20"/>
  <c r="C2738" i="33" s="1"/>
  <c r="B2738" i="33" s="1"/>
  <c r="C2722" i="33"/>
  <c r="B2722" i="33" s="1"/>
  <c r="AE76" i="11"/>
  <c r="AB76" i="11"/>
  <c r="C2772" i="33"/>
  <c r="B2772" i="33" s="1"/>
  <c r="D22" i="20"/>
  <c r="C2788" i="33" s="1"/>
  <c r="B2788" i="33" s="1"/>
  <c r="M66" i="25"/>
  <c r="C1679" i="33"/>
  <c r="B1679" i="33" s="1"/>
  <c r="M55" i="25"/>
  <c r="C1671" i="33"/>
  <c r="B1671" i="33" s="1"/>
  <c r="C2702" i="33"/>
  <c r="B2702" i="33" s="1"/>
  <c r="J9" i="41"/>
  <c r="L5" i="41"/>
  <c r="C2712" i="33" s="1"/>
  <c r="B2712" i="33" s="1"/>
  <c r="L8" i="41"/>
  <c r="C2715" i="33" s="1"/>
  <c r="B2715" i="33" s="1"/>
  <c r="J11" i="41"/>
  <c r="C2705" i="33"/>
  <c r="B2705" i="33" s="1"/>
  <c r="B11" i="41"/>
  <c r="C8" i="41"/>
  <c r="C9" i="41" s="1"/>
  <c r="U5" i="31"/>
  <c r="C2137" i="33" s="1"/>
  <c r="B2137" i="33" s="1"/>
  <c r="C2015" i="33"/>
  <c r="B2015" i="33" s="1"/>
  <c r="V4" i="11"/>
  <c r="C2076" i="33" s="1"/>
  <c r="B2076" i="33" s="1"/>
  <c r="Y4" i="11"/>
  <c r="C2701" i="33"/>
  <c r="B2701" i="33" s="1"/>
  <c r="L4" i="41"/>
  <c r="C2711" i="33" s="1"/>
  <c r="B2711" i="33" s="1"/>
  <c r="C71" i="25"/>
  <c r="C1441" i="33"/>
  <c r="B1441" i="33" s="1"/>
  <c r="C2273" i="33"/>
  <c r="B2273" i="33" s="1"/>
  <c r="AB18" i="11"/>
  <c r="C2334" i="33" s="1"/>
  <c r="B2334" i="33" s="1"/>
  <c r="AE18" i="11"/>
  <c r="C2456" i="33" s="1"/>
  <c r="B2456" i="33" s="1"/>
  <c r="Q24" i="25"/>
  <c r="Q4" i="25" s="1"/>
  <c r="C1616" i="33"/>
  <c r="B1616" i="33" s="1"/>
  <c r="E14" i="25"/>
  <c r="C1325" i="33"/>
  <c r="B1325" i="33" s="1"/>
  <c r="C32" i="25"/>
  <c r="C1313" i="33"/>
  <c r="B1313" i="33" s="1"/>
  <c r="C21" i="25"/>
  <c r="C1303" i="33"/>
  <c r="B1303" i="33" s="1"/>
  <c r="S56" i="25"/>
  <c r="C1756" i="33"/>
  <c r="B1756" i="33" s="1"/>
  <c r="Q34" i="25"/>
  <c r="Q6" i="25" s="1"/>
  <c r="C1629" i="33"/>
  <c r="B1629" i="33" s="1"/>
  <c r="S77" i="11"/>
  <c r="P77" i="11"/>
  <c r="C23" i="25"/>
  <c r="C4" i="25" s="1"/>
  <c r="C1305" i="33"/>
  <c r="B1305" i="33" s="1"/>
  <c r="C2503" i="33"/>
  <c r="B2503" i="33" s="1"/>
  <c r="C57" i="25"/>
  <c r="C1433" i="33"/>
  <c r="B1433" i="33" s="1"/>
  <c r="Q51" i="25"/>
  <c r="C1720" i="33"/>
  <c r="B1720" i="33" s="1"/>
  <c r="C2034" i="33"/>
  <c r="B2034" i="33" s="1"/>
  <c r="V24" i="11"/>
  <c r="C2095" i="33" s="1"/>
  <c r="B2095" i="33" s="1"/>
  <c r="Y24" i="11"/>
  <c r="C2217" i="33" s="1"/>
  <c r="B2217" i="33" s="1"/>
  <c r="E47" i="25"/>
  <c r="C1451" i="33"/>
  <c r="B1451" i="33" s="1"/>
  <c r="C50" i="25"/>
  <c r="C1423" i="33"/>
  <c r="B1423" i="33" s="1"/>
  <c r="O51" i="25"/>
  <c r="C1692" i="33"/>
  <c r="B1692" i="33" s="1"/>
  <c r="I32" i="25"/>
  <c r="C1409" i="33"/>
  <c r="B1409" i="33" s="1"/>
  <c r="C36" i="25"/>
  <c r="C1317" i="33"/>
  <c r="B1317" i="33" s="1"/>
  <c r="M71" i="25"/>
  <c r="C1686" i="33"/>
  <c r="B1686" i="33" s="1"/>
  <c r="Y79" i="11"/>
  <c r="V79" i="11"/>
  <c r="C2316" i="33"/>
  <c r="B2316" i="33" s="1"/>
  <c r="AB64" i="11"/>
  <c r="C2377" i="33" s="1"/>
  <c r="B2377" i="33" s="1"/>
  <c r="AE64" i="11"/>
  <c r="C2499" i="33" s="1"/>
  <c r="B2499" i="33" s="1"/>
  <c r="C2304" i="33"/>
  <c r="B2304" i="33" s="1"/>
  <c r="AE51" i="11"/>
  <c r="C2487" i="33" s="1"/>
  <c r="B2487" i="33" s="1"/>
  <c r="AB51" i="11"/>
  <c r="C2365" i="33" s="1"/>
  <c r="B2365" i="33" s="1"/>
  <c r="AE78" i="11"/>
  <c r="AB78" i="11"/>
  <c r="AE70" i="11"/>
  <c r="AB70" i="11"/>
  <c r="C1825" i="33"/>
  <c r="B1825" i="33" s="1"/>
  <c r="S61" i="11"/>
  <c r="C2008" i="33" s="1"/>
  <c r="B2008" i="33" s="1"/>
  <c r="P61" i="11"/>
  <c r="C1886" i="33" s="1"/>
  <c r="B1886" i="33" s="1"/>
  <c r="Q65" i="25"/>
  <c r="C1732" i="33"/>
  <c r="B1732" i="33" s="1"/>
  <c r="C2299" i="33"/>
  <c r="B2299" i="33" s="1"/>
  <c r="AB46" i="11"/>
  <c r="C2360" i="33" s="1"/>
  <c r="B2360" i="33" s="1"/>
  <c r="AE46" i="11"/>
  <c r="C2482" i="33" s="1"/>
  <c r="B2482" i="33" s="1"/>
  <c r="S18" i="25"/>
  <c r="C1636" i="33"/>
  <c r="B1636" i="33" s="1"/>
  <c r="M33" i="25"/>
  <c r="M5" i="25" s="1"/>
  <c r="C1570" i="33"/>
  <c r="B1570" i="33" s="1"/>
  <c r="O70" i="25"/>
  <c r="C1713" i="33"/>
  <c r="B1713" i="33" s="1"/>
  <c r="C1806" i="33"/>
  <c r="B1806" i="33" s="1"/>
  <c r="S41" i="11"/>
  <c r="C1989" i="33" s="1"/>
  <c r="B1989" i="33" s="1"/>
  <c r="P41" i="11"/>
  <c r="C1867" i="33" s="1"/>
  <c r="C1793" i="33"/>
  <c r="B1793" i="33" s="1"/>
  <c r="S27" i="11"/>
  <c r="C1976" i="33" s="1"/>
  <c r="P27" i="11"/>
  <c r="C1854" i="33" s="1"/>
  <c r="G66" i="25"/>
  <c r="C1498" i="33"/>
  <c r="B1498" i="33" s="1"/>
  <c r="C53" i="25"/>
  <c r="C1429" i="33"/>
  <c r="B1429" i="33" s="1"/>
  <c r="C2020" i="33"/>
  <c r="B2020" i="33" s="1"/>
  <c r="Y9" i="11"/>
  <c r="C2203" i="33" s="1"/>
  <c r="B2203" i="33" s="1"/>
  <c r="V9" i="11"/>
  <c r="C2081" i="33" s="1"/>
  <c r="O18" i="25"/>
  <c r="C1578" i="33"/>
  <c r="B1578" i="33" s="1"/>
  <c r="G32" i="25"/>
  <c r="C1377" i="33"/>
  <c r="B1377" i="33" s="1"/>
  <c r="G54" i="25"/>
  <c r="C1492" i="33"/>
  <c r="B1492" i="33" s="1"/>
  <c r="E52" i="25"/>
  <c r="C1456" i="33"/>
  <c r="B1456" i="33" s="1"/>
  <c r="E32" i="25"/>
  <c r="C1345" i="33"/>
  <c r="B1345" i="33" s="1"/>
  <c r="G19" i="25"/>
  <c r="C1365" i="33"/>
  <c r="B1365" i="33" s="1"/>
  <c r="E49" i="25"/>
  <c r="C1453" i="33"/>
  <c r="B1453" i="33" s="1"/>
  <c r="E71" i="25"/>
  <c r="C1472" i="33"/>
  <c r="B1472" i="33" s="1"/>
  <c r="E21" i="25"/>
  <c r="C1335" i="33"/>
  <c r="B1335" i="33" s="1"/>
  <c r="C2019" i="33"/>
  <c r="B2019" i="33" s="1"/>
  <c r="Y8" i="11"/>
  <c r="C2202" i="33" s="1"/>
  <c r="B2202" i="33" s="1"/>
  <c r="V8" i="11"/>
  <c r="C2080" i="33" s="1"/>
  <c r="B2080" i="33" s="1"/>
  <c r="C2281" i="33"/>
  <c r="B2281" i="33" s="1"/>
  <c r="AB27" i="11"/>
  <c r="C2342" i="33" s="1"/>
  <c r="B2342" i="33" s="1"/>
  <c r="AE27" i="11"/>
  <c r="C2464" i="33" s="1"/>
  <c r="B2464" i="33" s="1"/>
  <c r="C1800" i="33"/>
  <c r="B1800" i="33" s="1"/>
  <c r="S34" i="11"/>
  <c r="C1983" i="33" s="1"/>
  <c r="P34" i="11"/>
  <c r="C1861" i="33" s="1"/>
  <c r="B1861" i="33" s="1"/>
  <c r="C38" i="25"/>
  <c r="C1319" i="33"/>
  <c r="B1319" i="33" s="1"/>
  <c r="C2021" i="33"/>
  <c r="B2021" i="33" s="1"/>
  <c r="Y10" i="11"/>
  <c r="C2204" i="33" s="1"/>
  <c r="B2204" i="33" s="1"/>
  <c r="V10" i="11"/>
  <c r="C2082" i="33" s="1"/>
  <c r="C2026" i="33"/>
  <c r="B2026" i="33" s="1"/>
  <c r="V15" i="11"/>
  <c r="C2087" i="33" s="1"/>
  <c r="Y15" i="11"/>
  <c r="C2209" i="33" s="1"/>
  <c r="B2209" i="33" s="1"/>
  <c r="I77" i="25"/>
  <c r="C1540" i="33"/>
  <c r="B1540" i="33" s="1"/>
  <c r="G72" i="25"/>
  <c r="C1504" i="33"/>
  <c r="B1504" i="33" s="1"/>
  <c r="E67" i="25"/>
  <c r="C1468" i="33"/>
  <c r="B1468" i="33" s="1"/>
  <c r="C2260" i="33"/>
  <c r="B2260" i="33" s="1"/>
  <c r="AE5" i="11"/>
  <c r="C2443" i="33" s="1"/>
  <c r="B2443" i="33" s="1"/>
  <c r="AB5" i="11"/>
  <c r="C2321" i="33" s="1"/>
  <c r="B2321" i="33" s="1"/>
  <c r="E51" i="25"/>
  <c r="C1455" i="33"/>
  <c r="B1455" i="33" s="1"/>
  <c r="C1811" i="33"/>
  <c r="B1811" i="33" s="1"/>
  <c r="P46" i="11"/>
  <c r="C1872" i="33" s="1"/>
  <c r="S46" i="11"/>
  <c r="C1994" i="33" s="1"/>
  <c r="I20" i="25"/>
  <c r="C1398" i="33"/>
  <c r="B1398" i="33" s="1"/>
  <c r="C2310" i="33"/>
  <c r="B2310" i="33" s="1"/>
  <c r="AE58" i="11"/>
  <c r="C2493" i="33" s="1"/>
  <c r="B2493" i="33" s="1"/>
  <c r="AB58" i="11"/>
  <c r="C2371" i="33" s="1"/>
  <c r="B2371" i="33" s="1"/>
  <c r="C2301" i="33"/>
  <c r="B2301" i="33" s="1"/>
  <c r="AE48" i="11"/>
  <c r="C2484" i="33" s="1"/>
  <c r="B2484" i="33" s="1"/>
  <c r="AB48" i="11"/>
  <c r="C2362" i="33" s="1"/>
  <c r="B2362" i="33" s="1"/>
  <c r="C2063" i="33"/>
  <c r="B2063" i="33" s="1"/>
  <c r="Y55" i="11"/>
  <c r="C2246" i="33" s="1"/>
  <c r="B2246" i="33" s="1"/>
  <c r="V55" i="11"/>
  <c r="C2124" i="33" s="1"/>
  <c r="B2124" i="33" s="1"/>
  <c r="C2066" i="33"/>
  <c r="B2066" i="33" s="1"/>
  <c r="Y58" i="11"/>
  <c r="C2249" i="33" s="1"/>
  <c r="V58" i="11"/>
  <c r="C2127" i="33" s="1"/>
  <c r="B2127" i="33" s="1"/>
  <c r="M51" i="25"/>
  <c r="C1664" i="33"/>
  <c r="B1664" i="33" s="1"/>
  <c r="C2282" i="33"/>
  <c r="B2282" i="33" s="1"/>
  <c r="AB28" i="11"/>
  <c r="C2343" i="33" s="1"/>
  <c r="B2343" i="33" s="1"/>
  <c r="AE28" i="11"/>
  <c r="C2465" i="33" s="1"/>
  <c r="B2465" i="33" s="1"/>
  <c r="Q14" i="25"/>
  <c r="C1603" i="33"/>
  <c r="B1603" i="33" s="1"/>
  <c r="C55" i="25"/>
  <c r="C1431" i="33"/>
  <c r="B1431" i="33" s="1"/>
  <c r="Q58" i="25"/>
  <c r="C1730" i="33"/>
  <c r="B1730" i="33" s="1"/>
  <c r="M47" i="25"/>
  <c r="C1660" i="33"/>
  <c r="B1660" i="33" s="1"/>
  <c r="I15" i="25"/>
  <c r="C1390" i="33"/>
  <c r="B1390" i="33" s="1"/>
  <c r="G77" i="25"/>
  <c r="C1509" i="33"/>
  <c r="B1509" i="33" s="1"/>
  <c r="C2319" i="33"/>
  <c r="B2319" i="33" s="1"/>
  <c r="AE67" i="11"/>
  <c r="C2502" i="33" s="1"/>
  <c r="B2502" i="33" s="1"/>
  <c r="AB67" i="11"/>
  <c r="C2380" i="33" s="1"/>
  <c r="B2380" i="33" s="1"/>
  <c r="C2044" i="33"/>
  <c r="B2044" i="33" s="1"/>
  <c r="V34" i="11"/>
  <c r="C2105" i="33" s="1"/>
  <c r="B2105" i="33" s="1"/>
  <c r="Y34" i="11"/>
  <c r="C2227" i="33" s="1"/>
  <c r="G79" i="25"/>
  <c r="C1511" i="33"/>
  <c r="B1511" i="33" s="1"/>
  <c r="E22" i="25"/>
  <c r="C1336" i="33"/>
  <c r="B1336" i="33" s="1"/>
  <c r="C17" i="25"/>
  <c r="C1296" i="33"/>
  <c r="B1296" i="33" s="1"/>
  <c r="G26" i="25"/>
  <c r="C1371" i="33"/>
  <c r="B1371" i="33" s="1"/>
  <c r="I74" i="25"/>
  <c r="C1537" i="33"/>
  <c r="B1537" i="33" s="1"/>
  <c r="C28" i="25"/>
  <c r="C1309" i="33"/>
  <c r="B1309" i="33" s="1"/>
  <c r="E35" i="25"/>
  <c r="C1348" i="33"/>
  <c r="B1348" i="33" s="1"/>
  <c r="G16" i="25"/>
  <c r="C1359" i="33"/>
  <c r="B1359" i="33" s="1"/>
  <c r="G25" i="25"/>
  <c r="C1370" i="33"/>
  <c r="B1370" i="33" s="1"/>
  <c r="M27" i="25"/>
  <c r="C1560" i="33"/>
  <c r="B1560" i="33" s="1"/>
  <c r="Q22" i="25"/>
  <c r="C1614" i="33"/>
  <c r="B1614" i="33" s="1"/>
  <c r="O30" i="25"/>
  <c r="C1596" i="33"/>
  <c r="B1596" i="33" s="1"/>
  <c r="S28" i="25"/>
  <c r="C1650" i="33"/>
  <c r="B1650" i="33" s="1"/>
  <c r="S29" i="25"/>
  <c r="C1653" i="33"/>
  <c r="B1653" i="33" s="1"/>
  <c r="O27" i="25"/>
  <c r="C1589" i="33"/>
  <c r="B1589" i="33" s="1"/>
  <c r="M17" i="25"/>
  <c r="C1548" i="33"/>
  <c r="B1548" i="33" s="1"/>
  <c r="AB72" i="11"/>
  <c r="AE72" i="11"/>
  <c r="U83" i="31"/>
  <c r="Y82" i="11"/>
  <c r="V82" i="11"/>
  <c r="Q68" i="25"/>
  <c r="C1739" i="33"/>
  <c r="B1739" i="33" s="1"/>
  <c r="G41" i="25"/>
  <c r="G6" i="25" s="1"/>
  <c r="C1386" i="33"/>
  <c r="B1386" i="33" s="1"/>
  <c r="C2275" i="33"/>
  <c r="B2275" i="33" s="1"/>
  <c r="AB21" i="11"/>
  <c r="C2336" i="33" s="1"/>
  <c r="B2336" i="33" s="1"/>
  <c r="AE21" i="11"/>
  <c r="C2458" i="33" s="1"/>
  <c r="B2458" i="33" s="1"/>
  <c r="O52" i="25"/>
  <c r="C1693" i="33"/>
  <c r="B1693" i="33" s="1"/>
  <c r="E69" i="25"/>
  <c r="C1470" i="33"/>
  <c r="B1470" i="33" s="1"/>
  <c r="C2018" i="33"/>
  <c r="B2018" i="33" s="1"/>
  <c r="V7" i="11"/>
  <c r="C2079" i="33" s="1"/>
  <c r="Y7" i="11"/>
  <c r="C2201" i="33" s="1"/>
  <c r="I31" i="25"/>
  <c r="C1408" i="33"/>
  <c r="B1408" i="33" s="1"/>
  <c r="E19" i="25"/>
  <c r="C1333" i="33"/>
  <c r="B1333" i="33" s="1"/>
  <c r="C15" i="25"/>
  <c r="C1294" i="33"/>
  <c r="B1294" i="33" s="1"/>
  <c r="C2035" i="33"/>
  <c r="B2035" i="33" s="1"/>
  <c r="V25" i="11"/>
  <c r="C2096" i="33" s="1"/>
  <c r="Y25" i="11"/>
  <c r="C2218" i="33" s="1"/>
  <c r="G53" i="25"/>
  <c r="C1491" i="33"/>
  <c r="B1491" i="33" s="1"/>
  <c r="C78" i="25"/>
  <c r="C1448" i="33"/>
  <c r="B1448" i="33" s="1"/>
  <c r="C2041" i="33"/>
  <c r="B2041" i="33" s="1"/>
  <c r="V31" i="11"/>
  <c r="C2102" i="33" s="1"/>
  <c r="Y31" i="11"/>
  <c r="C2224" i="33" s="1"/>
  <c r="I49" i="25"/>
  <c r="C1515" i="33"/>
  <c r="B1515" i="33" s="1"/>
  <c r="I53" i="25"/>
  <c r="C1522" i="33"/>
  <c r="B1522" i="33" s="1"/>
  <c r="I76" i="25"/>
  <c r="C1539" i="33"/>
  <c r="B1539" i="33" s="1"/>
  <c r="C1787" i="33"/>
  <c r="B1787" i="33" s="1"/>
  <c r="P21" i="11"/>
  <c r="C1848" i="33" s="1"/>
  <c r="S21" i="11"/>
  <c r="C1970" i="33" s="1"/>
  <c r="C2037" i="33"/>
  <c r="B2037" i="33" s="1"/>
  <c r="Y27" i="11"/>
  <c r="C2220" i="33" s="1"/>
  <c r="B2220" i="33" s="1"/>
  <c r="V27" i="11"/>
  <c r="C2098" i="33" s="1"/>
  <c r="B2098" i="33" s="1"/>
  <c r="C2262" i="33"/>
  <c r="B2262" i="33" s="1"/>
  <c r="AE7" i="11"/>
  <c r="C2445" i="33" s="1"/>
  <c r="B2445" i="33" s="1"/>
  <c r="AB7" i="11"/>
  <c r="C2323" i="33" s="1"/>
  <c r="B2323" i="33" s="1"/>
  <c r="G50" i="25"/>
  <c r="C1485" i="33"/>
  <c r="B1485" i="33" s="1"/>
  <c r="C66" i="25"/>
  <c r="C1436" i="33"/>
  <c r="B1436" i="33" s="1"/>
  <c r="I36" i="25"/>
  <c r="C1413" i="33"/>
  <c r="B1413" i="33" s="1"/>
  <c r="C2268" i="33"/>
  <c r="B2268" i="33" s="1"/>
  <c r="AE13" i="11"/>
  <c r="C2451" i="33" s="1"/>
  <c r="B2451" i="33" s="1"/>
  <c r="AB13" i="11"/>
  <c r="C2329" i="33" s="1"/>
  <c r="B2329" i="33" s="1"/>
  <c r="C1823" i="33"/>
  <c r="B1823" i="33" s="1"/>
  <c r="S59" i="11"/>
  <c r="C2006" i="33" s="1"/>
  <c r="B2006" i="33" s="1"/>
  <c r="P59" i="11"/>
  <c r="C1884" i="33" s="1"/>
  <c r="B1884" i="33" s="1"/>
  <c r="O53" i="25"/>
  <c r="C1694" i="33"/>
  <c r="B1694" i="33" s="1"/>
  <c r="I18" i="25"/>
  <c r="C1393" i="33"/>
  <c r="B1393" i="33" s="1"/>
  <c r="C2309" i="33"/>
  <c r="B2309" i="33" s="1"/>
  <c r="AE57" i="11"/>
  <c r="C2492" i="33" s="1"/>
  <c r="B2492" i="33" s="1"/>
  <c r="AB57" i="11"/>
  <c r="C2370" i="33" s="1"/>
  <c r="B2370" i="33" s="1"/>
  <c r="S54" i="25"/>
  <c r="C1751" i="33"/>
  <c r="B1751" i="33" s="1"/>
  <c r="E78" i="25"/>
  <c r="C1479" i="33"/>
  <c r="B1479" i="33" s="1"/>
  <c r="M65" i="25"/>
  <c r="C1676" i="33"/>
  <c r="B1676" i="33" s="1"/>
  <c r="Q50" i="25"/>
  <c r="C1719" i="33"/>
  <c r="B1719" i="33" s="1"/>
  <c r="I28" i="25"/>
  <c r="C1405" i="33"/>
  <c r="B1405" i="33" s="1"/>
  <c r="O47" i="25"/>
  <c r="C1688" i="33"/>
  <c r="B1688" i="33" s="1"/>
  <c r="Q57" i="25"/>
  <c r="C1729" i="33"/>
  <c r="B1729" i="33" s="1"/>
  <c r="I37" i="25"/>
  <c r="C1414" i="33"/>
  <c r="B1414" i="33" s="1"/>
  <c r="C2071" i="33"/>
  <c r="B2071" i="33" s="1"/>
  <c r="Y63" i="11"/>
  <c r="C2254" i="33" s="1"/>
  <c r="B2254" i="33" s="1"/>
  <c r="V63" i="11"/>
  <c r="C2132" i="33" s="1"/>
  <c r="E38" i="25"/>
  <c r="C1351" i="33"/>
  <c r="B1351" i="33" s="1"/>
  <c r="G39" i="25"/>
  <c r="C1384" i="33"/>
  <c r="B1384" i="33" s="1"/>
  <c r="E20" i="25"/>
  <c r="C1334" i="33"/>
  <c r="B1334" i="33" s="1"/>
  <c r="E23" i="25"/>
  <c r="E4" i="25" s="1"/>
  <c r="C1337" i="33"/>
  <c r="B1337" i="33" s="1"/>
  <c r="G36" i="25"/>
  <c r="C1381" i="33"/>
  <c r="B1381" i="33" s="1"/>
  <c r="C34" i="25"/>
  <c r="C1315" i="33"/>
  <c r="B1315" i="33" s="1"/>
  <c r="C16" i="25"/>
  <c r="C1295" i="33"/>
  <c r="B1295" i="33" s="1"/>
  <c r="C26" i="25"/>
  <c r="C1307" i="33"/>
  <c r="B1307" i="33" s="1"/>
  <c r="G33" i="25"/>
  <c r="C1378" i="33"/>
  <c r="B1378" i="33" s="1"/>
  <c r="G14" i="25"/>
  <c r="C1357" i="33"/>
  <c r="B1357" i="33" s="1"/>
  <c r="C2046" i="33"/>
  <c r="B2046" i="33" s="1"/>
  <c r="Y36" i="11"/>
  <c r="C2229" i="33" s="1"/>
  <c r="V36" i="11"/>
  <c r="C2107" i="33" s="1"/>
  <c r="B2107" i="33" s="1"/>
  <c r="O20" i="25"/>
  <c r="C1580" i="33"/>
  <c r="B1580" i="33" s="1"/>
  <c r="M18" i="25"/>
  <c r="C1549" i="33"/>
  <c r="B1549" i="33" s="1"/>
  <c r="O26" i="25"/>
  <c r="C1588" i="33"/>
  <c r="B1588" i="33" s="1"/>
  <c r="C1820" i="33"/>
  <c r="B1820" i="33" s="1"/>
  <c r="P56" i="11"/>
  <c r="C1881" i="33" s="1"/>
  <c r="B1881" i="33" s="1"/>
  <c r="S56" i="11"/>
  <c r="C2003" i="33" s="1"/>
  <c r="B2003" i="33" s="1"/>
  <c r="S30" i="25"/>
  <c r="C1654" i="33"/>
  <c r="B1654" i="33" s="1"/>
  <c r="C1824" i="33"/>
  <c r="B1824" i="33" s="1"/>
  <c r="S60" i="11"/>
  <c r="C2007" i="33" s="1"/>
  <c r="B2007" i="33" s="1"/>
  <c r="P60" i="11"/>
  <c r="C1885" i="33" s="1"/>
  <c r="B1885" i="33" s="1"/>
  <c r="Q70" i="25"/>
  <c r="C1741" i="33"/>
  <c r="B1741" i="33" s="1"/>
  <c r="O21" i="25"/>
  <c r="C1584" i="33"/>
  <c r="B1584" i="33" s="1"/>
  <c r="AE69" i="11"/>
  <c r="AB69" i="11"/>
  <c r="W5" i="31"/>
  <c r="C2381" i="33" s="1"/>
  <c r="B2381" i="33" s="1"/>
  <c r="C2259" i="33"/>
  <c r="B2259" i="33" s="1"/>
  <c r="AE4" i="11"/>
  <c r="C2442" i="33" s="1"/>
  <c r="B2442" i="33" s="1"/>
  <c r="AB4" i="11"/>
  <c r="C2320" i="33" s="1"/>
  <c r="B2320" i="33" s="1"/>
  <c r="D19" i="20"/>
  <c r="C2785" i="33" s="1"/>
  <c r="B2785" i="33" s="1"/>
  <c r="B16" i="33"/>
  <c r="S5" i="31"/>
  <c r="C1893" i="33" s="1"/>
  <c r="B1893" i="33" s="1"/>
  <c r="C1771" i="33"/>
  <c r="B1771" i="33" s="1"/>
  <c r="P4" i="11"/>
  <c r="C1222" i="33"/>
  <c r="B1222" i="33" s="1"/>
  <c r="C1279" i="33"/>
  <c r="B1279" i="33" s="1"/>
  <c r="C1260" i="33"/>
  <c r="B1260" i="33" s="1"/>
  <c r="C1241" i="33"/>
  <c r="B1241" i="33" s="1"/>
  <c r="C1203" i="33"/>
  <c r="B1203" i="33" s="1"/>
  <c r="B19" i="20"/>
  <c r="C2735" i="33" s="1"/>
  <c r="B2735" i="33" s="1"/>
  <c r="H33" i="10"/>
  <c r="C19" i="20"/>
  <c r="C2760" i="33" s="1"/>
  <c r="B2760" i="33" s="1"/>
  <c r="I33" i="10"/>
  <c r="E19" i="20"/>
  <c r="C2810" i="33" s="1"/>
  <c r="B2810" i="33" s="1"/>
  <c r="I6" i="10"/>
  <c r="H6" i="10"/>
  <c r="K6" i="10"/>
  <c r="H4" i="10"/>
  <c r="H3" i="10"/>
  <c r="H5" i="10"/>
  <c r="J6" i="10"/>
  <c r="B3" i="20"/>
  <c r="J3" i="20"/>
  <c r="H6" i="20"/>
  <c r="K5" i="10"/>
  <c r="B4" i="20"/>
  <c r="I6" i="20"/>
  <c r="I3" i="20"/>
  <c r="J5" i="10"/>
  <c r="J4" i="20"/>
  <c r="I5" i="10"/>
  <c r="W76" i="31"/>
  <c r="S76" i="31"/>
  <c r="S77" i="31"/>
  <c r="U76" i="31"/>
  <c r="S71" i="31"/>
  <c r="S80" i="31"/>
  <c r="S74" i="31"/>
  <c r="S83" i="31"/>
  <c r="W74" i="31"/>
  <c r="W83" i="31"/>
  <c r="U77" i="31"/>
  <c r="S72" i="31"/>
  <c r="U82" i="31"/>
  <c r="U74" i="31"/>
  <c r="W72" i="31"/>
  <c r="S75" i="31"/>
  <c r="W82" i="31"/>
  <c r="W75" i="31"/>
  <c r="W81" i="31"/>
  <c r="U80" i="31"/>
  <c r="U72" i="31"/>
  <c r="S82" i="31"/>
  <c r="U71" i="31"/>
  <c r="W77" i="31"/>
  <c r="W73" i="31"/>
  <c r="U79" i="31"/>
  <c r="W71" i="31"/>
  <c r="U78" i="31"/>
  <c r="U70" i="31"/>
  <c r="W80" i="31"/>
  <c r="U73" i="31"/>
  <c r="S73" i="31"/>
  <c r="S70" i="31"/>
  <c r="U81" i="31"/>
  <c r="W79" i="31"/>
  <c r="W70" i="31"/>
  <c r="S78" i="31"/>
  <c r="U75" i="31"/>
  <c r="S81" i="31"/>
  <c r="S79" i="31"/>
  <c r="W78" i="31"/>
  <c r="W60" i="31"/>
  <c r="C2433" i="33" s="1"/>
  <c r="B2433" i="33" s="1"/>
  <c r="U50" i="31"/>
  <c r="C2180" i="33" s="1"/>
  <c r="B2180" i="33" s="1"/>
  <c r="B2119" i="33"/>
  <c r="B2241" i="33"/>
  <c r="W45" i="31"/>
  <c r="C2419" i="33" s="1"/>
  <c r="B2419" i="33" s="1"/>
  <c r="S50" i="31"/>
  <c r="C1936" i="33" s="1"/>
  <c r="B1936" i="33" s="1"/>
  <c r="B1875" i="33"/>
  <c r="B1997" i="33"/>
  <c r="U63" i="31"/>
  <c r="C2192" i="33" s="1"/>
  <c r="B2192" i="33" s="1"/>
  <c r="B2131" i="33"/>
  <c r="S47" i="31"/>
  <c r="C1933" i="33" s="1"/>
  <c r="B1933" i="33" s="1"/>
  <c r="B1994" i="33"/>
  <c r="B1872" i="33"/>
  <c r="U59" i="31"/>
  <c r="C2188" i="33" s="1"/>
  <c r="B2188" i="33" s="1"/>
  <c r="B2249" i="33"/>
  <c r="U46" i="31"/>
  <c r="C2176" i="33" s="1"/>
  <c r="B2176" i="33" s="1"/>
  <c r="B2115" i="33"/>
  <c r="U52" i="31"/>
  <c r="C2182" i="33" s="1"/>
  <c r="B2182" i="33" s="1"/>
  <c r="W59" i="31"/>
  <c r="C2432" i="33" s="1"/>
  <c r="B2432" i="33" s="1"/>
  <c r="S62" i="31"/>
  <c r="C1947" i="33" s="1"/>
  <c r="B1947" i="33" s="1"/>
  <c r="U58" i="31"/>
  <c r="C2187" i="33" s="1"/>
  <c r="B2187" i="33" s="1"/>
  <c r="U44" i="31"/>
  <c r="C2174" i="33" s="1"/>
  <c r="B2174" i="33" s="1"/>
  <c r="B2235" i="33"/>
  <c r="S59" i="31"/>
  <c r="C1944" i="33" s="1"/>
  <c r="B1944" i="33" s="1"/>
  <c r="B1883" i="33"/>
  <c r="S43" i="31"/>
  <c r="C1929" i="33" s="1"/>
  <c r="B1929" i="33" s="1"/>
  <c r="B1868" i="33"/>
  <c r="W46" i="31"/>
  <c r="C2420" i="33" s="1"/>
  <c r="B2420" i="33" s="1"/>
  <c r="W41" i="31"/>
  <c r="C2415" i="33" s="1"/>
  <c r="B2415" i="33" s="1"/>
  <c r="U47" i="31"/>
  <c r="C2177" i="33" s="1"/>
  <c r="B2177" i="33" s="1"/>
  <c r="B2238" i="33"/>
  <c r="U64" i="31"/>
  <c r="C2193" i="33" s="1"/>
  <c r="B2193" i="33" s="1"/>
  <c r="B2132" i="33"/>
  <c r="S48" i="31"/>
  <c r="C1934" i="33" s="1"/>
  <c r="B1934" i="33" s="1"/>
  <c r="B1873" i="33"/>
  <c r="S57" i="31"/>
  <c r="C1942" i="33" s="1"/>
  <c r="B1942" i="33" s="1"/>
  <c r="S44" i="31"/>
  <c r="C1930" i="33" s="1"/>
  <c r="B1930" i="33" s="1"/>
  <c r="B1991" i="33"/>
  <c r="S64" i="31"/>
  <c r="C1949" i="33" s="1"/>
  <c r="B1949" i="33" s="1"/>
  <c r="B2010" i="33"/>
  <c r="S40" i="31"/>
  <c r="C1926" i="33" s="1"/>
  <c r="B1926" i="33" s="1"/>
  <c r="B1987" i="33"/>
  <c r="B1865" i="33"/>
  <c r="W57" i="31"/>
  <c r="C2430" i="33" s="1"/>
  <c r="B2430" i="33" s="1"/>
  <c r="S58" i="31"/>
  <c r="C1943" i="33" s="1"/>
  <c r="B1943" i="33" s="1"/>
  <c r="B2004" i="33"/>
  <c r="B1882" i="33"/>
  <c r="U62" i="31"/>
  <c r="C2191" i="33" s="1"/>
  <c r="B2191" i="33" s="1"/>
  <c r="B2252" i="33"/>
  <c r="S63" i="31"/>
  <c r="C1948" i="33" s="1"/>
  <c r="B1948" i="33" s="1"/>
  <c r="B1887" i="33"/>
  <c r="W50" i="31"/>
  <c r="C2424" i="33" s="1"/>
  <c r="B2424" i="33" s="1"/>
  <c r="S54" i="31"/>
  <c r="C1940" i="33" s="1"/>
  <c r="B1940" i="33" s="1"/>
  <c r="S45" i="31"/>
  <c r="C1931" i="33" s="1"/>
  <c r="B1931" i="33" s="1"/>
  <c r="B1992" i="33"/>
  <c r="U57" i="31"/>
  <c r="C2186" i="33" s="1"/>
  <c r="B2186" i="33" s="1"/>
  <c r="B2247" i="33"/>
  <c r="W65" i="31"/>
  <c r="C2438" i="33" s="1"/>
  <c r="B2438" i="33" s="1"/>
  <c r="W52" i="31"/>
  <c r="C2426" i="33" s="1"/>
  <c r="B2426" i="33" s="1"/>
  <c r="W47" i="31"/>
  <c r="C2421" i="33" s="1"/>
  <c r="B2421" i="33" s="1"/>
  <c r="W56" i="31"/>
  <c r="C2429" i="33" s="1"/>
  <c r="B2429" i="33" s="1"/>
  <c r="W43" i="31"/>
  <c r="C2417" i="33" s="1"/>
  <c r="B2417" i="33" s="1"/>
  <c r="W44" i="31"/>
  <c r="C2418" i="33" s="1"/>
  <c r="B2418" i="33" s="1"/>
  <c r="U40" i="31"/>
  <c r="C2170" i="33" s="1"/>
  <c r="B2170" i="33" s="1"/>
  <c r="U67" i="31"/>
  <c r="C2196" i="33" s="1"/>
  <c r="B2196" i="33" s="1"/>
  <c r="B2135" i="33"/>
  <c r="B2257" i="33"/>
  <c r="U54" i="31"/>
  <c r="C2184" i="33" s="1"/>
  <c r="B2184" i="33" s="1"/>
  <c r="B2245" i="33"/>
  <c r="B2123" i="33"/>
  <c r="U43" i="31"/>
  <c r="C2173" i="33" s="1"/>
  <c r="B2173" i="33" s="1"/>
  <c r="B2234" i="33"/>
  <c r="U60" i="31"/>
  <c r="C2189" i="33" s="1"/>
  <c r="B2189" i="33" s="1"/>
  <c r="B2128" i="33"/>
  <c r="B2250" i="33"/>
  <c r="S68" i="31"/>
  <c r="C1953" i="33" s="1"/>
  <c r="B1953" i="33" s="1"/>
  <c r="B2014" i="33"/>
  <c r="S65" i="31"/>
  <c r="C1950" i="33" s="1"/>
  <c r="B1950" i="33" s="1"/>
  <c r="B2011" i="33"/>
  <c r="S61" i="31"/>
  <c r="C1946" i="33" s="1"/>
  <c r="B1946" i="33" s="1"/>
  <c r="S42" i="31"/>
  <c r="C1928" i="33" s="1"/>
  <c r="B1928" i="33" s="1"/>
  <c r="B1867" i="33"/>
  <c r="U65" i="31"/>
  <c r="C2194" i="33" s="1"/>
  <c r="B2194" i="33" s="1"/>
  <c r="B2133" i="33"/>
  <c r="U45" i="31"/>
  <c r="C2175" i="33" s="1"/>
  <c r="B2175" i="33" s="1"/>
  <c r="B2236" i="33"/>
  <c r="W49" i="31"/>
  <c r="C2423" i="33" s="1"/>
  <c r="B2423" i="33" s="1"/>
  <c r="U56" i="31"/>
  <c r="C2185" i="33" s="1"/>
  <c r="B2185" i="33" s="1"/>
  <c r="W64" i="31"/>
  <c r="C2437" i="33" s="1"/>
  <c r="B2437" i="33" s="1"/>
  <c r="U41" i="31"/>
  <c r="C2171" i="33" s="1"/>
  <c r="B2171" i="33" s="1"/>
  <c r="B2232" i="33"/>
  <c r="S60" i="31"/>
  <c r="C1945" i="33" s="1"/>
  <c r="B1945" i="33" s="1"/>
  <c r="W58" i="31"/>
  <c r="C2431" i="33" s="1"/>
  <c r="B2431" i="33" s="1"/>
  <c r="W68" i="31"/>
  <c r="C2441" i="33" s="1"/>
  <c r="B2441" i="33" s="1"/>
  <c r="U49" i="31"/>
  <c r="C2179" i="33" s="1"/>
  <c r="B2179" i="33" s="1"/>
  <c r="B2240" i="33"/>
  <c r="W61" i="31"/>
  <c r="C2434" i="33" s="1"/>
  <c r="B2434" i="33" s="1"/>
  <c r="U61" i="31"/>
  <c r="C2190" i="33" s="1"/>
  <c r="B2190" i="33" s="1"/>
  <c r="W39" i="31"/>
  <c r="C2413" i="33" s="1"/>
  <c r="B2413" i="33" s="1"/>
  <c r="U48" i="31"/>
  <c r="C2178" i="33" s="1"/>
  <c r="B2178" i="33" s="1"/>
  <c r="B2117" i="33"/>
  <c r="U42" i="31"/>
  <c r="C2172" i="33" s="1"/>
  <c r="B2172" i="33" s="1"/>
  <c r="B2111" i="33"/>
  <c r="B2233" i="33"/>
  <c r="U53" i="31"/>
  <c r="C2183" i="33" s="1"/>
  <c r="B2183" i="33" s="1"/>
  <c r="B2244" i="33"/>
  <c r="B2122" i="33"/>
  <c r="W40" i="31"/>
  <c r="C2414" i="33" s="1"/>
  <c r="B2414" i="33" s="1"/>
  <c r="S41" i="31"/>
  <c r="C1927" i="33" s="1"/>
  <c r="B1927" i="33" s="1"/>
  <c r="B1866" i="33"/>
  <c r="W66" i="31"/>
  <c r="C2439" i="33" s="1"/>
  <c r="B2439" i="33" s="1"/>
  <c r="S56" i="31"/>
  <c r="C1941" i="33" s="1"/>
  <c r="B1941" i="33" s="1"/>
  <c r="U51" i="31"/>
  <c r="C2181" i="33" s="1"/>
  <c r="B2181" i="33" s="1"/>
  <c r="B2120" i="33"/>
  <c r="B2242" i="33"/>
  <c r="W54" i="31"/>
  <c r="C2428" i="33" s="1"/>
  <c r="B2428" i="33" s="1"/>
  <c r="S39" i="31"/>
  <c r="C1925" i="33" s="1"/>
  <c r="B1925" i="33" s="1"/>
  <c r="C1986" i="33"/>
  <c r="B1986" i="33" s="1"/>
  <c r="U68" i="31"/>
  <c r="C2197" i="33" s="1"/>
  <c r="B2197" i="33" s="1"/>
  <c r="B2136" i="33"/>
  <c r="B2258" i="33"/>
  <c r="W53" i="31"/>
  <c r="C2427" i="33" s="1"/>
  <c r="B2427" i="33" s="1"/>
  <c r="U66" i="31"/>
  <c r="C2195" i="33" s="1"/>
  <c r="B2195" i="33" s="1"/>
  <c r="S51" i="31"/>
  <c r="C1937" i="33" s="1"/>
  <c r="B1937" i="33" s="1"/>
  <c r="B1876" i="33"/>
  <c r="B1998" i="33"/>
  <c r="S67" i="31"/>
  <c r="C1952" i="33" s="1"/>
  <c r="B1952" i="33" s="1"/>
  <c r="B1891" i="33"/>
  <c r="U39" i="31"/>
  <c r="C2169" i="33" s="1"/>
  <c r="B2169" i="33" s="1"/>
  <c r="C2230" i="33"/>
  <c r="B2230" i="33" s="1"/>
  <c r="C2108" i="33"/>
  <c r="B2108" i="33" s="1"/>
  <c r="W51" i="31"/>
  <c r="C2425" i="33" s="1"/>
  <c r="B2425" i="33" s="1"/>
  <c r="S66" i="31"/>
  <c r="C1951" i="33" s="1"/>
  <c r="B1951" i="33" s="1"/>
  <c r="B1890" i="33"/>
  <c r="S53" i="31"/>
  <c r="C1939" i="33" s="1"/>
  <c r="B1939" i="33" s="1"/>
  <c r="B1878" i="33"/>
  <c r="W48" i="31"/>
  <c r="C2422" i="33" s="1"/>
  <c r="B2422" i="33" s="1"/>
  <c r="S49" i="31"/>
  <c r="C1935" i="33" s="1"/>
  <c r="B1935" i="33" s="1"/>
  <c r="B1996" i="33"/>
  <c r="S46" i="31"/>
  <c r="C1932" i="33" s="1"/>
  <c r="B1932" i="33" s="1"/>
  <c r="B1993" i="33"/>
  <c r="B1871" i="33"/>
  <c r="W63" i="31"/>
  <c r="C2436" i="33" s="1"/>
  <c r="B2436" i="33" s="1"/>
  <c r="W42" i="31"/>
  <c r="C2416" i="33" s="1"/>
  <c r="B2416" i="33" s="1"/>
  <c r="P58" i="25"/>
  <c r="D5" i="25"/>
  <c r="W7" i="31"/>
  <c r="C2383" i="33" s="1"/>
  <c r="B2383" i="33" s="1"/>
  <c r="W29" i="31"/>
  <c r="C2404" i="33" s="1"/>
  <c r="B2404" i="33" s="1"/>
  <c r="S32" i="31"/>
  <c r="C1919" i="33" s="1"/>
  <c r="B1919" i="33" s="1"/>
  <c r="B1980" i="33"/>
  <c r="B1858" i="33"/>
  <c r="S25" i="31"/>
  <c r="C1912" i="33" s="1"/>
  <c r="B1912" i="33" s="1"/>
  <c r="B1851" i="33"/>
  <c r="S12" i="31"/>
  <c r="C1900" i="33" s="1"/>
  <c r="B1900" i="33" s="1"/>
  <c r="C1839" i="33"/>
  <c r="B1839" i="33" s="1"/>
  <c r="U28" i="31"/>
  <c r="C2159" i="33" s="1"/>
  <c r="B2159" i="33" s="1"/>
  <c r="W8" i="31"/>
  <c r="C2384" i="33" s="1"/>
  <c r="B2384" i="33" s="1"/>
  <c r="W14" i="31"/>
  <c r="C2390" i="33" s="1"/>
  <c r="B2390" i="33" s="1"/>
  <c r="S26" i="31"/>
  <c r="C1913" i="33" s="1"/>
  <c r="B1913" i="33" s="1"/>
  <c r="B1974" i="33"/>
  <c r="S22" i="31"/>
  <c r="C1909" i="33" s="1"/>
  <c r="B1909" i="33" s="1"/>
  <c r="B1970" i="33"/>
  <c r="B1848" i="33"/>
  <c r="W6" i="31"/>
  <c r="C2382" i="33" s="1"/>
  <c r="B2382" i="33" s="1"/>
  <c r="W12" i="31"/>
  <c r="C2388" i="33" s="1"/>
  <c r="B2388" i="33" s="1"/>
  <c r="W13" i="31"/>
  <c r="C2389" i="33" s="1"/>
  <c r="B2389" i="33" s="1"/>
  <c r="S7" i="31"/>
  <c r="C1895" i="33" s="1"/>
  <c r="B1895" i="33" s="1"/>
  <c r="C1834" i="33"/>
  <c r="B1834" i="33" s="1"/>
  <c r="U25" i="31"/>
  <c r="C2156" i="33" s="1"/>
  <c r="B2156" i="33" s="1"/>
  <c r="W15" i="31"/>
  <c r="C2391" i="33" s="1"/>
  <c r="B2391" i="33" s="1"/>
  <c r="W26" i="31"/>
  <c r="C2401" i="33" s="1"/>
  <c r="B2401" i="33" s="1"/>
  <c r="U18" i="31"/>
  <c r="C2150" i="33" s="1"/>
  <c r="B2150" i="33" s="1"/>
  <c r="B2211" i="33"/>
  <c r="S21" i="31"/>
  <c r="C1908" i="33" s="1"/>
  <c r="B1908" i="33" s="1"/>
  <c r="C1969" i="33"/>
  <c r="B1969" i="33" s="1"/>
  <c r="C1847" i="33"/>
  <c r="B1847" i="33" s="1"/>
  <c r="U17" i="31"/>
  <c r="C2149" i="33" s="1"/>
  <c r="B2149" i="33" s="1"/>
  <c r="B2088" i="33"/>
  <c r="B2210" i="33"/>
  <c r="S33" i="31"/>
  <c r="C1920" i="33" s="1"/>
  <c r="B1920" i="33" s="1"/>
  <c r="B1859" i="33"/>
  <c r="C2198" i="33"/>
  <c r="B2198" i="33" s="1"/>
  <c r="U13" i="31"/>
  <c r="C2145" i="33" s="1"/>
  <c r="B2145" i="33" s="1"/>
  <c r="B2206" i="33"/>
  <c r="U21" i="31"/>
  <c r="C2152" i="33" s="1"/>
  <c r="B2152" i="33" s="1"/>
  <c r="C2213" i="33"/>
  <c r="B2213" i="33" s="1"/>
  <c r="C2091" i="33"/>
  <c r="B2091" i="33" s="1"/>
  <c r="S16" i="31"/>
  <c r="C1904" i="33" s="1"/>
  <c r="B1904" i="33" s="1"/>
  <c r="B1965" i="33"/>
  <c r="S9" i="31"/>
  <c r="C1897" i="33" s="1"/>
  <c r="B1897" i="33" s="1"/>
  <c r="B1958" i="33"/>
  <c r="W35" i="31"/>
  <c r="C2410" i="33" s="1"/>
  <c r="B2410" i="33" s="1"/>
  <c r="S17" i="31"/>
  <c r="C1905" i="33" s="1"/>
  <c r="B1905" i="33" s="1"/>
  <c r="B1966" i="33"/>
  <c r="C1844" i="33"/>
  <c r="B1844" i="33" s="1"/>
  <c r="S31" i="31"/>
  <c r="C1918" i="33" s="1"/>
  <c r="B1918" i="33" s="1"/>
  <c r="B1857" i="33"/>
  <c r="B1979" i="33"/>
  <c r="W18" i="31"/>
  <c r="C2394" i="33" s="1"/>
  <c r="B2394" i="33" s="1"/>
  <c r="F57" i="25"/>
  <c r="S36" i="31"/>
  <c r="C1923" i="33" s="1"/>
  <c r="B1923" i="33" s="1"/>
  <c r="B1984" i="33"/>
  <c r="U37" i="31"/>
  <c r="C2168" i="33" s="1"/>
  <c r="B2168" i="33" s="1"/>
  <c r="B2229" i="33"/>
  <c r="U27" i="31"/>
  <c r="C2158" i="33" s="1"/>
  <c r="B2158" i="33" s="1"/>
  <c r="B2097" i="33"/>
  <c r="U26" i="31"/>
  <c r="C2157" i="33" s="1"/>
  <c r="B2157" i="33" s="1"/>
  <c r="B2096" i="33"/>
  <c r="B2218" i="33"/>
  <c r="U33" i="31"/>
  <c r="C2164" i="33" s="1"/>
  <c r="B2164" i="33" s="1"/>
  <c r="B2103" i="33"/>
  <c r="S24" i="31"/>
  <c r="C1911" i="33" s="1"/>
  <c r="B1911" i="33" s="1"/>
  <c r="U6" i="31"/>
  <c r="C2138" i="33" s="1"/>
  <c r="B2138" i="33" s="1"/>
  <c r="B2199" i="33"/>
  <c r="B2077" i="33"/>
  <c r="U29" i="31"/>
  <c r="C2160" i="33" s="1"/>
  <c r="B2160" i="33" s="1"/>
  <c r="B2099" i="33"/>
  <c r="W17" i="31"/>
  <c r="C2393" i="33" s="1"/>
  <c r="B2393" i="33" s="1"/>
  <c r="S34" i="31"/>
  <c r="C1921" i="33" s="1"/>
  <c r="B1921" i="33" s="1"/>
  <c r="W32" i="31"/>
  <c r="C2407" i="33" s="1"/>
  <c r="B2407" i="33" s="1"/>
  <c r="W24" i="31"/>
  <c r="C2399" i="33" s="1"/>
  <c r="B2399" i="33" s="1"/>
  <c r="S8" i="31"/>
  <c r="C1896" i="33" s="1"/>
  <c r="B1896" i="33" s="1"/>
  <c r="W21" i="31"/>
  <c r="C2396" i="33" s="1"/>
  <c r="B2396" i="33" s="1"/>
  <c r="S30" i="31"/>
  <c r="C1917" i="33" s="1"/>
  <c r="B1917" i="33" s="1"/>
  <c r="B1978" i="33"/>
  <c r="B1856" i="33"/>
  <c r="S10" i="31"/>
  <c r="C1898" i="33" s="1"/>
  <c r="B1898" i="33" s="1"/>
  <c r="B1959" i="33"/>
  <c r="S13" i="31"/>
  <c r="C1901" i="33" s="1"/>
  <c r="B1901" i="33" s="1"/>
  <c r="B1962" i="33"/>
  <c r="C1840" i="33"/>
  <c r="B1840" i="33" s="1"/>
  <c r="W27" i="31"/>
  <c r="C2402" i="33" s="1"/>
  <c r="B2402" i="33" s="1"/>
  <c r="S4" i="11"/>
  <c r="C1954" i="33" s="1"/>
  <c r="B1954" i="33" s="1"/>
  <c r="C1832" i="33"/>
  <c r="B1832" i="33" s="1"/>
  <c r="U36" i="31"/>
  <c r="C2167" i="33" s="1"/>
  <c r="B2167" i="33" s="1"/>
  <c r="B2106" i="33"/>
  <c r="U7" i="31"/>
  <c r="C2139" i="33" s="1"/>
  <c r="B2139" i="33" s="1"/>
  <c r="W9" i="31"/>
  <c r="C2385" i="33" s="1"/>
  <c r="B2385" i="33" s="1"/>
  <c r="U12" i="31"/>
  <c r="C2144" i="33" s="1"/>
  <c r="B2144" i="33" s="1"/>
  <c r="B2205" i="33"/>
  <c r="B2083" i="33"/>
  <c r="U32" i="31"/>
  <c r="C2163" i="33" s="1"/>
  <c r="B2163" i="33" s="1"/>
  <c r="B2224" i="33"/>
  <c r="B2102" i="33"/>
  <c r="S11" i="31"/>
  <c r="C1899" i="33" s="1"/>
  <c r="B1899" i="33" s="1"/>
  <c r="B1960" i="33"/>
  <c r="W36" i="31"/>
  <c r="C2411" i="33" s="1"/>
  <c r="B2411" i="33" s="1"/>
  <c r="W30" i="31"/>
  <c r="C2405" i="33" s="1"/>
  <c r="B2405" i="33" s="1"/>
  <c r="S15" i="31"/>
  <c r="C1903" i="33" s="1"/>
  <c r="B1903" i="33" s="1"/>
  <c r="C1842" i="33"/>
  <c r="B1842" i="33" s="1"/>
  <c r="U30" i="31"/>
  <c r="C2161" i="33" s="1"/>
  <c r="B2161" i="33" s="1"/>
  <c r="B2222" i="33"/>
  <c r="W33" i="31"/>
  <c r="C2408" i="33" s="1"/>
  <c r="B2408" i="33" s="1"/>
  <c r="U22" i="31"/>
  <c r="C2153" i="33" s="1"/>
  <c r="B2153" i="33" s="1"/>
  <c r="B2214" i="33"/>
  <c r="B2092" i="33"/>
  <c r="W11" i="31"/>
  <c r="C2387" i="33" s="1"/>
  <c r="B2387" i="33" s="1"/>
  <c r="S29" i="31"/>
  <c r="C1916" i="33" s="1"/>
  <c r="B1916" i="33" s="1"/>
  <c r="B1977" i="33"/>
  <c r="S23" i="31"/>
  <c r="C1910" i="33" s="1"/>
  <c r="B1910" i="33" s="1"/>
  <c r="B1849" i="33"/>
  <c r="B1971" i="33"/>
  <c r="S27" i="31"/>
  <c r="C1914" i="33" s="1"/>
  <c r="B1914" i="33" s="1"/>
  <c r="B1975" i="33"/>
  <c r="B1853" i="33"/>
  <c r="W25" i="31"/>
  <c r="C2400" i="33" s="1"/>
  <c r="B2400" i="33" s="1"/>
  <c r="U35" i="31"/>
  <c r="C2166" i="33" s="1"/>
  <c r="B2166" i="33" s="1"/>
  <c r="B2227" i="33"/>
  <c r="U15" i="31"/>
  <c r="C2147" i="33" s="1"/>
  <c r="B2147" i="33" s="1"/>
  <c r="B2086" i="33"/>
  <c r="S19" i="31"/>
  <c r="C1907" i="33" s="1"/>
  <c r="B1907" i="33" s="1"/>
  <c r="C1846" i="33"/>
  <c r="B1846" i="33" s="1"/>
  <c r="U31" i="31"/>
  <c r="C2162" i="33" s="1"/>
  <c r="B2162" i="33" s="1"/>
  <c r="B2223" i="33"/>
  <c r="B2101" i="33"/>
  <c r="S28" i="31"/>
  <c r="C1915" i="33" s="1"/>
  <c r="B1915" i="33" s="1"/>
  <c r="B1854" i="33"/>
  <c r="B1976" i="33"/>
  <c r="U10" i="31"/>
  <c r="C2142" i="33" s="1"/>
  <c r="B2142" i="33" s="1"/>
  <c r="B2081" i="33"/>
  <c r="U9" i="31"/>
  <c r="C2141" i="33" s="1"/>
  <c r="B2141" i="33" s="1"/>
  <c r="W34" i="31"/>
  <c r="C2409" i="33" s="1"/>
  <c r="B2409" i="33" s="1"/>
  <c r="S6" i="31"/>
  <c r="C1894" i="33" s="1"/>
  <c r="B1894" i="33" s="1"/>
  <c r="B1955" i="33"/>
  <c r="C1833" i="33"/>
  <c r="B1833" i="33" s="1"/>
  <c r="W23" i="31"/>
  <c r="C2398" i="33" s="1"/>
  <c r="B2398" i="33" s="1"/>
  <c r="W16" i="31"/>
  <c r="C2392" i="33" s="1"/>
  <c r="B2392" i="33" s="1"/>
  <c r="B57" i="25"/>
  <c r="U19" i="31"/>
  <c r="C2151" i="33" s="1"/>
  <c r="B2151" i="33" s="1"/>
  <c r="B2090" i="33"/>
  <c r="U34" i="31"/>
  <c r="C2165" i="33" s="1"/>
  <c r="B2165" i="33" s="1"/>
  <c r="B2104" i="33"/>
  <c r="B2226" i="33"/>
  <c r="S37" i="31"/>
  <c r="C1924" i="33" s="1"/>
  <c r="B1924" i="33" s="1"/>
  <c r="B1985" i="33"/>
  <c r="U23" i="31"/>
  <c r="C2154" i="33" s="1"/>
  <c r="B2154" i="33" s="1"/>
  <c r="W22" i="31"/>
  <c r="C2397" i="33" s="1"/>
  <c r="B2397" i="33" s="1"/>
  <c r="U14" i="31"/>
  <c r="C2146" i="33" s="1"/>
  <c r="B2146" i="33" s="1"/>
  <c r="B2207" i="33"/>
  <c r="W19" i="31"/>
  <c r="C2395" i="33" s="1"/>
  <c r="B2395" i="33" s="1"/>
  <c r="U8" i="31"/>
  <c r="C2140" i="33" s="1"/>
  <c r="B2140" i="33" s="1"/>
  <c r="B2079" i="33"/>
  <c r="B2201" i="33"/>
  <c r="W28" i="31"/>
  <c r="C2403" i="33" s="1"/>
  <c r="B2403" i="33" s="1"/>
  <c r="S35" i="31"/>
  <c r="C1922" i="33" s="1"/>
  <c r="B1922" i="33" s="1"/>
  <c r="B1983" i="33"/>
  <c r="U11" i="31"/>
  <c r="C2143" i="33" s="1"/>
  <c r="B2143" i="33" s="1"/>
  <c r="B2082" i="33"/>
  <c r="U16" i="31"/>
  <c r="C2148" i="33" s="1"/>
  <c r="B2148" i="33" s="1"/>
  <c r="B2087" i="33"/>
  <c r="W31" i="31"/>
  <c r="C2406" i="33" s="1"/>
  <c r="B2406" i="33" s="1"/>
  <c r="S14" i="31"/>
  <c r="C1902" i="33" s="1"/>
  <c r="B1902" i="33" s="1"/>
  <c r="B1963" i="33"/>
  <c r="C1841" i="33"/>
  <c r="B1841" i="33" s="1"/>
  <c r="W10" i="31"/>
  <c r="C2386" i="33" s="1"/>
  <c r="B2386" i="33" s="1"/>
  <c r="S18" i="31"/>
  <c r="C1906" i="33" s="1"/>
  <c r="B1906" i="33" s="1"/>
  <c r="B1967" i="33"/>
  <c r="C1845" i="33"/>
  <c r="B1845" i="33" s="1"/>
  <c r="U24" i="31"/>
  <c r="C2155" i="33" s="1"/>
  <c r="B2155" i="33" s="1"/>
  <c r="B2216" i="33"/>
  <c r="W37" i="31"/>
  <c r="C2412" i="33" s="1"/>
  <c r="B2412" i="33" s="1"/>
  <c r="Z160" i="11" l="1"/>
  <c r="V160" i="11"/>
  <c r="AA160" i="11"/>
  <c r="W160" i="11"/>
  <c r="X160" i="11"/>
  <c r="Y160" i="11"/>
  <c r="D12" i="20"/>
  <c r="C2778" i="33" s="1"/>
  <c r="B2778" i="33" s="1"/>
  <c r="C12" i="20"/>
  <c r="C2753" i="33" s="1"/>
  <c r="B2753" i="33" s="1"/>
  <c r="S160" i="11"/>
  <c r="O160" i="11"/>
  <c r="R160" i="11"/>
  <c r="N160" i="11"/>
  <c r="P160" i="11"/>
  <c r="Q160" i="11"/>
  <c r="C2693" i="33"/>
  <c r="B2693" i="33" s="1"/>
  <c r="D2676" i="33"/>
  <c r="H4" i="20"/>
  <c r="C2720" i="33"/>
  <c r="B2720" i="33" s="1"/>
  <c r="H7" i="10"/>
  <c r="C1199" i="33"/>
  <c r="B1199" i="33" s="1"/>
  <c r="B5" i="20"/>
  <c r="C2721" i="33" s="1"/>
  <c r="B2721" i="33" s="1"/>
  <c r="H29" i="10"/>
  <c r="C1197" i="33"/>
  <c r="B1197" i="33" s="1"/>
  <c r="H27" i="10"/>
  <c r="D2671" i="33"/>
  <c r="E9" i="41"/>
  <c r="C2687" i="33"/>
  <c r="B2687" i="33" s="1"/>
  <c r="K7" i="10"/>
  <c r="C1256" i="33"/>
  <c r="B1256" i="33" s="1"/>
  <c r="E5" i="20"/>
  <c r="C2796" i="33" s="1"/>
  <c r="B2796" i="33" s="1"/>
  <c r="C1217" i="33"/>
  <c r="B1217" i="33" s="1"/>
  <c r="I11" i="41"/>
  <c r="C17" i="20"/>
  <c r="C2758" i="33" s="1"/>
  <c r="B2758" i="33" s="1"/>
  <c r="I28" i="10"/>
  <c r="I7" i="10"/>
  <c r="C1218" i="33"/>
  <c r="B1218" i="33" s="1"/>
  <c r="C5" i="20"/>
  <c r="C2746" i="33" s="1"/>
  <c r="B2746" i="33" s="1"/>
  <c r="I29" i="10"/>
  <c r="C12" i="41"/>
  <c r="C2690" i="33" s="1"/>
  <c r="B2690" i="33" s="1"/>
  <c r="C2686" i="33"/>
  <c r="B2686" i="33" s="1"/>
  <c r="E8" i="41"/>
  <c r="D2670" i="33"/>
  <c r="C11" i="41"/>
  <c r="D2675" i="33"/>
  <c r="C2692" i="33"/>
  <c r="B2692" i="33" s="1"/>
  <c r="L9" i="41"/>
  <c r="C2716" i="33" s="1"/>
  <c r="B2716" i="33" s="1"/>
  <c r="C2706" i="33"/>
  <c r="B2706" i="33" s="1"/>
  <c r="H3" i="20"/>
  <c r="C2719" i="33"/>
  <c r="B2719" i="33" s="1"/>
  <c r="C2747" i="33"/>
  <c r="B2747" i="33" s="1"/>
  <c r="C22" i="20"/>
  <c r="C2763" i="33" s="1"/>
  <c r="B2763" i="33" s="1"/>
  <c r="J17" i="20"/>
  <c r="C1236" i="33"/>
  <c r="B1236" i="33" s="1"/>
  <c r="D17" i="20"/>
  <c r="C2783" i="33" s="1"/>
  <c r="B2783" i="33" s="1"/>
  <c r="J28" i="10"/>
  <c r="C1274" i="33" s="1"/>
  <c r="B1274" i="33" s="1"/>
  <c r="J7" i="10"/>
  <c r="C1237" i="33"/>
  <c r="B1237" i="33" s="1"/>
  <c r="J29" i="10"/>
  <c r="C1275" i="33" s="1"/>
  <c r="B1275" i="33" s="1"/>
  <c r="D5" i="20"/>
  <c r="C2771" i="33" s="1"/>
  <c r="B2771" i="33" s="1"/>
  <c r="C10" i="41"/>
  <c r="D2665" i="33"/>
  <c r="E3" i="41"/>
  <c r="C2681" i="33"/>
  <c r="B2681" i="33" s="1"/>
  <c r="C2695" i="33"/>
  <c r="B2695" i="33" s="1"/>
  <c r="D2678" i="33"/>
  <c r="C2707" i="33"/>
  <c r="B2707" i="33" s="1"/>
  <c r="C1198" i="33"/>
  <c r="B1198" i="33" s="1"/>
  <c r="H28" i="10"/>
  <c r="L11" i="41"/>
  <c r="C2718" i="33" s="1"/>
  <c r="B2718" i="33" s="1"/>
  <c r="C2708" i="33"/>
  <c r="B2708" i="33" s="1"/>
  <c r="D2677" i="33"/>
  <c r="C2694" i="33"/>
  <c r="B2694" i="33" s="1"/>
  <c r="C1255" i="33"/>
  <c r="B1255" i="33" s="1"/>
  <c r="E17" i="20"/>
  <c r="C2808" i="33" s="1"/>
  <c r="B2808" i="33" s="1"/>
  <c r="C1196" i="33"/>
  <c r="B1196" i="33" s="1"/>
  <c r="H26" i="10"/>
  <c r="H5" i="20"/>
  <c r="H22" i="20"/>
  <c r="F3" i="13"/>
  <c r="F3" i="15"/>
  <c r="G3" i="13"/>
  <c r="G3" i="15"/>
  <c r="H3" i="13"/>
  <c r="H3" i="15"/>
  <c r="I3" i="15"/>
  <c r="I3" i="13"/>
  <c r="I12" i="20" l="1"/>
  <c r="J12" i="20"/>
  <c r="T160" i="11"/>
  <c r="AB160" i="11"/>
  <c r="C2688" i="33"/>
  <c r="B2688" i="33" s="1"/>
  <c r="D2672" i="33"/>
  <c r="E10" i="41"/>
  <c r="C2698" i="33" s="1"/>
  <c r="B2698" i="33" s="1"/>
  <c r="D2673" i="33"/>
  <c r="E11" i="41"/>
  <c r="C2699" i="33" s="1"/>
  <c r="B2699" i="33" s="1"/>
  <c r="C2689" i="33"/>
  <c r="B2689" i="33" s="1"/>
  <c r="C1200" i="33"/>
  <c r="B1200" i="33" s="1"/>
  <c r="H30" i="10"/>
  <c r="B18" i="20"/>
  <c r="C2734" i="33" s="1"/>
  <c r="B2734" i="33" s="1"/>
  <c r="C1219" i="33"/>
  <c r="B1219" i="33" s="1"/>
  <c r="C18" i="20"/>
  <c r="I30" i="10"/>
  <c r="C2696" i="33"/>
  <c r="B2696" i="33" s="1"/>
  <c r="D2679" i="33"/>
  <c r="C2697" i="33"/>
  <c r="B2697" i="33" s="1"/>
  <c r="D2680" i="33"/>
  <c r="J5" i="20"/>
  <c r="I5" i="20"/>
  <c r="C1238" i="33"/>
  <c r="B1238" i="33" s="1"/>
  <c r="J30" i="10"/>
  <c r="C1276" i="33" s="1"/>
  <c r="B1276" i="33" s="1"/>
  <c r="D18" i="20"/>
  <c r="C1257" i="33"/>
  <c r="B1257" i="33" s="1"/>
  <c r="E18" i="20"/>
  <c r="C2809" i="33" s="1"/>
  <c r="B2809" i="33" s="1"/>
  <c r="D2674" i="33"/>
  <c r="C2691" i="33"/>
  <c r="B2691" i="33" s="1"/>
  <c r="I17" i="20"/>
  <c r="H39" i="15"/>
  <c r="C1012" i="33" s="1"/>
  <c r="B1012" i="33" s="1"/>
  <c r="U160" i="11" l="1"/>
  <c r="W147" i="11"/>
  <c r="C2561" i="33" s="1"/>
  <c r="B2561" i="33" s="1"/>
  <c r="AC160" i="11"/>
  <c r="Q147" i="11"/>
  <c r="C2525" i="33" s="1"/>
  <c r="B2525" i="33" s="1"/>
  <c r="C2784" i="33"/>
  <c r="B2784" i="33" s="1"/>
  <c r="J18" i="20"/>
  <c r="C2759" i="33"/>
  <c r="B2759" i="33" s="1"/>
  <c r="I18" i="20"/>
  <c r="B59" i="13"/>
  <c r="N147" i="11" l="1"/>
  <c r="C2507" i="33" s="1"/>
  <c r="B2507" i="33" s="1"/>
  <c r="T147" i="11"/>
  <c r="C2543" i="33" s="1"/>
  <c r="B2543" i="33" s="1"/>
  <c r="I2" i="10"/>
  <c r="I25" i="10" s="1"/>
  <c r="J2" i="10"/>
  <c r="J25" i="10" s="1"/>
  <c r="K2" i="10"/>
  <c r="H2" i="10"/>
  <c r="H25" i="10" s="1"/>
  <c r="I43" i="13" l="1"/>
  <c r="C758" i="33" s="1"/>
  <c r="B758" i="33" s="1"/>
  <c r="I44" i="13"/>
  <c r="C759" i="33" s="1"/>
  <c r="B759" i="33" s="1"/>
  <c r="H43" i="13"/>
  <c r="C717" i="33" s="1"/>
  <c r="B717" i="33" s="1"/>
  <c r="H44" i="13"/>
  <c r="C718" i="33" s="1"/>
  <c r="B718" i="33" s="1"/>
  <c r="G43" i="13"/>
  <c r="C676" i="33" s="1"/>
  <c r="B676" i="33" s="1"/>
  <c r="G44" i="13"/>
  <c r="C677" i="33" s="1"/>
  <c r="B677" i="33" s="1"/>
  <c r="G45" i="13"/>
  <c r="C678" i="33" s="1"/>
  <c r="B678" i="33" s="1"/>
  <c r="F44" i="13"/>
  <c r="G42" i="15"/>
  <c r="H42" i="15"/>
  <c r="I42" i="15"/>
  <c r="G41" i="15"/>
  <c r="C978" i="33" s="1"/>
  <c r="B978" i="33" s="1"/>
  <c r="H41" i="15"/>
  <c r="C1014" i="33" s="1"/>
  <c r="B1014" i="33" s="1"/>
  <c r="I41" i="15"/>
  <c r="C1050" i="33" s="1"/>
  <c r="B1050" i="33" s="1"/>
  <c r="G40" i="15"/>
  <c r="H40" i="15"/>
  <c r="I40" i="15"/>
  <c r="G38" i="15"/>
  <c r="H38" i="15"/>
  <c r="I38" i="15"/>
  <c r="G37" i="15"/>
  <c r="H37" i="15"/>
  <c r="I37" i="15"/>
  <c r="I35" i="15"/>
  <c r="C1044" i="33" s="1"/>
  <c r="B1044" i="33" s="1"/>
  <c r="I36" i="15"/>
  <c r="C1045" i="33" s="1"/>
  <c r="B1045" i="33" s="1"/>
  <c r="H35" i="15"/>
  <c r="C1008" i="33" s="1"/>
  <c r="B1008" i="33" s="1"/>
  <c r="H36" i="15"/>
  <c r="C1009" i="33" s="1"/>
  <c r="B1009" i="33" s="1"/>
  <c r="G35" i="15"/>
  <c r="C972" i="33" s="1"/>
  <c r="B972" i="33" s="1"/>
  <c r="G36" i="15"/>
  <c r="C973" i="33" s="1"/>
  <c r="B973" i="33" s="1"/>
  <c r="G34" i="15"/>
  <c r="C971" i="33" s="1"/>
  <c r="B971" i="33" s="1"/>
  <c r="H34" i="15"/>
  <c r="C1007" i="33" s="1"/>
  <c r="B1007" i="33" s="1"/>
  <c r="I34" i="15"/>
  <c r="C1043" i="33" s="1"/>
  <c r="B1043" i="33" s="1"/>
  <c r="F35" i="15"/>
  <c r="C936" i="33" s="1"/>
  <c r="B936" i="33" s="1"/>
  <c r="F36" i="15"/>
  <c r="C937" i="33" s="1"/>
  <c r="B937" i="33" s="1"/>
  <c r="G33" i="15"/>
  <c r="H33" i="15"/>
  <c r="I33" i="15"/>
  <c r="I29" i="15"/>
  <c r="C1038" i="33" s="1"/>
  <c r="B1038" i="33" s="1"/>
  <c r="I30" i="15"/>
  <c r="C1039" i="33" s="1"/>
  <c r="B1039" i="33" s="1"/>
  <c r="I32" i="15"/>
  <c r="C1041" i="33" s="1"/>
  <c r="B1041" i="33" s="1"/>
  <c r="I31" i="15"/>
  <c r="C1040" i="33" s="1"/>
  <c r="B1040" i="33" s="1"/>
  <c r="H29" i="15"/>
  <c r="C1002" i="33" s="1"/>
  <c r="B1002" i="33" s="1"/>
  <c r="H30" i="15"/>
  <c r="C1003" i="33" s="1"/>
  <c r="B1003" i="33" s="1"/>
  <c r="H32" i="15"/>
  <c r="C1005" i="33" s="1"/>
  <c r="B1005" i="33" s="1"/>
  <c r="H31" i="15"/>
  <c r="C1004" i="33" s="1"/>
  <c r="B1004" i="33" s="1"/>
  <c r="G29" i="15"/>
  <c r="C966" i="33" s="1"/>
  <c r="B966" i="33" s="1"/>
  <c r="G30" i="15"/>
  <c r="C967" i="33" s="1"/>
  <c r="B967" i="33" s="1"/>
  <c r="G32" i="15"/>
  <c r="C969" i="33" s="1"/>
  <c r="B969" i="33" s="1"/>
  <c r="G31" i="15"/>
  <c r="C968" i="33" s="1"/>
  <c r="B968" i="33" s="1"/>
  <c r="F29" i="15"/>
  <c r="C930" i="33" s="1"/>
  <c r="B930" i="33" s="1"/>
  <c r="F30" i="15"/>
  <c r="C931" i="33" s="1"/>
  <c r="B931" i="33" s="1"/>
  <c r="F32" i="15"/>
  <c r="C933" i="33" s="1"/>
  <c r="B933" i="33" s="1"/>
  <c r="F31" i="15"/>
  <c r="C932" i="33" s="1"/>
  <c r="B932" i="33" s="1"/>
  <c r="G27" i="15"/>
  <c r="H27" i="15"/>
  <c r="I27" i="15"/>
  <c r="G26" i="15"/>
  <c r="H26" i="15"/>
  <c r="I26" i="15"/>
  <c r="I23" i="15"/>
  <c r="C1033" i="33" s="1"/>
  <c r="B1033" i="33" s="1"/>
  <c r="I24" i="15"/>
  <c r="C1034" i="33" s="1"/>
  <c r="B1034" i="33" s="1"/>
  <c r="I25" i="15"/>
  <c r="C1035" i="33" s="1"/>
  <c r="B1035" i="33" s="1"/>
  <c r="H23" i="15"/>
  <c r="C997" i="33" s="1"/>
  <c r="B997" i="33" s="1"/>
  <c r="H24" i="15"/>
  <c r="C998" i="33" s="1"/>
  <c r="B998" i="33" s="1"/>
  <c r="H25" i="15"/>
  <c r="C999" i="33" s="1"/>
  <c r="B999" i="33" s="1"/>
  <c r="G23" i="15"/>
  <c r="C961" i="33" s="1"/>
  <c r="B961" i="33" s="1"/>
  <c r="G24" i="15"/>
  <c r="C962" i="33" s="1"/>
  <c r="B962" i="33" s="1"/>
  <c r="G25" i="15"/>
  <c r="C963" i="33" s="1"/>
  <c r="B963" i="33" s="1"/>
  <c r="F23" i="15"/>
  <c r="C925" i="33" s="1"/>
  <c r="B925" i="33" s="1"/>
  <c r="F24" i="15"/>
  <c r="C926" i="33" s="1"/>
  <c r="B926" i="33" s="1"/>
  <c r="F25" i="15"/>
  <c r="C927" i="33" s="1"/>
  <c r="B927" i="33" s="1"/>
  <c r="G22" i="15"/>
  <c r="C960" i="33" s="1"/>
  <c r="B960" i="33" s="1"/>
  <c r="H22" i="15"/>
  <c r="C996" i="33" s="1"/>
  <c r="B996" i="33" s="1"/>
  <c r="I22" i="15"/>
  <c r="C1032" i="33" s="1"/>
  <c r="B1032" i="33" s="1"/>
  <c r="G21" i="15"/>
  <c r="H21" i="15"/>
  <c r="I21" i="15"/>
  <c r="I16" i="15"/>
  <c r="C1026" i="33" s="1"/>
  <c r="B1026" i="33" s="1"/>
  <c r="I17" i="15"/>
  <c r="C1027" i="33" s="1"/>
  <c r="B1027" i="33" s="1"/>
  <c r="I18" i="15"/>
  <c r="C1028" i="33" s="1"/>
  <c r="B1028" i="33" s="1"/>
  <c r="I19" i="15"/>
  <c r="C1029" i="33" s="1"/>
  <c r="B1029" i="33" s="1"/>
  <c r="I20" i="15"/>
  <c r="C1030" i="33" s="1"/>
  <c r="B1030" i="33" s="1"/>
  <c r="H16" i="15"/>
  <c r="C990" i="33" s="1"/>
  <c r="B990" i="33" s="1"/>
  <c r="H17" i="15"/>
  <c r="C991" i="33" s="1"/>
  <c r="B991" i="33" s="1"/>
  <c r="H18" i="15"/>
  <c r="C992" i="33" s="1"/>
  <c r="B992" i="33" s="1"/>
  <c r="H19" i="15"/>
  <c r="C993" i="33" s="1"/>
  <c r="B993" i="33" s="1"/>
  <c r="H20" i="15"/>
  <c r="C994" i="33" s="1"/>
  <c r="B994" i="33" s="1"/>
  <c r="G16" i="15"/>
  <c r="C954" i="33" s="1"/>
  <c r="B954" i="33" s="1"/>
  <c r="G17" i="15"/>
  <c r="C955" i="33" s="1"/>
  <c r="B955" i="33" s="1"/>
  <c r="G18" i="15"/>
  <c r="C956" i="33" s="1"/>
  <c r="B956" i="33" s="1"/>
  <c r="G19" i="15"/>
  <c r="C957" i="33" s="1"/>
  <c r="B957" i="33" s="1"/>
  <c r="G20" i="15"/>
  <c r="C958" i="33" s="1"/>
  <c r="B958" i="33" s="1"/>
  <c r="F16" i="15"/>
  <c r="C918" i="33" s="1"/>
  <c r="B918" i="33" s="1"/>
  <c r="F17" i="15"/>
  <c r="C919" i="33" s="1"/>
  <c r="B919" i="33" s="1"/>
  <c r="F18" i="15"/>
  <c r="C920" i="33" s="1"/>
  <c r="B920" i="33" s="1"/>
  <c r="F19" i="15"/>
  <c r="C921" i="33" s="1"/>
  <c r="B921" i="33" s="1"/>
  <c r="F20" i="15"/>
  <c r="C922" i="33" s="1"/>
  <c r="B922" i="33" s="1"/>
  <c r="G13" i="15"/>
  <c r="H13" i="15"/>
  <c r="I13" i="15"/>
  <c r="I10" i="15"/>
  <c r="C1021" i="33" s="1"/>
  <c r="B1021" i="33" s="1"/>
  <c r="I11" i="15"/>
  <c r="C1022" i="33" s="1"/>
  <c r="B1022" i="33" s="1"/>
  <c r="I12" i="15"/>
  <c r="C1023" i="33" s="1"/>
  <c r="B1023" i="33" s="1"/>
  <c r="H10" i="15"/>
  <c r="C985" i="33" s="1"/>
  <c r="B985" i="33" s="1"/>
  <c r="H11" i="15"/>
  <c r="C986" i="33" s="1"/>
  <c r="B986" i="33" s="1"/>
  <c r="H12" i="15"/>
  <c r="C987" i="33" s="1"/>
  <c r="B987" i="33" s="1"/>
  <c r="G10" i="15"/>
  <c r="C949" i="33" s="1"/>
  <c r="B949" i="33" s="1"/>
  <c r="G11" i="15"/>
  <c r="C950" i="33" s="1"/>
  <c r="B950" i="33" s="1"/>
  <c r="G12" i="15"/>
  <c r="C951" i="33" s="1"/>
  <c r="B951" i="33" s="1"/>
  <c r="F10" i="15"/>
  <c r="C913" i="33" s="1"/>
  <c r="B913" i="33" s="1"/>
  <c r="F11" i="15"/>
  <c r="C914" i="33" s="1"/>
  <c r="B914" i="33" s="1"/>
  <c r="F12" i="15"/>
  <c r="C915" i="33" s="1"/>
  <c r="B915" i="33" s="1"/>
  <c r="G9" i="15"/>
  <c r="C948" i="33" s="1"/>
  <c r="B948" i="33" s="1"/>
  <c r="H9" i="15"/>
  <c r="C984" i="33" s="1"/>
  <c r="B984" i="33" s="1"/>
  <c r="I9" i="15"/>
  <c r="C1020" i="33" s="1"/>
  <c r="B1020" i="33" s="1"/>
  <c r="G8" i="15"/>
  <c r="H8" i="15"/>
  <c r="I8" i="15"/>
  <c r="G7" i="15"/>
  <c r="C946" i="33" s="1"/>
  <c r="B946" i="33" s="1"/>
  <c r="H7" i="15"/>
  <c r="C982" i="33" s="1"/>
  <c r="B982" i="33" s="1"/>
  <c r="I7" i="15"/>
  <c r="C1018" i="33" s="1"/>
  <c r="B1018" i="33" s="1"/>
  <c r="G6" i="15"/>
  <c r="C945" i="33" s="1"/>
  <c r="B945" i="33" s="1"/>
  <c r="H6" i="15"/>
  <c r="C981" i="33" s="1"/>
  <c r="B981" i="33" s="1"/>
  <c r="I6" i="15"/>
  <c r="C1017" i="33" s="1"/>
  <c r="B1017" i="33" s="1"/>
  <c r="F6" i="15"/>
  <c r="C909" i="33" s="1"/>
  <c r="B909" i="33" s="1"/>
  <c r="F7" i="15"/>
  <c r="C910" i="33" s="1"/>
  <c r="B910" i="33" s="1"/>
  <c r="G5" i="15"/>
  <c r="C944" i="33" s="1"/>
  <c r="B944" i="33" s="1"/>
  <c r="H5" i="15"/>
  <c r="C980" i="33" s="1"/>
  <c r="B980" i="33" s="1"/>
  <c r="I5" i="15"/>
  <c r="C1016" i="33" s="1"/>
  <c r="B1016" i="33" s="1"/>
  <c r="G48" i="13"/>
  <c r="C681" i="33" s="1"/>
  <c r="B681" i="33" s="1"/>
  <c r="H48" i="13"/>
  <c r="C722" i="33" s="1"/>
  <c r="B722" i="33" s="1"/>
  <c r="I48" i="13"/>
  <c r="C763" i="33" s="1"/>
  <c r="B763" i="33" s="1"/>
  <c r="G47" i="13"/>
  <c r="C680" i="33" s="1"/>
  <c r="B680" i="33" s="1"/>
  <c r="H47" i="13"/>
  <c r="C721" i="33" s="1"/>
  <c r="B721" i="33" s="1"/>
  <c r="I47" i="13"/>
  <c r="C762" i="33" s="1"/>
  <c r="B762" i="33" s="1"/>
  <c r="G46" i="13"/>
  <c r="C679" i="33" s="1"/>
  <c r="B679" i="33" s="1"/>
  <c r="H46" i="13"/>
  <c r="C720" i="33" s="1"/>
  <c r="B720" i="33" s="1"/>
  <c r="I46" i="13"/>
  <c r="C761" i="33" s="1"/>
  <c r="B761" i="33" s="1"/>
  <c r="I28" i="13"/>
  <c r="C744" i="33" s="1"/>
  <c r="B744" i="33" s="1"/>
  <c r="I29" i="13"/>
  <c r="C745" i="33" s="1"/>
  <c r="B745" i="33" s="1"/>
  <c r="I31" i="13"/>
  <c r="I32" i="13"/>
  <c r="C747" i="33" s="1"/>
  <c r="B747" i="33" s="1"/>
  <c r="I33" i="13"/>
  <c r="C748" i="33" s="1"/>
  <c r="B748" i="33" s="1"/>
  <c r="I34" i="13"/>
  <c r="C749" i="33" s="1"/>
  <c r="B749" i="33" s="1"/>
  <c r="I35" i="13"/>
  <c r="C750" i="33" s="1"/>
  <c r="B750" i="33" s="1"/>
  <c r="I36" i="13"/>
  <c r="C751" i="33" s="1"/>
  <c r="B751" i="33" s="1"/>
  <c r="I37" i="13"/>
  <c r="C752" i="33" s="1"/>
  <c r="B752" i="33" s="1"/>
  <c r="I38" i="13"/>
  <c r="C753" i="33" s="1"/>
  <c r="B753" i="33" s="1"/>
  <c r="I39" i="13"/>
  <c r="C754" i="33" s="1"/>
  <c r="B754" i="33" s="1"/>
  <c r="I40" i="13"/>
  <c r="C755" i="33" s="1"/>
  <c r="B755" i="33" s="1"/>
  <c r="I41" i="13"/>
  <c r="C756" i="33" s="1"/>
  <c r="B756" i="33" s="1"/>
  <c r="I42" i="13"/>
  <c r="C757" i="33" s="1"/>
  <c r="B757" i="33" s="1"/>
  <c r="I45" i="13"/>
  <c r="C760" i="33" s="1"/>
  <c r="B760" i="33" s="1"/>
  <c r="H28" i="13"/>
  <c r="C703" i="33" s="1"/>
  <c r="B703" i="33" s="1"/>
  <c r="H29" i="13"/>
  <c r="C704" i="33" s="1"/>
  <c r="B704" i="33" s="1"/>
  <c r="H31" i="13"/>
  <c r="H32" i="13"/>
  <c r="C706" i="33" s="1"/>
  <c r="B706" i="33" s="1"/>
  <c r="H33" i="13"/>
  <c r="C707" i="33" s="1"/>
  <c r="B707" i="33" s="1"/>
  <c r="H34" i="13"/>
  <c r="C708" i="33" s="1"/>
  <c r="B708" i="33" s="1"/>
  <c r="H35" i="13"/>
  <c r="H36" i="13"/>
  <c r="H37" i="13"/>
  <c r="C711" i="33" s="1"/>
  <c r="B711" i="33" s="1"/>
  <c r="H38" i="13"/>
  <c r="C712" i="33" s="1"/>
  <c r="B712" i="33" s="1"/>
  <c r="H39" i="13"/>
  <c r="H40" i="13"/>
  <c r="H41" i="13"/>
  <c r="H42" i="13"/>
  <c r="C716" i="33" s="1"/>
  <c r="B716" i="33" s="1"/>
  <c r="H45" i="13"/>
  <c r="C719" i="33" s="1"/>
  <c r="B719" i="33" s="1"/>
  <c r="G28" i="13"/>
  <c r="C662" i="33" s="1"/>
  <c r="B662" i="33" s="1"/>
  <c r="G29" i="13"/>
  <c r="C663" i="33" s="1"/>
  <c r="B663" i="33" s="1"/>
  <c r="G31" i="13"/>
  <c r="G32" i="13"/>
  <c r="C665" i="33" s="1"/>
  <c r="B665" i="33" s="1"/>
  <c r="G33" i="13"/>
  <c r="C666" i="33" s="1"/>
  <c r="B666" i="33" s="1"/>
  <c r="G34" i="13"/>
  <c r="C667" i="33" s="1"/>
  <c r="B667" i="33" s="1"/>
  <c r="G35" i="13"/>
  <c r="C668" i="33" s="1"/>
  <c r="B668" i="33" s="1"/>
  <c r="G36" i="13"/>
  <c r="C669" i="33" s="1"/>
  <c r="B669" i="33" s="1"/>
  <c r="G37" i="13"/>
  <c r="G38" i="13"/>
  <c r="G39" i="13"/>
  <c r="G40" i="13"/>
  <c r="C673" i="33" s="1"/>
  <c r="B673" i="33" s="1"/>
  <c r="G41" i="13"/>
  <c r="G42" i="13"/>
  <c r="C675" i="33" s="1"/>
  <c r="B675" i="33" s="1"/>
  <c r="F28" i="13"/>
  <c r="F29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5" i="13"/>
  <c r="G26" i="13"/>
  <c r="H26" i="13"/>
  <c r="C702" i="33" s="1"/>
  <c r="B702" i="33" s="1"/>
  <c r="I26" i="13"/>
  <c r="C743" i="33" s="1"/>
  <c r="B743" i="33" s="1"/>
  <c r="G25" i="13"/>
  <c r="C660" i="33" s="1"/>
  <c r="B660" i="33" s="1"/>
  <c r="H25" i="13"/>
  <c r="C701" i="33" s="1"/>
  <c r="B701" i="33" s="1"/>
  <c r="I25" i="13"/>
  <c r="C742" i="33" s="1"/>
  <c r="B742" i="33" s="1"/>
  <c r="G24" i="13"/>
  <c r="C659" i="33" s="1"/>
  <c r="B659" i="33" s="1"/>
  <c r="H24" i="13"/>
  <c r="C700" i="33" s="1"/>
  <c r="B700" i="33" s="1"/>
  <c r="I24" i="13"/>
  <c r="C741" i="33" s="1"/>
  <c r="B741" i="33" s="1"/>
  <c r="G23" i="13"/>
  <c r="C658" i="33" s="1"/>
  <c r="B658" i="33" s="1"/>
  <c r="H23" i="13"/>
  <c r="C699" i="33" s="1"/>
  <c r="B699" i="33" s="1"/>
  <c r="I23" i="13"/>
  <c r="C740" i="33" s="1"/>
  <c r="B740" i="33" s="1"/>
  <c r="G22" i="13"/>
  <c r="C657" i="33" s="1"/>
  <c r="B657" i="33" s="1"/>
  <c r="H22" i="13"/>
  <c r="C698" i="33" s="1"/>
  <c r="B698" i="33" s="1"/>
  <c r="I22" i="13"/>
  <c r="C739" i="33" s="1"/>
  <c r="B739" i="33" s="1"/>
  <c r="G21" i="13"/>
  <c r="H21" i="13"/>
  <c r="C697" i="33" s="1"/>
  <c r="B697" i="33" s="1"/>
  <c r="I21" i="13"/>
  <c r="C738" i="33" s="1"/>
  <c r="B738" i="33" s="1"/>
  <c r="I8" i="13"/>
  <c r="C725" i="33" s="1"/>
  <c r="B725" i="33" s="1"/>
  <c r="I9" i="13"/>
  <c r="I10" i="13"/>
  <c r="I11" i="13"/>
  <c r="I12" i="13"/>
  <c r="I13" i="13"/>
  <c r="C730" i="33" s="1"/>
  <c r="B730" i="33" s="1"/>
  <c r="I14" i="13"/>
  <c r="C731" i="33" s="1"/>
  <c r="B731" i="33" s="1"/>
  <c r="I19" i="13"/>
  <c r="I15" i="13"/>
  <c r="C732" i="33" s="1"/>
  <c r="B732" i="33" s="1"/>
  <c r="I16" i="13"/>
  <c r="C733" i="33" s="1"/>
  <c r="B733" i="33" s="1"/>
  <c r="I17" i="13"/>
  <c r="C734" i="33" s="1"/>
  <c r="B734" i="33" s="1"/>
  <c r="I18" i="13"/>
  <c r="C735" i="33" s="1"/>
  <c r="B735" i="33" s="1"/>
  <c r="I20" i="13"/>
  <c r="C737" i="33" s="1"/>
  <c r="B737" i="33" s="1"/>
  <c r="H8" i="13"/>
  <c r="C684" i="33" s="1"/>
  <c r="B684" i="33" s="1"/>
  <c r="H9" i="13"/>
  <c r="H10" i="13"/>
  <c r="H11" i="13"/>
  <c r="H13" i="13"/>
  <c r="C689" i="33" s="1"/>
  <c r="B689" i="33" s="1"/>
  <c r="H14" i="13"/>
  <c r="C690" i="33" s="1"/>
  <c r="B690" i="33" s="1"/>
  <c r="H19" i="13"/>
  <c r="H15" i="13"/>
  <c r="C691" i="33" s="1"/>
  <c r="B691" i="33" s="1"/>
  <c r="H16" i="13"/>
  <c r="C692" i="33" s="1"/>
  <c r="B692" i="33" s="1"/>
  <c r="H17" i="13"/>
  <c r="C693" i="33" s="1"/>
  <c r="B693" i="33" s="1"/>
  <c r="H18" i="13"/>
  <c r="C694" i="33" s="1"/>
  <c r="B694" i="33" s="1"/>
  <c r="H20" i="13"/>
  <c r="C696" i="33" s="1"/>
  <c r="B696" i="33" s="1"/>
  <c r="G8" i="13"/>
  <c r="C643" i="33" s="1"/>
  <c r="B643" i="33" s="1"/>
  <c r="G9" i="13"/>
  <c r="G10" i="13"/>
  <c r="G11" i="13"/>
  <c r="G12" i="13"/>
  <c r="G13" i="13"/>
  <c r="C648" i="33" s="1"/>
  <c r="B648" i="33" s="1"/>
  <c r="G14" i="13"/>
  <c r="C649" i="33" s="1"/>
  <c r="B649" i="33" s="1"/>
  <c r="G19" i="13"/>
  <c r="G15" i="13"/>
  <c r="C650" i="33" s="1"/>
  <c r="B650" i="33" s="1"/>
  <c r="G16" i="13"/>
  <c r="C651" i="33" s="1"/>
  <c r="B651" i="33" s="1"/>
  <c r="G17" i="13"/>
  <c r="C652" i="33" s="1"/>
  <c r="B652" i="33" s="1"/>
  <c r="G18" i="13"/>
  <c r="C653" i="33" s="1"/>
  <c r="B653" i="33" s="1"/>
  <c r="G20" i="13"/>
  <c r="C655" i="33" s="1"/>
  <c r="B655" i="33" s="1"/>
  <c r="F8" i="13"/>
  <c r="F9" i="13"/>
  <c r="F10" i="13"/>
  <c r="F11" i="13"/>
  <c r="F12" i="13"/>
  <c r="F13" i="13"/>
  <c r="F14" i="13"/>
  <c r="F19" i="13"/>
  <c r="F15" i="13"/>
  <c r="F16" i="13"/>
  <c r="F17" i="13"/>
  <c r="F18" i="13"/>
  <c r="F20" i="13"/>
  <c r="G7" i="13"/>
  <c r="H7" i="13"/>
  <c r="C683" i="33" s="1"/>
  <c r="B683" i="33" s="1"/>
  <c r="I7" i="13"/>
  <c r="C724" i="33" s="1"/>
  <c r="B724" i="33" s="1"/>
  <c r="G4" i="13"/>
  <c r="H4" i="13"/>
  <c r="I4" i="13"/>
  <c r="C723" i="33" s="1"/>
  <c r="B723" i="33" s="1"/>
  <c r="R64" i="25"/>
  <c r="R65" i="25"/>
  <c r="P64" i="25"/>
  <c r="N64" i="25"/>
  <c r="L47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C682" i="33" l="1"/>
  <c r="B682" i="33" s="1"/>
  <c r="H67" i="13"/>
  <c r="G65" i="13"/>
  <c r="H65" i="13"/>
  <c r="I66" i="13"/>
  <c r="G64" i="13"/>
  <c r="H64" i="13"/>
  <c r="I65" i="13"/>
  <c r="G67" i="13"/>
  <c r="I64" i="13"/>
  <c r="G66" i="13"/>
  <c r="H66" i="13"/>
  <c r="I67" i="13"/>
  <c r="C1013" i="33"/>
  <c r="B1013" i="33" s="1"/>
  <c r="L167" i="11"/>
  <c r="C1001" i="33"/>
  <c r="B1001" i="33" s="1"/>
  <c r="L163" i="11"/>
  <c r="C1046" i="33"/>
  <c r="B1046" i="33" s="1"/>
  <c r="M165" i="11"/>
  <c r="C977" i="33"/>
  <c r="B977" i="33" s="1"/>
  <c r="K167" i="11"/>
  <c r="C1037" i="33"/>
  <c r="B1037" i="33" s="1"/>
  <c r="M163" i="11"/>
  <c r="C1019" i="33"/>
  <c r="B1019" i="33" s="1"/>
  <c r="M158" i="11"/>
  <c r="C32" i="10"/>
  <c r="C965" i="33"/>
  <c r="B965" i="33" s="1"/>
  <c r="K163" i="11"/>
  <c r="C1010" i="33"/>
  <c r="B1010" i="33" s="1"/>
  <c r="L165" i="11"/>
  <c r="C983" i="33"/>
  <c r="B983" i="33" s="1"/>
  <c r="L158" i="11"/>
  <c r="C1031" i="33"/>
  <c r="B1031" i="33" s="1"/>
  <c r="M161" i="11"/>
  <c r="C1042" i="33"/>
  <c r="B1042" i="33" s="1"/>
  <c r="M164" i="11"/>
  <c r="C974" i="33"/>
  <c r="B974" i="33" s="1"/>
  <c r="K165" i="11"/>
  <c r="C947" i="33"/>
  <c r="B947" i="33" s="1"/>
  <c r="K158" i="11"/>
  <c r="C1024" i="33"/>
  <c r="B1024" i="33" s="1"/>
  <c r="M159" i="11"/>
  <c r="C995" i="33"/>
  <c r="B995" i="33" s="1"/>
  <c r="L161" i="11"/>
  <c r="C1006" i="33"/>
  <c r="B1006" i="33" s="1"/>
  <c r="L164" i="11"/>
  <c r="C1047" i="33"/>
  <c r="B1047" i="33" s="1"/>
  <c r="M166" i="11"/>
  <c r="C988" i="33"/>
  <c r="B988" i="33" s="1"/>
  <c r="L159" i="11"/>
  <c r="C959" i="33"/>
  <c r="B959" i="33" s="1"/>
  <c r="K161" i="11"/>
  <c r="I50" i="15"/>
  <c r="C1036" i="33"/>
  <c r="B1036" i="33" s="1"/>
  <c r="M162" i="11"/>
  <c r="C970" i="33"/>
  <c r="B970" i="33" s="1"/>
  <c r="K164" i="11"/>
  <c r="C1011" i="33"/>
  <c r="B1011" i="33" s="1"/>
  <c r="L166" i="11"/>
  <c r="I56" i="15"/>
  <c r="I57" i="15" s="1"/>
  <c r="C1051" i="33"/>
  <c r="B1051" i="33" s="1"/>
  <c r="G47" i="15"/>
  <c r="C952" i="33"/>
  <c r="B952" i="33" s="1"/>
  <c r="K159" i="11"/>
  <c r="H50" i="15"/>
  <c r="C1000" i="33"/>
  <c r="B1000" i="33" s="1"/>
  <c r="L162" i="11"/>
  <c r="C975" i="33"/>
  <c r="B975" i="33" s="1"/>
  <c r="K166" i="11"/>
  <c r="H56" i="15"/>
  <c r="H57" i="15" s="1"/>
  <c r="C1015" i="33"/>
  <c r="B1015" i="33" s="1"/>
  <c r="C964" i="33"/>
  <c r="B964" i="33" s="1"/>
  <c r="K162" i="11"/>
  <c r="C1049" i="33"/>
  <c r="B1049" i="33" s="1"/>
  <c r="M167" i="11"/>
  <c r="G56" i="15"/>
  <c r="G57" i="15" s="1"/>
  <c r="C979" i="33"/>
  <c r="B979" i="33" s="1"/>
  <c r="C647" i="33"/>
  <c r="B647" i="33" s="1"/>
  <c r="F140" i="11"/>
  <c r="C2672" i="33" s="1"/>
  <c r="B2672" i="33" s="1"/>
  <c r="H62" i="13"/>
  <c r="H63" i="13" s="1"/>
  <c r="C685" i="33"/>
  <c r="B685" i="33" s="1"/>
  <c r="G141" i="11"/>
  <c r="C2659" i="33" s="1"/>
  <c r="B2659" i="33" s="1"/>
  <c r="H137" i="11"/>
  <c r="C661" i="33"/>
  <c r="B661" i="33" s="1"/>
  <c r="C25" i="10"/>
  <c r="D631" i="33"/>
  <c r="C629" i="33"/>
  <c r="B629" i="33" s="1"/>
  <c r="D622" i="33"/>
  <c r="C621" i="33"/>
  <c r="B621" i="33" s="1"/>
  <c r="D638" i="33"/>
  <c r="C636" i="33"/>
  <c r="B636" i="33" s="1"/>
  <c r="D608" i="33"/>
  <c r="C608" i="33"/>
  <c r="B608" i="33" s="1"/>
  <c r="B15" i="44"/>
  <c r="C656" i="33"/>
  <c r="B656" i="33" s="1"/>
  <c r="D639" i="33"/>
  <c r="C637" i="33"/>
  <c r="B637" i="33" s="1"/>
  <c r="D630" i="33"/>
  <c r="C628" i="33"/>
  <c r="B628" i="33" s="1"/>
  <c r="L41" i="13"/>
  <c r="C715" i="33"/>
  <c r="B715" i="33" s="1"/>
  <c r="D613" i="33"/>
  <c r="C613" i="33"/>
  <c r="B613" i="33" s="1"/>
  <c r="C646" i="33"/>
  <c r="B646" i="33" s="1"/>
  <c r="F139" i="11"/>
  <c r="C2671" i="33" s="1"/>
  <c r="B2671" i="33" s="1"/>
  <c r="C642" i="33"/>
  <c r="B642" i="33" s="1"/>
  <c r="B6" i="44"/>
  <c r="B11" i="44" s="1"/>
  <c r="B5" i="44"/>
  <c r="B10" i="44" s="1"/>
  <c r="B7" i="44"/>
  <c r="B12" i="44" s="1"/>
  <c r="D607" i="33"/>
  <c r="C607" i="33"/>
  <c r="B607" i="33" s="1"/>
  <c r="C645" i="33"/>
  <c r="B645" i="33" s="1"/>
  <c r="F138" i="11"/>
  <c r="C2670" i="33" s="1"/>
  <c r="B2670" i="33" s="1"/>
  <c r="H53" i="13"/>
  <c r="C695" i="33"/>
  <c r="B695" i="33" s="1"/>
  <c r="C729" i="33"/>
  <c r="B729" i="33" s="1"/>
  <c r="J140" i="11"/>
  <c r="C2680" i="33" s="1"/>
  <c r="B2680" i="33" s="1"/>
  <c r="D637" i="33"/>
  <c r="C635" i="33"/>
  <c r="B635" i="33" s="1"/>
  <c r="D629" i="33"/>
  <c r="C627" i="33"/>
  <c r="B627" i="33" s="1"/>
  <c r="J41" i="13"/>
  <c r="C674" i="33"/>
  <c r="B674" i="33" s="1"/>
  <c r="L40" i="13"/>
  <c r="M40" i="13" s="1"/>
  <c r="C714" i="33"/>
  <c r="B714" i="33" s="1"/>
  <c r="C746" i="33"/>
  <c r="B746" i="33" s="1"/>
  <c r="E11" i="20"/>
  <c r="C2802" i="33" s="1"/>
  <c r="B2802" i="33" s="1"/>
  <c r="D623" i="33"/>
  <c r="C622" i="33"/>
  <c r="B622" i="33" s="1"/>
  <c r="D614" i="33"/>
  <c r="C614" i="33"/>
  <c r="B614" i="33" s="1"/>
  <c r="D606" i="33"/>
  <c r="C606" i="33"/>
  <c r="B606" i="33" s="1"/>
  <c r="G62" i="13"/>
  <c r="G63" i="13" s="1"/>
  <c r="C644" i="33"/>
  <c r="B644" i="33" s="1"/>
  <c r="E141" i="11"/>
  <c r="C2658" i="33" s="1"/>
  <c r="B2658" i="33" s="1"/>
  <c r="F137" i="11"/>
  <c r="C728" i="33"/>
  <c r="B728" i="33" s="1"/>
  <c r="J139" i="11"/>
  <c r="C2679" i="33" s="1"/>
  <c r="B2679" i="33" s="1"/>
  <c r="D636" i="33"/>
  <c r="C634" i="33"/>
  <c r="B634" i="33" s="1"/>
  <c r="D628" i="33"/>
  <c r="C626" i="33"/>
  <c r="B626" i="33" s="1"/>
  <c r="L39" i="13"/>
  <c r="C713" i="33"/>
  <c r="B713" i="33" s="1"/>
  <c r="C705" i="33"/>
  <c r="B705" i="33" s="1"/>
  <c r="D11" i="20"/>
  <c r="D602" i="33"/>
  <c r="C602" i="33"/>
  <c r="B602" i="33" s="1"/>
  <c r="I53" i="13"/>
  <c r="C736" i="33"/>
  <c r="B736" i="33" s="1"/>
  <c r="D612" i="33"/>
  <c r="C612" i="33"/>
  <c r="B612" i="33" s="1"/>
  <c r="D605" i="33"/>
  <c r="C605" i="33"/>
  <c r="B605" i="33" s="1"/>
  <c r="C727" i="33"/>
  <c r="B727" i="33" s="1"/>
  <c r="J138" i="11"/>
  <c r="C2678" i="33" s="1"/>
  <c r="B2678" i="33" s="1"/>
  <c r="D635" i="33"/>
  <c r="C633" i="33"/>
  <c r="B633" i="33" s="1"/>
  <c r="D627" i="33"/>
  <c r="C625" i="33"/>
  <c r="B625" i="33" s="1"/>
  <c r="J39" i="13"/>
  <c r="K39" i="13" s="1"/>
  <c r="C672" i="33"/>
  <c r="B672" i="33" s="1"/>
  <c r="C664" i="33"/>
  <c r="B664" i="33" s="1"/>
  <c r="C11" i="20"/>
  <c r="D609" i="33"/>
  <c r="C609" i="33"/>
  <c r="B609" i="33" s="1"/>
  <c r="C686" i="33"/>
  <c r="B686" i="33" s="1"/>
  <c r="H138" i="11"/>
  <c r="C2674" i="33" s="1"/>
  <c r="B2674" i="33" s="1"/>
  <c r="D611" i="33"/>
  <c r="C611" i="33"/>
  <c r="B611" i="33" s="1"/>
  <c r="D604" i="33"/>
  <c r="C604" i="33"/>
  <c r="B604" i="33" s="1"/>
  <c r="G53" i="13"/>
  <c r="C654" i="33"/>
  <c r="B654" i="33" s="1"/>
  <c r="C688" i="33"/>
  <c r="B688" i="33" s="1"/>
  <c r="H140" i="11"/>
  <c r="C2676" i="33" s="1"/>
  <c r="B2676" i="33" s="1"/>
  <c r="I62" i="13"/>
  <c r="I63" i="13" s="1"/>
  <c r="C726" i="33"/>
  <c r="B726" i="33" s="1"/>
  <c r="I141" i="11"/>
  <c r="C2660" i="33" s="1"/>
  <c r="B2660" i="33" s="1"/>
  <c r="J137" i="11"/>
  <c r="D634" i="33"/>
  <c r="C632" i="33"/>
  <c r="B632" i="33" s="1"/>
  <c r="D626" i="33"/>
  <c r="C624" i="33"/>
  <c r="B624" i="33" s="1"/>
  <c r="J38" i="13"/>
  <c r="K38" i="13" s="1"/>
  <c r="C671" i="33"/>
  <c r="B671" i="33" s="1"/>
  <c r="F16" i="44"/>
  <c r="D16" i="44"/>
  <c r="B14" i="44"/>
  <c r="C641" i="33"/>
  <c r="B641" i="33" s="1"/>
  <c r="B3" i="44"/>
  <c r="B8" i="44" s="1"/>
  <c r="B4" i="44"/>
  <c r="B9" i="44" s="1"/>
  <c r="D632" i="33"/>
  <c r="C630" i="33"/>
  <c r="B630" i="33" s="1"/>
  <c r="L35" i="13"/>
  <c r="M35" i="13" s="1"/>
  <c r="C709" i="33"/>
  <c r="B709" i="33" s="1"/>
  <c r="D610" i="33"/>
  <c r="C610" i="33"/>
  <c r="B610" i="33" s="1"/>
  <c r="F62" i="13"/>
  <c r="D603" i="33"/>
  <c r="C603" i="33"/>
  <c r="B603" i="33" s="1"/>
  <c r="C141" i="11"/>
  <c r="C2657" i="33" s="1"/>
  <c r="B2657" i="33" s="1"/>
  <c r="C687" i="33"/>
  <c r="B687" i="33" s="1"/>
  <c r="H139" i="11"/>
  <c r="C2675" i="33" s="1"/>
  <c r="B2675" i="33" s="1"/>
  <c r="D633" i="33"/>
  <c r="C631" i="33"/>
  <c r="B631" i="33" s="1"/>
  <c r="D625" i="33"/>
  <c r="C623" i="33"/>
  <c r="B623" i="33" s="1"/>
  <c r="B11" i="20"/>
  <c r="J37" i="13"/>
  <c r="K37" i="13" s="1"/>
  <c r="C670" i="33"/>
  <c r="B670" i="33" s="1"/>
  <c r="L36" i="13"/>
  <c r="M36" i="13" s="1"/>
  <c r="C710" i="33"/>
  <c r="B710" i="33" s="1"/>
  <c r="C33" i="10"/>
  <c r="E34" i="10"/>
  <c r="I55" i="15"/>
  <c r="I53" i="15"/>
  <c r="C34" i="10"/>
  <c r="G55" i="15"/>
  <c r="D34" i="10"/>
  <c r="H55" i="15"/>
  <c r="H53" i="15"/>
  <c r="G54" i="15"/>
  <c r="G52" i="15"/>
  <c r="D33" i="10"/>
  <c r="I54" i="15"/>
  <c r="I52" i="15"/>
  <c r="G53" i="15"/>
  <c r="H54" i="15"/>
  <c r="H52" i="15"/>
  <c r="E33" i="10"/>
  <c r="E14" i="20" s="1"/>
  <c r="C2805" i="33" s="1"/>
  <c r="B2805" i="33" s="1"/>
  <c r="G50" i="15"/>
  <c r="G51" i="15"/>
  <c r="G49" i="15"/>
  <c r="D32" i="10"/>
  <c r="I51" i="15"/>
  <c r="I49" i="15"/>
  <c r="E32" i="10"/>
  <c r="E13" i="20" s="1"/>
  <c r="C2804" i="33" s="1"/>
  <c r="B2804" i="33" s="1"/>
  <c r="H51" i="15"/>
  <c r="H49" i="15"/>
  <c r="I48" i="15"/>
  <c r="I46" i="15"/>
  <c r="H48" i="15"/>
  <c r="H46" i="15"/>
  <c r="G48" i="15"/>
  <c r="G46" i="15"/>
  <c r="I47" i="15"/>
  <c r="H47" i="15"/>
  <c r="J30" i="13"/>
  <c r="K30" i="13" s="1"/>
  <c r="L30" i="13"/>
  <c r="M30" i="13" s="1"/>
  <c r="J29" i="13"/>
  <c r="K29" i="13" s="1"/>
  <c r="L29" i="13"/>
  <c r="L28" i="13"/>
  <c r="E25" i="10"/>
  <c r="E9" i="20" s="1"/>
  <c r="C2800" i="33" s="1"/>
  <c r="B2800" i="33" s="1"/>
  <c r="E21" i="10"/>
  <c r="D21" i="10"/>
  <c r="J43" i="10" s="1"/>
  <c r="C21" i="10"/>
  <c r="G59" i="13"/>
  <c r="H59" i="13"/>
  <c r="I59" i="13"/>
  <c r="I56" i="13"/>
  <c r="H56" i="13"/>
  <c r="L45" i="13"/>
  <c r="E19" i="10"/>
  <c r="E7" i="20" s="1"/>
  <c r="C2798" i="33" s="1"/>
  <c r="B2798" i="33" s="1"/>
  <c r="D19" i="10"/>
  <c r="K41" i="13"/>
  <c r="M41" i="13"/>
  <c r="E24" i="10"/>
  <c r="E8" i="20" s="1"/>
  <c r="C2799" i="33" s="1"/>
  <c r="B2799" i="33" s="1"/>
  <c r="I55" i="13"/>
  <c r="G58" i="13"/>
  <c r="G57" i="13"/>
  <c r="C23" i="10"/>
  <c r="G54" i="13"/>
  <c r="D24" i="10"/>
  <c r="H55" i="13"/>
  <c r="G56" i="13"/>
  <c r="E23" i="10"/>
  <c r="I54" i="13"/>
  <c r="D25" i="10"/>
  <c r="D23" i="10"/>
  <c r="H54" i="13"/>
  <c r="M39" i="13"/>
  <c r="H58" i="13"/>
  <c r="H57" i="13"/>
  <c r="I58" i="13"/>
  <c r="I57" i="13"/>
  <c r="C24" i="10"/>
  <c r="C8" i="20" s="1"/>
  <c r="C2749" i="33" s="1"/>
  <c r="B2749" i="33" s="1"/>
  <c r="G55" i="13"/>
  <c r="M28" i="13"/>
  <c r="C19" i="10"/>
  <c r="C7" i="20" s="1"/>
  <c r="C2748" i="33" s="1"/>
  <c r="B2748" i="33" s="1"/>
  <c r="F79" i="25"/>
  <c r="H46" i="25"/>
  <c r="F46" i="25"/>
  <c r="H79" i="25"/>
  <c r="L38" i="13"/>
  <c r="J36" i="13"/>
  <c r="L37" i="13"/>
  <c r="L42" i="13"/>
  <c r="J40" i="13"/>
  <c r="J28" i="13"/>
  <c r="L13" i="13"/>
  <c r="L31" i="15"/>
  <c r="L32" i="13"/>
  <c r="L31" i="13"/>
  <c r="L43" i="13"/>
  <c r="J17" i="13"/>
  <c r="J35" i="15"/>
  <c r="J31" i="13"/>
  <c r="J12" i="13"/>
  <c r="J8" i="13"/>
  <c r="L16" i="13"/>
  <c r="J32" i="13"/>
  <c r="L9" i="15"/>
  <c r="L25" i="15"/>
  <c r="J45" i="13"/>
  <c r="J35" i="13"/>
  <c r="J16" i="13"/>
  <c r="L17" i="13"/>
  <c r="L10" i="13"/>
  <c r="J18" i="13"/>
  <c r="J19" i="13"/>
  <c r="J11" i="13"/>
  <c r="L20" i="13"/>
  <c r="L15" i="13"/>
  <c r="L12" i="13"/>
  <c r="J41" i="15"/>
  <c r="J25" i="15"/>
  <c r="J19" i="20"/>
  <c r="J10" i="13"/>
  <c r="J9" i="13"/>
  <c r="L8" i="13"/>
  <c r="J43" i="13"/>
  <c r="J14" i="13"/>
  <c r="L18" i="13"/>
  <c r="L19" i="13"/>
  <c r="L11" i="13"/>
  <c r="L7" i="15"/>
  <c r="L14" i="15"/>
  <c r="C2552" i="33" s="1"/>
  <c r="B2552" i="33" s="1"/>
  <c r="J19" i="15"/>
  <c r="L16" i="15"/>
  <c r="L26" i="15"/>
  <c r="L30" i="15"/>
  <c r="L36" i="15"/>
  <c r="L41" i="15"/>
  <c r="L18" i="15"/>
  <c r="J34" i="15"/>
  <c r="J37" i="15"/>
  <c r="J26" i="15"/>
  <c r="J27" i="15"/>
  <c r="C2519" i="33" s="1"/>
  <c r="B2519" i="33" s="1"/>
  <c r="J13" i="15"/>
  <c r="J12" i="15"/>
  <c r="J44" i="13"/>
  <c r="L44" i="13"/>
  <c r="J20" i="13"/>
  <c r="J15" i="13"/>
  <c r="J13" i="13"/>
  <c r="L9" i="13"/>
  <c r="J7" i="15"/>
  <c r="L12" i="15"/>
  <c r="J14" i="15"/>
  <c r="C2516" i="33" s="1"/>
  <c r="B2516" i="33" s="1"/>
  <c r="J18" i="15"/>
  <c r="L24" i="15"/>
  <c r="J31" i="15"/>
  <c r="J33" i="15"/>
  <c r="J36" i="15"/>
  <c r="L35" i="15"/>
  <c r="J40" i="15"/>
  <c r="J21" i="15"/>
  <c r="J24" i="15"/>
  <c r="J30" i="15"/>
  <c r="L37" i="15"/>
  <c r="L10" i="15"/>
  <c r="J6" i="15"/>
  <c r="L13" i="15"/>
  <c r="J17" i="15"/>
  <c r="J22" i="15"/>
  <c r="J29" i="15"/>
  <c r="L40" i="15"/>
  <c r="L8" i="15"/>
  <c r="L38" i="15"/>
  <c r="J9" i="15"/>
  <c r="J11" i="15"/>
  <c r="J20" i="15"/>
  <c r="L17" i="15"/>
  <c r="L23" i="15"/>
  <c r="W150" i="11" s="1"/>
  <c r="C2564" i="33" s="1"/>
  <c r="B2564" i="33" s="1"/>
  <c r="L27" i="15"/>
  <c r="C2555" i="33" s="1"/>
  <c r="B2555" i="33" s="1"/>
  <c r="L32" i="15"/>
  <c r="L34" i="15"/>
  <c r="J38" i="15"/>
  <c r="C2522" i="33" s="1"/>
  <c r="B2522" i="33" s="1"/>
  <c r="L42" i="15"/>
  <c r="L33" i="15"/>
  <c r="I19" i="20"/>
  <c r="L14" i="13"/>
  <c r="M45" i="13"/>
  <c r="J42" i="13"/>
  <c r="J10" i="15"/>
  <c r="J32" i="15"/>
  <c r="J16" i="15"/>
  <c r="J8" i="15"/>
  <c r="L22" i="15"/>
  <c r="L6" i="15"/>
  <c r="J42" i="15"/>
  <c r="J23" i="15"/>
  <c r="L29" i="15"/>
  <c r="L21" i="15"/>
  <c r="L20" i="15"/>
  <c r="L19" i="15"/>
  <c r="L11" i="15"/>
  <c r="C2558" i="33" l="1"/>
  <c r="B2558" i="33" s="1"/>
  <c r="M38" i="15"/>
  <c r="C2576" i="33" s="1"/>
  <c r="B2576" i="33" s="1"/>
  <c r="C2520" i="33"/>
  <c r="B2520" i="33" s="1"/>
  <c r="N151" i="11"/>
  <c r="C2511" i="33" s="1"/>
  <c r="B2511" i="33" s="1"/>
  <c r="Q151" i="11"/>
  <c r="C2529" i="33" s="1"/>
  <c r="B2529" i="33" s="1"/>
  <c r="C2518" i="33"/>
  <c r="B2518" i="33" s="1"/>
  <c r="N149" i="11"/>
  <c r="C2509" i="33" s="1"/>
  <c r="B2509" i="33" s="1"/>
  <c r="Q149" i="11"/>
  <c r="C2527" i="33" s="1"/>
  <c r="B2527" i="33" s="1"/>
  <c r="D13" i="20"/>
  <c r="C2779" i="33" s="1"/>
  <c r="B2779" i="33" s="1"/>
  <c r="AA163" i="11"/>
  <c r="V163" i="11"/>
  <c r="Z163" i="11"/>
  <c r="X163" i="11"/>
  <c r="W163" i="11"/>
  <c r="Y163" i="11"/>
  <c r="T145" i="11"/>
  <c r="C2541" i="33" s="1"/>
  <c r="B2541" i="33" s="1"/>
  <c r="W145" i="11"/>
  <c r="C2559" i="33" s="1"/>
  <c r="B2559" i="33" s="1"/>
  <c r="C2550" i="33"/>
  <c r="B2550" i="33" s="1"/>
  <c r="C2557" i="33"/>
  <c r="B2557" i="33" s="1"/>
  <c r="W152" i="11"/>
  <c r="C2566" i="33" s="1"/>
  <c r="B2566" i="33" s="1"/>
  <c r="T152" i="11"/>
  <c r="C2548" i="33" s="1"/>
  <c r="B2548" i="33" s="1"/>
  <c r="C2521" i="33"/>
  <c r="B2521" i="33" s="1"/>
  <c r="N152" i="11"/>
  <c r="C2512" i="33" s="1"/>
  <c r="B2512" i="33" s="1"/>
  <c r="Q152" i="11"/>
  <c r="C2530" i="33" s="1"/>
  <c r="B2530" i="33" s="1"/>
  <c r="P166" i="11"/>
  <c r="O166" i="11"/>
  <c r="S166" i="11"/>
  <c r="R166" i="11"/>
  <c r="N166" i="11"/>
  <c r="Q166" i="11"/>
  <c r="W166" i="11"/>
  <c r="X166" i="11"/>
  <c r="Z166" i="11"/>
  <c r="V166" i="11"/>
  <c r="AA166" i="11"/>
  <c r="Y166" i="11"/>
  <c r="J14" i="20"/>
  <c r="D14" i="20"/>
  <c r="C2780" i="33" s="1"/>
  <c r="B2780" i="33" s="1"/>
  <c r="C13" i="20"/>
  <c r="C2754" i="33" s="1"/>
  <c r="B2754" i="33" s="1"/>
  <c r="C2554" i="33"/>
  <c r="B2554" i="33" s="1"/>
  <c r="W153" i="11"/>
  <c r="C2567" i="33" s="1"/>
  <c r="B2567" i="33" s="1"/>
  <c r="W149" i="11"/>
  <c r="C2563" i="33" s="1"/>
  <c r="B2563" i="33" s="1"/>
  <c r="T149" i="11"/>
  <c r="C2545" i="33" s="1"/>
  <c r="B2545" i="33" s="1"/>
  <c r="Q163" i="11"/>
  <c r="P163" i="11"/>
  <c r="R163" i="11"/>
  <c r="S163" i="11"/>
  <c r="N163" i="11"/>
  <c r="O163" i="11"/>
  <c r="C2517" i="33"/>
  <c r="B2517" i="33" s="1"/>
  <c r="N148" i="11"/>
  <c r="C2508" i="33" s="1"/>
  <c r="B2508" i="33" s="1"/>
  <c r="Q148" i="11"/>
  <c r="C2526" i="33" s="1"/>
  <c r="B2526" i="33" s="1"/>
  <c r="C2556" i="33"/>
  <c r="B2556" i="33" s="1"/>
  <c r="W151" i="11"/>
  <c r="C2565" i="33" s="1"/>
  <c r="B2565" i="33" s="1"/>
  <c r="T151" i="11"/>
  <c r="C2547" i="33" s="1"/>
  <c r="B2547" i="33" s="1"/>
  <c r="I14" i="20"/>
  <c r="C14" i="20"/>
  <c r="C2755" i="33" s="1"/>
  <c r="B2755" i="33" s="1"/>
  <c r="C2553" i="33"/>
  <c r="B2553" i="33" s="1"/>
  <c r="W148" i="11"/>
  <c r="C2562" i="33" s="1"/>
  <c r="B2562" i="33" s="1"/>
  <c r="T148" i="11"/>
  <c r="C2544" i="33" s="1"/>
  <c r="B2544" i="33" s="1"/>
  <c r="N145" i="11"/>
  <c r="C2505" i="33" s="1"/>
  <c r="B2505" i="33" s="1"/>
  <c r="Q145" i="11"/>
  <c r="C2523" i="33" s="1"/>
  <c r="B2523" i="33" s="1"/>
  <c r="C2514" i="33"/>
  <c r="B2514" i="33" s="1"/>
  <c r="W146" i="11"/>
  <c r="C2560" i="33" s="1"/>
  <c r="B2560" i="33" s="1"/>
  <c r="T146" i="11"/>
  <c r="C2542" i="33" s="1"/>
  <c r="B2542" i="33" s="1"/>
  <c r="C2551" i="33"/>
  <c r="B2551" i="33" s="1"/>
  <c r="N146" i="11"/>
  <c r="C2506" i="33" s="1"/>
  <c r="B2506" i="33" s="1"/>
  <c r="Q146" i="11"/>
  <c r="C2524" i="33" s="1"/>
  <c r="B2524" i="33" s="1"/>
  <c r="C2515" i="33"/>
  <c r="B2515" i="33" s="1"/>
  <c r="Q96" i="11"/>
  <c r="N96" i="11"/>
  <c r="C2590" i="33"/>
  <c r="B2590" i="33" s="1"/>
  <c r="K92" i="11"/>
  <c r="C2600" i="33" s="1"/>
  <c r="B2600" i="33" s="1"/>
  <c r="H92" i="11"/>
  <c r="C2580" i="33" s="1"/>
  <c r="B2580" i="33" s="1"/>
  <c r="Q117" i="11"/>
  <c r="N117" i="11"/>
  <c r="C2673" i="33"/>
  <c r="B2673" i="33" s="1"/>
  <c r="H141" i="11"/>
  <c r="C2663" i="33" s="1"/>
  <c r="B2663" i="33" s="1"/>
  <c r="K126" i="11"/>
  <c r="H126" i="11"/>
  <c r="C2631" i="33"/>
  <c r="B2631" i="33" s="1"/>
  <c r="Q93" i="11"/>
  <c r="C2641" i="33" s="1"/>
  <c r="B2641" i="33" s="1"/>
  <c r="N93" i="11"/>
  <c r="C2621" i="33" s="1"/>
  <c r="B2621" i="33" s="1"/>
  <c r="K100" i="11"/>
  <c r="H100" i="11"/>
  <c r="K114" i="11"/>
  <c r="H114" i="11"/>
  <c r="Q113" i="11"/>
  <c r="N113" i="11"/>
  <c r="K118" i="11"/>
  <c r="H118" i="11"/>
  <c r="Q127" i="11"/>
  <c r="N127" i="11"/>
  <c r="C2777" i="33"/>
  <c r="B2777" i="33" s="1"/>
  <c r="J11" i="20"/>
  <c r="Q101" i="11"/>
  <c r="N101" i="11"/>
  <c r="C2634" i="33"/>
  <c r="B2634" i="33" s="1"/>
  <c r="Q98" i="11"/>
  <c r="C2644" i="33" s="1"/>
  <c r="B2644" i="33" s="1"/>
  <c r="N98" i="11"/>
  <c r="C2624" i="33" s="1"/>
  <c r="B2624" i="33" s="1"/>
  <c r="Q114" i="11"/>
  <c r="N114" i="11"/>
  <c r="Q120" i="11"/>
  <c r="N120" i="11"/>
  <c r="H120" i="11"/>
  <c r="K120" i="11"/>
  <c r="Q125" i="11"/>
  <c r="N125" i="11"/>
  <c r="C2630" i="33"/>
  <c r="B2630" i="33" s="1"/>
  <c r="Q92" i="11"/>
  <c r="C2640" i="33" s="1"/>
  <c r="B2640" i="33" s="1"/>
  <c r="N92" i="11"/>
  <c r="C2620" i="33" s="1"/>
  <c r="B2620" i="33" s="1"/>
  <c r="Q100" i="11"/>
  <c r="N100" i="11"/>
  <c r="Q99" i="11"/>
  <c r="N99" i="11"/>
  <c r="K90" i="11"/>
  <c r="H90" i="11"/>
  <c r="Q110" i="11"/>
  <c r="N110" i="11"/>
  <c r="Q119" i="11"/>
  <c r="N119" i="11"/>
  <c r="K96" i="11"/>
  <c r="H96" i="11"/>
  <c r="C2632" i="33"/>
  <c r="B2632" i="33" s="1"/>
  <c r="Q94" i="11"/>
  <c r="C2642" i="33" s="1"/>
  <c r="B2642" i="33" s="1"/>
  <c r="N94" i="11"/>
  <c r="C2622" i="33" s="1"/>
  <c r="B2622" i="33" s="1"/>
  <c r="C2594" i="33"/>
  <c r="B2594" i="33" s="1"/>
  <c r="K98" i="11"/>
  <c r="C2604" i="33" s="1"/>
  <c r="B2604" i="33" s="1"/>
  <c r="H98" i="11"/>
  <c r="C2584" i="33" s="1"/>
  <c r="B2584" i="33" s="1"/>
  <c r="C2592" i="33"/>
  <c r="B2592" i="33" s="1"/>
  <c r="H94" i="11"/>
  <c r="C2582" i="33" s="1"/>
  <c r="B2582" i="33" s="1"/>
  <c r="K94" i="11"/>
  <c r="C2602" i="33" s="1"/>
  <c r="B2602" i="33" s="1"/>
  <c r="Q95" i="11"/>
  <c r="N95" i="11"/>
  <c r="Q111" i="11"/>
  <c r="N111" i="11"/>
  <c r="Q118" i="11"/>
  <c r="N118" i="11"/>
  <c r="C2752" i="33"/>
  <c r="B2752" i="33" s="1"/>
  <c r="I11" i="20"/>
  <c r="Q121" i="11"/>
  <c r="N121" i="11"/>
  <c r="F141" i="11"/>
  <c r="C2662" i="33" s="1"/>
  <c r="B2662" i="33" s="1"/>
  <c r="C2669" i="33"/>
  <c r="B2669" i="33" s="1"/>
  <c r="Q122" i="11"/>
  <c r="N122" i="11"/>
  <c r="Q126" i="11"/>
  <c r="N126" i="11"/>
  <c r="C2629" i="33"/>
  <c r="B2629" i="33" s="1"/>
  <c r="Q91" i="11"/>
  <c r="C2639" i="33" s="1"/>
  <c r="B2639" i="33" s="1"/>
  <c r="N91" i="11"/>
  <c r="C2619" i="33" s="1"/>
  <c r="B2619" i="33" s="1"/>
  <c r="K125" i="11"/>
  <c r="H125" i="11"/>
  <c r="K117" i="11"/>
  <c r="H117" i="11"/>
  <c r="H110" i="11"/>
  <c r="K110" i="11"/>
  <c r="H111" i="11"/>
  <c r="K111" i="11"/>
  <c r="H95" i="11"/>
  <c r="K95" i="11"/>
  <c r="C2633" i="33"/>
  <c r="B2633" i="33" s="1"/>
  <c r="N97" i="11"/>
  <c r="C2623" i="33" s="1"/>
  <c r="B2623" i="33" s="1"/>
  <c r="Q97" i="11"/>
  <c r="C2643" i="33" s="1"/>
  <c r="B2643" i="33" s="1"/>
  <c r="H113" i="11"/>
  <c r="K113" i="11"/>
  <c r="K124" i="11"/>
  <c r="H124" i="11"/>
  <c r="C2593" i="33"/>
  <c r="B2593" i="33" s="1"/>
  <c r="K97" i="11"/>
  <c r="C2603" i="33" s="1"/>
  <c r="B2603" i="33" s="1"/>
  <c r="H97" i="11"/>
  <c r="C2583" i="33" s="1"/>
  <c r="B2583" i="33" s="1"/>
  <c r="Q90" i="11"/>
  <c r="N90" i="11"/>
  <c r="Q102" i="11"/>
  <c r="N102" i="11"/>
  <c r="H127" i="11"/>
  <c r="K127" i="11"/>
  <c r="K122" i="11"/>
  <c r="H122" i="11"/>
  <c r="H119" i="11"/>
  <c r="K119" i="11"/>
  <c r="K123" i="11"/>
  <c r="H123" i="11"/>
  <c r="B13" i="44"/>
  <c r="B17" i="44" s="1"/>
  <c r="B21" i="44" s="1"/>
  <c r="C9" i="20"/>
  <c r="I11" i="10"/>
  <c r="I12" i="10"/>
  <c r="K101" i="11"/>
  <c r="H101" i="11"/>
  <c r="H102" i="11"/>
  <c r="K102" i="11"/>
  <c r="C2589" i="33"/>
  <c r="B2589" i="33" s="1"/>
  <c r="K91" i="11"/>
  <c r="C2599" i="33" s="1"/>
  <c r="B2599" i="33" s="1"/>
  <c r="H91" i="11"/>
  <c r="C2579" i="33" s="1"/>
  <c r="B2579" i="33" s="1"/>
  <c r="C2591" i="33"/>
  <c r="B2591" i="33" s="1"/>
  <c r="K93" i="11"/>
  <c r="C2601" i="33" s="1"/>
  <c r="B2601" i="33" s="1"/>
  <c r="H93" i="11"/>
  <c r="C2581" i="33" s="1"/>
  <c r="B2581" i="33" s="1"/>
  <c r="K99" i="11"/>
  <c r="H99" i="11"/>
  <c r="Q124" i="11"/>
  <c r="N124" i="11"/>
  <c r="C2727" i="33"/>
  <c r="B2727" i="33" s="1"/>
  <c r="H11" i="20"/>
  <c r="C2677" i="33"/>
  <c r="B2677" i="33" s="1"/>
  <c r="J141" i="11"/>
  <c r="C2664" i="33" s="1"/>
  <c r="B2664" i="33" s="1"/>
  <c r="H121" i="11"/>
  <c r="K121" i="11"/>
  <c r="N123" i="11"/>
  <c r="Q123" i="11"/>
  <c r="D8" i="20"/>
  <c r="C2774" i="33" s="1"/>
  <c r="B2774" i="33" s="1"/>
  <c r="J36" i="10"/>
  <c r="J44" i="10"/>
  <c r="C1290" i="33" s="1"/>
  <c r="B1290" i="33" s="1"/>
  <c r="D7" i="20"/>
  <c r="C2773" i="33" s="1"/>
  <c r="B2773" i="33" s="1"/>
  <c r="J42" i="10"/>
  <c r="D9" i="20"/>
  <c r="C2775" i="33" s="1"/>
  <c r="B2775" i="33" s="1"/>
  <c r="J35" i="10"/>
  <c r="J34" i="10"/>
  <c r="C1280" i="33" s="1"/>
  <c r="B1280" i="33" s="1"/>
  <c r="C1289" i="33"/>
  <c r="B1289" i="33" s="1"/>
  <c r="J27" i="20"/>
  <c r="C2835" i="33" s="1"/>
  <c r="B2835" i="33" s="1"/>
  <c r="I21" i="10"/>
  <c r="I9" i="10"/>
  <c r="I19" i="10"/>
  <c r="C26" i="20" s="1"/>
  <c r="I8" i="10"/>
  <c r="I18" i="10"/>
  <c r="I13" i="10"/>
  <c r="I14" i="10"/>
  <c r="J12" i="10"/>
  <c r="J11" i="10"/>
  <c r="C1242" i="33" s="1"/>
  <c r="B1242" i="33" s="1"/>
  <c r="J8" i="10"/>
  <c r="J21" i="10"/>
  <c r="C1252" i="33" s="1"/>
  <c r="B1252" i="33" s="1"/>
  <c r="J9" i="10"/>
  <c r="J19" i="10"/>
  <c r="C1250" i="33" s="1"/>
  <c r="B1250" i="33" s="1"/>
  <c r="K11" i="10"/>
  <c r="C1261" i="33" s="1"/>
  <c r="B1261" i="33" s="1"/>
  <c r="K12" i="10"/>
  <c r="K8" i="10"/>
  <c r="C1258" i="33" s="1"/>
  <c r="B1258" i="33" s="1"/>
  <c r="J18" i="10"/>
  <c r="J13" i="10"/>
  <c r="J14" i="10"/>
  <c r="K21" i="10"/>
  <c r="C1271" i="33" s="1"/>
  <c r="B1271" i="33" s="1"/>
  <c r="K9" i="10"/>
  <c r="K19" i="10"/>
  <c r="K13" i="10"/>
  <c r="K18" i="10"/>
  <c r="K14" i="10"/>
  <c r="I7" i="20"/>
  <c r="I8" i="20"/>
  <c r="J9" i="20"/>
  <c r="J7" i="20"/>
  <c r="K42" i="15"/>
  <c r="M42" i="15"/>
  <c r="M41" i="15"/>
  <c r="K41" i="15"/>
  <c r="M32" i="15"/>
  <c r="K36" i="15"/>
  <c r="M30" i="15"/>
  <c r="K40" i="15"/>
  <c r="M35" i="15"/>
  <c r="K32" i="15"/>
  <c r="K33" i="15"/>
  <c r="C2538" i="33" s="1"/>
  <c r="B2538" i="33" s="1"/>
  <c r="K38" i="15"/>
  <c r="C2540" i="33" s="1"/>
  <c r="B2540" i="33" s="1"/>
  <c r="M29" i="15"/>
  <c r="M37" i="15"/>
  <c r="C2575" i="33" s="1"/>
  <c r="B2575" i="33" s="1"/>
  <c r="K31" i="15"/>
  <c r="M31" i="15"/>
  <c r="K29" i="15"/>
  <c r="K30" i="15"/>
  <c r="K37" i="15"/>
  <c r="C2539" i="33" s="1"/>
  <c r="B2539" i="33" s="1"/>
  <c r="M34" i="15"/>
  <c r="M36" i="15"/>
  <c r="M40" i="15"/>
  <c r="M33" i="15"/>
  <c r="C2574" i="33" s="1"/>
  <c r="B2574" i="33" s="1"/>
  <c r="K34" i="15"/>
  <c r="K35" i="15"/>
  <c r="M20" i="15"/>
  <c r="M27" i="15"/>
  <c r="C2573" i="33" s="1"/>
  <c r="B2573" i="33" s="1"/>
  <c r="K27" i="15"/>
  <c r="C2537" i="33" s="1"/>
  <c r="B2537" i="33" s="1"/>
  <c r="M23" i="15"/>
  <c r="M16" i="15"/>
  <c r="K23" i="15"/>
  <c r="M17" i="15"/>
  <c r="M24" i="15"/>
  <c r="K19" i="15"/>
  <c r="K26" i="15"/>
  <c r="C2536" i="33" s="1"/>
  <c r="B2536" i="33" s="1"/>
  <c r="K20" i="15"/>
  <c r="K22" i="15"/>
  <c r="K24" i="15"/>
  <c r="K18" i="15"/>
  <c r="M25" i="15"/>
  <c r="K16" i="15"/>
  <c r="M22" i="15"/>
  <c r="M21" i="15"/>
  <c r="C2571" i="33" s="1"/>
  <c r="B2571" i="33" s="1"/>
  <c r="M26" i="15"/>
  <c r="C2572" i="33" s="1"/>
  <c r="B2572" i="33" s="1"/>
  <c r="K17" i="15"/>
  <c r="K21" i="15"/>
  <c r="C2535" i="33" s="1"/>
  <c r="B2535" i="33" s="1"/>
  <c r="M18" i="15"/>
  <c r="M19" i="15"/>
  <c r="K25" i="15"/>
  <c r="K12" i="15"/>
  <c r="K6" i="15"/>
  <c r="K7" i="15"/>
  <c r="K13" i="15"/>
  <c r="C2533" i="33" s="1"/>
  <c r="B2533" i="33" s="1"/>
  <c r="K14" i="15"/>
  <c r="C2534" i="33" s="1"/>
  <c r="B2534" i="33" s="1"/>
  <c r="K9" i="15"/>
  <c r="M8" i="15"/>
  <c r="C2568" i="33" s="1"/>
  <c r="B2568" i="33" s="1"/>
  <c r="M6" i="15"/>
  <c r="M7" i="15"/>
  <c r="M11" i="15"/>
  <c r="M12" i="15"/>
  <c r="K10" i="15"/>
  <c r="K11" i="15"/>
  <c r="M9" i="15"/>
  <c r="M13" i="15"/>
  <c r="C2569" i="33" s="1"/>
  <c r="B2569" i="33" s="1"/>
  <c r="K8" i="15"/>
  <c r="C2532" i="33" s="1"/>
  <c r="B2532" i="33" s="1"/>
  <c r="M10" i="15"/>
  <c r="M14" i="15"/>
  <c r="C2570" i="33" s="1"/>
  <c r="B2570" i="33" s="1"/>
  <c r="M29" i="13"/>
  <c r="M20" i="13"/>
  <c r="M44" i="13"/>
  <c r="K9" i="13"/>
  <c r="C2609" i="33" s="1"/>
  <c r="B2609" i="33" s="1"/>
  <c r="K11" i="13"/>
  <c r="C2611" i="33" s="1"/>
  <c r="B2611" i="33" s="1"/>
  <c r="K20" i="13"/>
  <c r="M8" i="13"/>
  <c r="K45" i="13"/>
  <c r="K31" i="13"/>
  <c r="M13" i="13"/>
  <c r="K42" i="13"/>
  <c r="K44" i="13"/>
  <c r="K10" i="13"/>
  <c r="C2610" i="33" s="1"/>
  <c r="B2610" i="33" s="1"/>
  <c r="K19" i="13"/>
  <c r="K17" i="13"/>
  <c r="K28" i="13"/>
  <c r="M42" i="13"/>
  <c r="K18" i="13"/>
  <c r="K40" i="13"/>
  <c r="M19" i="13"/>
  <c r="M9" i="13"/>
  <c r="C2649" i="33" s="1"/>
  <c r="B2649" i="33" s="1"/>
  <c r="M18" i="13"/>
  <c r="M17" i="13"/>
  <c r="K8" i="13"/>
  <c r="M31" i="13"/>
  <c r="M38" i="13"/>
  <c r="K32" i="13"/>
  <c r="M37" i="13"/>
  <c r="M16" i="13"/>
  <c r="C2654" i="33" s="1"/>
  <c r="B2654" i="33" s="1"/>
  <c r="K13" i="13"/>
  <c r="K14" i="13"/>
  <c r="M12" i="13"/>
  <c r="C2652" i="33" s="1"/>
  <c r="B2652" i="33" s="1"/>
  <c r="K16" i="13"/>
  <c r="C2614" i="33" s="1"/>
  <c r="B2614" i="33" s="1"/>
  <c r="K12" i="13"/>
  <c r="C2612" i="33" s="1"/>
  <c r="B2612" i="33" s="1"/>
  <c r="M32" i="13"/>
  <c r="M11" i="13"/>
  <c r="C2651" i="33" s="1"/>
  <c r="B2651" i="33" s="1"/>
  <c r="M43" i="13"/>
  <c r="M10" i="13"/>
  <c r="C2650" i="33" s="1"/>
  <c r="B2650" i="33" s="1"/>
  <c r="K36" i="13"/>
  <c r="M14" i="13"/>
  <c r="K15" i="13"/>
  <c r="C2613" i="33" s="1"/>
  <c r="B2613" i="33" s="1"/>
  <c r="K43" i="13"/>
  <c r="M15" i="13"/>
  <c r="C2653" i="33" s="1"/>
  <c r="B2653" i="33" s="1"/>
  <c r="K35" i="13"/>
  <c r="K20" i="10"/>
  <c r="J3" i="10"/>
  <c r="K3" i="10"/>
  <c r="K4" i="10"/>
  <c r="J20" i="10"/>
  <c r="J4" i="10"/>
  <c r="I4" i="10"/>
  <c r="I20" i="10"/>
  <c r="I3" i="10"/>
  <c r="C2" i="20"/>
  <c r="I2" i="20" s="1"/>
  <c r="D2" i="20"/>
  <c r="J2" i="20" s="1"/>
  <c r="E2" i="20"/>
  <c r="B2" i="20"/>
  <c r="H2" i="20" s="1"/>
  <c r="I13" i="20" l="1"/>
  <c r="T166" i="11"/>
  <c r="U166" i="11" s="1"/>
  <c r="T153" i="11" s="1"/>
  <c r="C2549" i="33" s="1"/>
  <c r="B2549" i="33" s="1"/>
  <c r="J8" i="20"/>
  <c r="D26" i="20"/>
  <c r="C2792" i="33" s="1"/>
  <c r="B2792" i="33" s="1"/>
  <c r="AB163" i="11"/>
  <c r="AB166" i="11"/>
  <c r="T163" i="11"/>
  <c r="U163" i="11" s="1"/>
  <c r="T150" i="11" s="1"/>
  <c r="C2546" i="33" s="1"/>
  <c r="B2546" i="33" s="1"/>
  <c r="J13" i="20"/>
  <c r="C21" i="20"/>
  <c r="I35" i="10"/>
  <c r="C1224" i="33"/>
  <c r="B1224" i="33" s="1"/>
  <c r="C1223" i="33"/>
  <c r="B1223" i="33" s="1"/>
  <c r="I34" i="10"/>
  <c r="C2750" i="33"/>
  <c r="B2750" i="33" s="1"/>
  <c r="I9" i="20"/>
  <c r="C1235" i="33"/>
  <c r="B1235" i="33" s="1"/>
  <c r="J27" i="10"/>
  <c r="C1273" i="33" s="1"/>
  <c r="B1273" i="33" s="1"/>
  <c r="D16" i="20"/>
  <c r="C2782" i="33" s="1"/>
  <c r="B2782" i="33" s="1"/>
  <c r="C1254" i="33"/>
  <c r="B1254" i="33" s="1"/>
  <c r="E16" i="20"/>
  <c r="C2807" i="33" s="1"/>
  <c r="B2807" i="33" s="1"/>
  <c r="C1253" i="33"/>
  <c r="B1253" i="33" s="1"/>
  <c r="E15" i="20"/>
  <c r="C2806" i="33" s="1"/>
  <c r="B2806" i="33" s="1"/>
  <c r="C1216" i="33"/>
  <c r="B1216" i="33" s="1"/>
  <c r="I27" i="10"/>
  <c r="C16" i="20"/>
  <c r="C2757" i="33" s="1"/>
  <c r="B2757" i="33" s="1"/>
  <c r="C1215" i="33"/>
  <c r="B1215" i="33" s="1"/>
  <c r="I10" i="41"/>
  <c r="L10" i="41" s="1"/>
  <c r="C2717" i="33" s="1"/>
  <c r="B2717" i="33" s="1"/>
  <c r="C15" i="20"/>
  <c r="C2756" i="33" s="1"/>
  <c r="B2756" i="33" s="1"/>
  <c r="I26" i="10"/>
  <c r="C1234" i="33"/>
  <c r="B1234" i="33" s="1"/>
  <c r="D15" i="20"/>
  <c r="C2781" i="33" s="1"/>
  <c r="B2781" i="33" s="1"/>
  <c r="J26" i="10"/>
  <c r="C1272" i="33" s="1"/>
  <c r="B1272" i="33" s="1"/>
  <c r="C1230" i="33"/>
  <c r="B1230" i="33" s="1"/>
  <c r="C1232" i="33"/>
  <c r="B1232" i="33" s="1"/>
  <c r="C1240" i="33"/>
  <c r="B1240" i="33" s="1"/>
  <c r="C1220" i="33"/>
  <c r="B1220" i="33" s="1"/>
  <c r="I31" i="10"/>
  <c r="C1281" i="33"/>
  <c r="B1281" i="33" s="1"/>
  <c r="J21" i="20"/>
  <c r="C2832" i="33" s="1"/>
  <c r="B2832" i="33" s="1"/>
  <c r="C1245" i="33"/>
  <c r="B1245" i="33" s="1"/>
  <c r="I26" i="20"/>
  <c r="C2767" i="33"/>
  <c r="B2767" i="33" s="1"/>
  <c r="E26" i="20"/>
  <c r="C2817" i="33" s="1"/>
  <c r="B2817" i="33" s="1"/>
  <c r="C1269" i="33"/>
  <c r="B1269" i="33" s="1"/>
  <c r="C1259" i="33"/>
  <c r="B1259" i="33" s="1"/>
  <c r="C1251" i="33"/>
  <c r="B1251" i="33" s="1"/>
  <c r="C1231" i="33"/>
  <c r="B1231" i="33" s="1"/>
  <c r="I42" i="10"/>
  <c r="C1244" i="33"/>
  <c r="B1244" i="33" s="1"/>
  <c r="C1239" i="33"/>
  <c r="B1239" i="33" s="1"/>
  <c r="J31" i="10"/>
  <c r="C1277" i="33" s="1"/>
  <c r="B1277" i="33" s="1"/>
  <c r="C1221" i="33"/>
  <c r="B1221" i="33" s="1"/>
  <c r="C1288" i="33"/>
  <c r="B1288" i="33" s="1"/>
  <c r="J26" i="20"/>
  <c r="C2834" i="33" s="1"/>
  <c r="B2834" i="33" s="1"/>
  <c r="C1268" i="33"/>
  <c r="B1268" i="33" s="1"/>
  <c r="C1264" i="33"/>
  <c r="B1264" i="33" s="1"/>
  <c r="C1249" i="33"/>
  <c r="B1249" i="33" s="1"/>
  <c r="C1233" i="33"/>
  <c r="B1233" i="33" s="1"/>
  <c r="I44" i="10"/>
  <c r="C1270" i="33"/>
  <c r="B1270" i="33" s="1"/>
  <c r="C1243" i="33"/>
  <c r="B1243" i="33" s="1"/>
  <c r="D21" i="20"/>
  <c r="C2787" i="33" s="1"/>
  <c r="B2787" i="33" s="1"/>
  <c r="C1263" i="33"/>
  <c r="B1263" i="33" s="1"/>
  <c r="C1262" i="33"/>
  <c r="B1262" i="33" s="1"/>
  <c r="E21" i="20"/>
  <c r="C2812" i="33" s="1"/>
  <c r="B2812" i="33" s="1"/>
  <c r="C1226" i="33"/>
  <c r="B1226" i="33" s="1"/>
  <c r="C1282" i="33"/>
  <c r="B1282" i="33" s="1"/>
  <c r="J20" i="20"/>
  <c r="C2831" i="33" s="1"/>
  <c r="B2831" i="33" s="1"/>
  <c r="C1225" i="33"/>
  <c r="B1225" i="33" s="1"/>
  <c r="E20" i="20"/>
  <c r="C2811" i="33" s="1"/>
  <c r="B2811" i="33" s="1"/>
  <c r="C20" i="20"/>
  <c r="I36" i="10"/>
  <c r="J32" i="10"/>
  <c r="I41" i="10"/>
  <c r="J15" i="10"/>
  <c r="J37" i="10"/>
  <c r="I15" i="10"/>
  <c r="I37" i="10"/>
  <c r="D27" i="20"/>
  <c r="C2793" i="33" s="1"/>
  <c r="B2793" i="33" s="1"/>
  <c r="C27" i="20"/>
  <c r="I43" i="10"/>
  <c r="D20" i="20"/>
  <c r="C2786" i="33" s="1"/>
  <c r="B2786" i="33" s="1"/>
  <c r="I32" i="10"/>
  <c r="E27" i="20"/>
  <c r="C2818" i="33" s="1"/>
  <c r="B2818" i="33" s="1"/>
  <c r="K15" i="10"/>
  <c r="J41" i="10"/>
  <c r="I22" i="20"/>
  <c r="G39" i="15"/>
  <c r="J39" i="15" l="1"/>
  <c r="C976" i="33"/>
  <c r="B976" i="33" s="1"/>
  <c r="Q153" i="11"/>
  <c r="C2531" i="33" s="1"/>
  <c r="B2531" i="33" s="1"/>
  <c r="AC166" i="11"/>
  <c r="N153" i="11" s="1"/>
  <c r="C2513" i="33" s="1"/>
  <c r="B2513" i="33" s="1"/>
  <c r="AC163" i="11"/>
  <c r="N150" i="11" s="1"/>
  <c r="C2510" i="33" s="1"/>
  <c r="B2510" i="33" s="1"/>
  <c r="Q150" i="11"/>
  <c r="C2528" i="33" s="1"/>
  <c r="B2528" i="33" s="1"/>
  <c r="C2762" i="33"/>
  <c r="B2762" i="33" s="1"/>
  <c r="I21" i="20"/>
  <c r="I15" i="20"/>
  <c r="J15" i="20"/>
  <c r="I16" i="20"/>
  <c r="J16" i="20"/>
  <c r="I27" i="20"/>
  <c r="C2768" i="33"/>
  <c r="B2768" i="33" s="1"/>
  <c r="C1287" i="33"/>
  <c r="B1287" i="33" s="1"/>
  <c r="K17" i="10"/>
  <c r="E25" i="20" s="1"/>
  <c r="C2816" i="33" s="1"/>
  <c r="B2816" i="33" s="1"/>
  <c r="C1265" i="33"/>
  <c r="B1265" i="33" s="1"/>
  <c r="C1227" i="33"/>
  <c r="B1227" i="33" s="1"/>
  <c r="I20" i="20"/>
  <c r="C2761" i="33"/>
  <c r="B2761" i="33" s="1"/>
  <c r="C1283" i="33"/>
  <c r="B1283" i="33" s="1"/>
  <c r="C1246" i="33"/>
  <c r="B1246" i="33" s="1"/>
  <c r="C1278" i="33"/>
  <c r="B1278" i="33" s="1"/>
  <c r="J17" i="10"/>
  <c r="D25" i="20" s="1"/>
  <c r="J16" i="10"/>
  <c r="D24" i="20" s="1"/>
  <c r="I17" i="10"/>
  <c r="C25" i="20" s="1"/>
  <c r="K16" i="10"/>
  <c r="E24" i="20" s="1"/>
  <c r="C2815" i="33" s="1"/>
  <c r="B2815" i="33" s="1"/>
  <c r="I16" i="10"/>
  <c r="C24" i="20" s="1"/>
  <c r="C23" i="20"/>
  <c r="I38" i="10"/>
  <c r="E23" i="20"/>
  <c r="C2814" i="33" s="1"/>
  <c r="B2814" i="33" s="1"/>
  <c r="J38" i="10"/>
  <c r="D23" i="20"/>
  <c r="K39" i="15"/>
  <c r="F34" i="15"/>
  <c r="C935" i="33" s="1"/>
  <c r="B935" i="33" s="1"/>
  <c r="I40" i="10" l="1"/>
  <c r="J40" i="10"/>
  <c r="J24" i="20"/>
  <c r="C2790" i="33"/>
  <c r="B2790" i="33" s="1"/>
  <c r="I25" i="20"/>
  <c r="C2766" i="33"/>
  <c r="B2766" i="33" s="1"/>
  <c r="I23" i="20"/>
  <c r="C2764" i="33"/>
  <c r="B2764" i="33" s="1"/>
  <c r="C1228" i="33"/>
  <c r="B1228" i="33" s="1"/>
  <c r="J23" i="20"/>
  <c r="C2789" i="33"/>
  <c r="B2789" i="33" s="1"/>
  <c r="I39" i="10"/>
  <c r="C1267" i="33"/>
  <c r="B1267" i="33" s="1"/>
  <c r="C1284" i="33"/>
  <c r="B1284" i="33" s="1"/>
  <c r="I24" i="20"/>
  <c r="C2765" i="33"/>
  <c r="B2765" i="33" s="1"/>
  <c r="C1266" i="33"/>
  <c r="B1266" i="33" s="1"/>
  <c r="J25" i="20"/>
  <c r="C2791" i="33"/>
  <c r="B2791" i="33" s="1"/>
  <c r="C1229" i="33"/>
  <c r="B1229" i="33" s="1"/>
  <c r="C1286" i="33"/>
  <c r="B1286" i="33" s="1"/>
  <c r="C1247" i="33"/>
  <c r="B1247" i="33" s="1"/>
  <c r="J39" i="10"/>
  <c r="C1248" i="33"/>
  <c r="B1248" i="33" s="1"/>
  <c r="F8" i="15"/>
  <c r="F9" i="15"/>
  <c r="C912" i="33" s="1"/>
  <c r="B912" i="33" s="1"/>
  <c r="F13" i="15"/>
  <c r="F21" i="15"/>
  <c r="F22" i="15"/>
  <c r="C924" i="33" s="1"/>
  <c r="B924" i="33" s="1"/>
  <c r="F26" i="15"/>
  <c r="F27" i="15"/>
  <c r="F33" i="15"/>
  <c r="F37" i="15"/>
  <c r="F38" i="15"/>
  <c r="F39" i="15"/>
  <c r="C940" i="33" s="1"/>
  <c r="B940" i="33" s="1"/>
  <c r="F40" i="15"/>
  <c r="F41" i="15"/>
  <c r="C942" i="33" s="1"/>
  <c r="B942" i="33" s="1"/>
  <c r="F42" i="15"/>
  <c r="C943" i="33" s="1"/>
  <c r="B943" i="33" s="1"/>
  <c r="F5" i="15"/>
  <c r="C908" i="33" s="1"/>
  <c r="B908" i="33" s="1"/>
  <c r="C939" i="33" l="1"/>
  <c r="B939" i="33" s="1"/>
  <c r="J166" i="11"/>
  <c r="C938" i="33"/>
  <c r="B938" i="33" s="1"/>
  <c r="J165" i="11"/>
  <c r="C911" i="33"/>
  <c r="B911" i="33" s="1"/>
  <c r="J158" i="11"/>
  <c r="C934" i="33"/>
  <c r="B934" i="33" s="1"/>
  <c r="J164" i="11"/>
  <c r="C929" i="33"/>
  <c r="B929" i="33" s="1"/>
  <c r="J163" i="11"/>
  <c r="C928" i="33"/>
  <c r="B928" i="33" s="1"/>
  <c r="J162" i="11"/>
  <c r="C941" i="33"/>
  <c r="B941" i="33" s="1"/>
  <c r="J167" i="11"/>
  <c r="C923" i="33"/>
  <c r="B923" i="33" s="1"/>
  <c r="J161" i="11"/>
  <c r="C916" i="33"/>
  <c r="B916" i="33" s="1"/>
  <c r="J159" i="11"/>
  <c r="C1285" i="33"/>
  <c r="B1285" i="33" s="1"/>
  <c r="F56" i="15"/>
  <c r="F57" i="15" s="1"/>
  <c r="F54" i="15"/>
  <c r="F52" i="15"/>
  <c r="F55" i="15"/>
  <c r="F53" i="15"/>
  <c r="F50" i="15"/>
  <c r="F51" i="15"/>
  <c r="F49" i="15"/>
  <c r="F47" i="15"/>
  <c r="F48" i="15"/>
  <c r="F46" i="15"/>
  <c r="B33" i="10"/>
  <c r="B14" i="20" s="1"/>
  <c r="F7" i="13"/>
  <c r="F21" i="13"/>
  <c r="F22" i="13"/>
  <c r="F23" i="13"/>
  <c r="F24" i="13"/>
  <c r="F25" i="13"/>
  <c r="F26" i="13"/>
  <c r="F46" i="13"/>
  <c r="F47" i="13"/>
  <c r="F48" i="13"/>
  <c r="F4" i="13"/>
  <c r="F65" i="13" l="1"/>
  <c r="F64" i="13"/>
  <c r="F67" i="13"/>
  <c r="F66" i="13"/>
  <c r="H14" i="20"/>
  <c r="C2730" i="33"/>
  <c r="B2730" i="33" s="1"/>
  <c r="D640" i="33"/>
  <c r="C638" i="33"/>
  <c r="B638" i="33" s="1"/>
  <c r="D601" i="33"/>
  <c r="C601" i="33"/>
  <c r="B601" i="33" s="1"/>
  <c r="D642" i="33"/>
  <c r="C640" i="33"/>
  <c r="B640" i="33" s="1"/>
  <c r="D619" i="33"/>
  <c r="C619" i="33"/>
  <c r="B619" i="33" s="1"/>
  <c r="D600" i="33"/>
  <c r="C600" i="33"/>
  <c r="B600" i="33" s="1"/>
  <c r="F53" i="13"/>
  <c r="D139" i="11"/>
  <c r="C2667" i="33" s="1"/>
  <c r="B2667" i="33" s="1"/>
  <c r="D137" i="11"/>
  <c r="D140" i="11"/>
  <c r="C2668" i="33" s="1"/>
  <c r="B2668" i="33" s="1"/>
  <c r="D138" i="11"/>
  <c r="C2666" i="33" s="1"/>
  <c r="B2666" i="33" s="1"/>
  <c r="F63" i="13"/>
  <c r="D641" i="33"/>
  <c r="C639" i="33"/>
  <c r="B639" i="33" s="1"/>
  <c r="D620" i="33"/>
  <c r="C620" i="33"/>
  <c r="B620" i="33" s="1"/>
  <c r="D618" i="33"/>
  <c r="C618" i="33"/>
  <c r="B618" i="33" s="1"/>
  <c r="D616" i="33"/>
  <c r="C616" i="33"/>
  <c r="B616" i="33" s="1"/>
  <c r="D615" i="33"/>
  <c r="C615" i="33"/>
  <c r="B615" i="33" s="1"/>
  <c r="D617" i="33"/>
  <c r="C617" i="33"/>
  <c r="B617" i="33" s="1"/>
  <c r="F58" i="13"/>
  <c r="B21" i="10"/>
  <c r="H20" i="10" s="1"/>
  <c r="B25" i="10"/>
  <c r="F57" i="13"/>
  <c r="B24" i="10"/>
  <c r="F55" i="13"/>
  <c r="F54" i="13"/>
  <c r="B23" i="10"/>
  <c r="B19" i="10"/>
  <c r="F59" i="13"/>
  <c r="F56" i="13"/>
  <c r="D141" i="11" l="1"/>
  <c r="C2661" i="33" s="1"/>
  <c r="B2661" i="33" s="1"/>
  <c r="C2665" i="33"/>
  <c r="B2665" i="33" s="1"/>
  <c r="C1213" i="33"/>
  <c r="B1213" i="33" s="1"/>
  <c r="H43" i="10"/>
  <c r="H19" i="10"/>
  <c r="H9" i="10"/>
  <c r="H21" i="10"/>
  <c r="H14" i="10"/>
  <c r="H18" i="10"/>
  <c r="H13" i="10"/>
  <c r="H8" i="10"/>
  <c r="H12" i="10"/>
  <c r="H11" i="10"/>
  <c r="B8" i="20"/>
  <c r="B7" i="20"/>
  <c r="B9" i="20"/>
  <c r="B27" i="20"/>
  <c r="C1202" i="33" l="1"/>
  <c r="B1202" i="33" s="1"/>
  <c r="C1214" i="33"/>
  <c r="B1214" i="33" s="1"/>
  <c r="H44" i="10"/>
  <c r="C1212" i="33"/>
  <c r="B1212" i="33" s="1"/>
  <c r="B26" i="20"/>
  <c r="C2742" i="33" s="1"/>
  <c r="B2742" i="33" s="1"/>
  <c r="H42" i="10"/>
  <c r="C1211" i="33"/>
  <c r="B1211" i="33" s="1"/>
  <c r="H7" i="20"/>
  <c r="C2723" i="33"/>
  <c r="B2723" i="33" s="1"/>
  <c r="H8" i="20"/>
  <c r="C2724" i="33"/>
  <c r="B2724" i="33" s="1"/>
  <c r="C1205" i="33"/>
  <c r="B1205" i="33" s="1"/>
  <c r="B21" i="20"/>
  <c r="H35" i="10"/>
  <c r="H9" i="20"/>
  <c r="C2725" i="33"/>
  <c r="B2725" i="33" s="1"/>
  <c r="C1207" i="33"/>
  <c r="B1207" i="33" s="1"/>
  <c r="C1204" i="33"/>
  <c r="B1204" i="33" s="1"/>
  <c r="H34" i="10"/>
  <c r="C1201" i="33"/>
  <c r="B1201" i="33" s="1"/>
  <c r="H31" i="10"/>
  <c r="H27" i="20"/>
  <c r="C2743" i="33"/>
  <c r="B2743" i="33" s="1"/>
  <c r="C1206" i="33"/>
  <c r="B1206" i="33" s="1"/>
  <c r="H36" i="10"/>
  <c r="B20" i="20"/>
  <c r="H15" i="10"/>
  <c r="C1208" i="33" s="1"/>
  <c r="H37" i="10"/>
  <c r="H41" i="10"/>
  <c r="H32" i="10"/>
  <c r="J7" i="13"/>
  <c r="L7" i="13"/>
  <c r="H26" i="20" l="1"/>
  <c r="C2588" i="33"/>
  <c r="B2588" i="33" s="1"/>
  <c r="K89" i="11"/>
  <c r="C2598" i="33" s="1"/>
  <c r="B2598" i="33" s="1"/>
  <c r="H89" i="11"/>
  <c r="C2578" i="33" s="1"/>
  <c r="B2578" i="33" s="1"/>
  <c r="C2628" i="33"/>
  <c r="B2628" i="33" s="1"/>
  <c r="N89" i="11"/>
  <c r="C2618" i="33" s="1"/>
  <c r="B2618" i="33" s="1"/>
  <c r="Q89" i="11"/>
  <c r="C2638" i="33" s="1"/>
  <c r="B2638" i="33" s="1"/>
  <c r="H20" i="20"/>
  <c r="C2736" i="33"/>
  <c r="B2736" i="33" s="1"/>
  <c r="C2737" i="33"/>
  <c r="B2737" i="33" s="1"/>
  <c r="H21" i="20"/>
  <c r="H17" i="10"/>
  <c r="H40" i="10" s="1"/>
  <c r="B1208" i="33"/>
  <c r="H16" i="10"/>
  <c r="B23" i="20"/>
  <c r="H38" i="10"/>
  <c r="K7" i="13"/>
  <c r="C2608" i="33" s="1"/>
  <c r="B2608" i="33" s="1"/>
  <c r="M7" i="13"/>
  <c r="C2648" i="33" s="1"/>
  <c r="B2648" i="33" s="1"/>
  <c r="B51" i="15"/>
  <c r="B47" i="15"/>
  <c r="I39" i="15"/>
  <c r="B31" i="10"/>
  <c r="B12" i="20" s="1"/>
  <c r="B32" i="10"/>
  <c r="B13" i="20" s="1"/>
  <c r="L22" i="13"/>
  <c r="L25" i="13"/>
  <c r="L33" i="13"/>
  <c r="L34" i="13"/>
  <c r="L46" i="13"/>
  <c r="J25" i="13"/>
  <c r="J33" i="13"/>
  <c r="J47" i="13"/>
  <c r="H12" i="20" l="1"/>
  <c r="C2728" i="33"/>
  <c r="B2728" i="33" s="1"/>
  <c r="H13" i="20"/>
  <c r="C2729" i="33"/>
  <c r="B2729" i="33" s="1"/>
  <c r="L39" i="15"/>
  <c r="C1048" i="33"/>
  <c r="B1048" i="33" s="1"/>
  <c r="H129" i="11"/>
  <c r="K129" i="11"/>
  <c r="K115" i="11"/>
  <c r="H115" i="11"/>
  <c r="Q128" i="11"/>
  <c r="N128" i="11"/>
  <c r="K107" i="11"/>
  <c r="H107" i="11"/>
  <c r="Q116" i="11"/>
  <c r="N116" i="11"/>
  <c r="C2635" i="33"/>
  <c r="B2635" i="33" s="1"/>
  <c r="Q104" i="11"/>
  <c r="C2645" i="33" s="1"/>
  <c r="B2645" i="33" s="1"/>
  <c r="N104" i="11"/>
  <c r="C2625" i="33" s="1"/>
  <c r="B2625" i="33" s="1"/>
  <c r="N115" i="11"/>
  <c r="Q115" i="11"/>
  <c r="Q107" i="11"/>
  <c r="N107" i="11"/>
  <c r="C1210" i="33"/>
  <c r="B1210" i="33" s="1"/>
  <c r="C1209" i="33"/>
  <c r="B1209" i="33" s="1"/>
  <c r="H23" i="20"/>
  <c r="C2739" i="33"/>
  <c r="B2739" i="33" s="1"/>
  <c r="H39" i="10"/>
  <c r="B24" i="20"/>
  <c r="C2740" i="33" s="1"/>
  <c r="B2740" i="33" s="1"/>
  <c r="B25" i="20"/>
  <c r="C2741" i="33" s="1"/>
  <c r="B2741" i="33" s="1"/>
  <c r="M39" i="15"/>
  <c r="M34" i="13"/>
  <c r="M22" i="13"/>
  <c r="C2655" i="33" s="1"/>
  <c r="B2655" i="33" s="1"/>
  <c r="M25" i="13"/>
  <c r="K33" i="13"/>
  <c r="K47" i="13"/>
  <c r="M33" i="13"/>
  <c r="K25" i="13"/>
  <c r="M46" i="13"/>
  <c r="L27" i="13"/>
  <c r="J34" i="13"/>
  <c r="B34" i="10"/>
  <c r="J48" i="13"/>
  <c r="L21" i="13"/>
  <c r="J27" i="13"/>
  <c r="L26" i="13"/>
  <c r="L48" i="13"/>
  <c r="L47" i="13"/>
  <c r="L24" i="13"/>
  <c r="J46" i="13"/>
  <c r="J26" i="13"/>
  <c r="J24" i="13"/>
  <c r="L23" i="13"/>
  <c r="J23" i="13"/>
  <c r="J22" i="13"/>
  <c r="J21" i="13"/>
  <c r="J4" i="13"/>
  <c r="C2636" i="33" l="1"/>
  <c r="B2636" i="33" s="1"/>
  <c r="Q105" i="11"/>
  <c r="C2646" i="33" s="1"/>
  <c r="B2646" i="33" s="1"/>
  <c r="N105" i="11"/>
  <c r="C2626" i="33" s="1"/>
  <c r="B2626" i="33" s="1"/>
  <c r="K106" i="11"/>
  <c r="H106" i="11"/>
  <c r="Q103" i="11"/>
  <c r="N103" i="11"/>
  <c r="C2596" i="33"/>
  <c r="B2596" i="33" s="1"/>
  <c r="K105" i="11"/>
  <c r="C2606" i="33" s="1"/>
  <c r="B2606" i="33" s="1"/>
  <c r="H105" i="11"/>
  <c r="C2586" i="33" s="1"/>
  <c r="B2586" i="33" s="1"/>
  <c r="Q108" i="11"/>
  <c r="N108" i="11"/>
  <c r="C2587" i="33"/>
  <c r="B2587" i="33" s="1"/>
  <c r="K87" i="11"/>
  <c r="C2597" i="33" s="1"/>
  <c r="B2597" i="33" s="1"/>
  <c r="H87" i="11"/>
  <c r="C2577" i="33" s="1"/>
  <c r="B2577" i="33" s="1"/>
  <c r="H116" i="11"/>
  <c r="K116" i="11"/>
  <c r="K130" i="11"/>
  <c r="H130" i="11"/>
  <c r="H103" i="11"/>
  <c r="K103" i="11"/>
  <c r="Q129" i="11"/>
  <c r="N129" i="11"/>
  <c r="K108" i="11"/>
  <c r="H108" i="11"/>
  <c r="H128" i="11"/>
  <c r="K128" i="11"/>
  <c r="Q106" i="11"/>
  <c r="N106" i="11"/>
  <c r="C2595" i="33"/>
  <c r="B2595" i="33" s="1"/>
  <c r="K104" i="11"/>
  <c r="C2605" i="33" s="1"/>
  <c r="B2605" i="33" s="1"/>
  <c r="H104" i="11"/>
  <c r="C2585" i="33" s="1"/>
  <c r="B2585" i="33" s="1"/>
  <c r="Q130" i="11"/>
  <c r="N130" i="11"/>
  <c r="H25" i="20"/>
  <c r="H24" i="20"/>
  <c r="M23" i="13"/>
  <c r="C2656" i="33" s="1"/>
  <c r="B2656" i="33" s="1"/>
  <c r="M24" i="13"/>
  <c r="K21" i="13"/>
  <c r="M47" i="13"/>
  <c r="K34" i="13"/>
  <c r="K22" i="13"/>
  <c r="C2615" i="33" s="1"/>
  <c r="B2615" i="33" s="1"/>
  <c r="M48" i="13"/>
  <c r="M27" i="13"/>
  <c r="M26" i="13"/>
  <c r="K23" i="13"/>
  <c r="C2616" i="33" s="1"/>
  <c r="B2616" i="33" s="1"/>
  <c r="K24" i="13"/>
  <c r="K26" i="13"/>
  <c r="M21" i="13"/>
  <c r="K27" i="13"/>
  <c r="K46" i="13"/>
  <c r="K48" i="13"/>
  <c r="L5" i="15"/>
  <c r="J5" i="15"/>
  <c r="L4" i="13"/>
  <c r="K4" i="13"/>
  <c r="C2607" i="33" s="1"/>
  <c r="B2607" i="33" s="1"/>
  <c r="H19" i="20"/>
  <c r="C2627" i="33" l="1"/>
  <c r="B2627" i="33" s="1"/>
  <c r="N87" i="11"/>
  <c r="C2617" i="33" s="1"/>
  <c r="B2617" i="33" s="1"/>
  <c r="Q87" i="11"/>
  <c r="C2637" i="33" s="1"/>
  <c r="B2637" i="33" s="1"/>
  <c r="B15" i="20"/>
  <c r="K5" i="15"/>
  <c r="M5" i="15"/>
  <c r="M4" i="13"/>
  <c r="C2647" i="33" s="1"/>
  <c r="B2647" i="33" s="1"/>
  <c r="H18" i="20"/>
  <c r="B17" i="20"/>
  <c r="B16" i="20"/>
  <c r="H16" i="20" l="1"/>
  <c r="C2732" i="33"/>
  <c r="B2732" i="33" s="1"/>
  <c r="H17" i="20"/>
  <c r="C2733" i="33"/>
  <c r="B2733" i="33" s="1"/>
  <c r="H15" i="20"/>
  <c r="C2731" i="33"/>
  <c r="B2731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hongyu li</author>
  </authors>
  <commentList>
    <comment ref="F19" authorId="0" shapeId="0" xr:uid="{3C03ED2E-D516-4809-B4E7-3D0D9ACFD02E}">
      <text>
        <r>
          <rPr>
            <b/>
            <sz val="9"/>
            <color indexed="81"/>
            <rFont val="宋体"/>
            <family val="3"/>
            <charset val="134"/>
          </rPr>
          <t>hongyu li:</t>
        </r>
        <r>
          <rPr>
            <sz val="9"/>
            <color indexed="81"/>
            <rFont val="宋体"/>
            <family val="3"/>
            <charset val="134"/>
          </rPr>
          <t xml:space="preserve">
NCA</t>
        </r>
      </text>
    </comment>
    <comment ref="G19" authorId="0" shapeId="0" xr:uid="{9BA3BDA6-EB67-486B-8A76-EE4717EDA002}">
      <text>
        <r>
          <rPr>
            <b/>
            <sz val="9"/>
            <color indexed="81"/>
            <rFont val="宋体"/>
            <family val="3"/>
            <charset val="134"/>
          </rPr>
          <t>hongyu li:</t>
        </r>
        <r>
          <rPr>
            <sz val="9"/>
            <color indexed="81"/>
            <rFont val="宋体"/>
            <family val="3"/>
            <charset val="134"/>
          </rPr>
          <t xml:space="preserve">
NCB</t>
        </r>
      </text>
    </comment>
  </commentList>
</comments>
</file>

<file path=xl/sharedStrings.xml><?xml version="1.0" encoding="utf-8"?>
<sst xmlns="http://schemas.openxmlformats.org/spreadsheetml/2006/main" count="6857" uniqueCount="4110">
  <si>
    <t>项目</t>
  </si>
  <si>
    <t>资本化的利息支出</t>
    <rPh sb="0" eb="1">
      <t>zi'ben'hua</t>
    </rPh>
    <rPh sb="3" eb="4">
      <t>de</t>
    </rPh>
    <rPh sb="4" eb="5">
      <t>li'xi'zhi'chu</t>
    </rPh>
    <phoneticPr fontId="1" type="noConversion"/>
  </si>
  <si>
    <t>固定资产折旧</t>
    <rPh sb="0" eb="1">
      <t>gu'ding'zi'chan</t>
    </rPh>
    <rPh sb="4" eb="5">
      <t>zhe'jiu</t>
    </rPh>
    <phoneticPr fontId="1" type="noConversion"/>
  </si>
  <si>
    <t>主营业务收入</t>
    <phoneticPr fontId="1" type="noConversion"/>
  </si>
  <si>
    <t>主营业务成本</t>
    <phoneticPr fontId="1" type="noConversion"/>
  </si>
  <si>
    <t>计入财务费用的利息支出</t>
    <rPh sb="0" eb="1">
      <t>ji'ru</t>
    </rPh>
    <rPh sb="2" eb="3">
      <t>cai'wu'fei'yong</t>
    </rPh>
    <rPh sb="6" eb="7">
      <t>e</t>
    </rPh>
    <rPh sb="7" eb="8">
      <t>li'xi'zhi'chu</t>
    </rPh>
    <phoneticPr fontId="1" type="noConversion"/>
  </si>
  <si>
    <t>占比</t>
    <phoneticPr fontId="1" type="noConversion"/>
  </si>
  <si>
    <t>以公允价值计量且其变动计入当期损益的金融资产</t>
  </si>
  <si>
    <t>衍生金融资产</t>
  </si>
  <si>
    <t>以公允价值计量且其变动计入当期损益的金融负债</t>
  </si>
  <si>
    <t>衍生金融负债</t>
  </si>
  <si>
    <t>货币资金</t>
    <phoneticPr fontId="1" type="noConversion"/>
  </si>
  <si>
    <r>
      <rPr>
        <b/>
        <sz val="12"/>
        <color theme="1"/>
        <rFont val="宋体"/>
        <family val="3"/>
        <charset val="134"/>
      </rPr>
      <t>核查</t>
    </r>
    <phoneticPr fontId="1" type="noConversion"/>
  </si>
  <si>
    <r>
      <rPr>
        <sz val="12"/>
        <color theme="1"/>
        <rFont val="宋体"/>
        <family val="2"/>
        <charset val="134"/>
      </rPr>
      <t>流动资产</t>
    </r>
    <phoneticPr fontId="1" type="noConversion"/>
  </si>
  <si>
    <r>
      <rPr>
        <sz val="12"/>
        <color theme="1"/>
        <rFont val="宋体"/>
        <family val="2"/>
        <charset val="134"/>
      </rPr>
      <t>非流动资产</t>
    </r>
    <phoneticPr fontId="1" type="noConversion"/>
  </si>
  <si>
    <r>
      <rPr>
        <sz val="12"/>
        <color theme="1"/>
        <rFont val="宋体"/>
        <family val="2"/>
        <charset val="134"/>
      </rPr>
      <t>资产合计</t>
    </r>
    <phoneticPr fontId="1" type="noConversion"/>
  </si>
  <si>
    <r>
      <rPr>
        <sz val="12"/>
        <color theme="1"/>
        <rFont val="宋体"/>
        <family val="2"/>
        <charset val="134"/>
      </rPr>
      <t>流动负债</t>
    </r>
    <phoneticPr fontId="1" type="noConversion"/>
  </si>
  <si>
    <r>
      <rPr>
        <sz val="12"/>
        <color theme="1"/>
        <rFont val="宋体"/>
        <family val="2"/>
        <charset val="134"/>
      </rPr>
      <t>非流动负债</t>
    </r>
    <phoneticPr fontId="1" type="noConversion"/>
  </si>
  <si>
    <r>
      <rPr>
        <sz val="12"/>
        <color theme="1"/>
        <rFont val="宋体"/>
        <family val="2"/>
        <charset val="134"/>
      </rPr>
      <t>负债合计</t>
    </r>
    <phoneticPr fontId="1" type="noConversion"/>
  </si>
  <si>
    <r>
      <rPr>
        <sz val="12"/>
        <color theme="1"/>
        <rFont val="宋体"/>
        <family val="2"/>
        <charset val="134"/>
      </rPr>
      <t>所有者权益合计</t>
    </r>
    <phoneticPr fontId="1" type="noConversion"/>
  </si>
  <si>
    <r>
      <rPr>
        <sz val="12"/>
        <color theme="1"/>
        <rFont val="宋体"/>
        <family val="2"/>
        <charset val="134"/>
      </rPr>
      <t>平衡</t>
    </r>
    <phoneticPr fontId="1" type="noConversion"/>
  </si>
  <si>
    <r>
      <rPr>
        <sz val="12"/>
        <color theme="1"/>
        <rFont val="宋体"/>
        <family val="3"/>
        <charset val="134"/>
      </rPr>
      <t>营业利润</t>
    </r>
    <phoneticPr fontId="1" type="noConversion"/>
  </si>
  <si>
    <r>
      <rPr>
        <sz val="12"/>
        <color theme="1"/>
        <rFont val="宋体"/>
        <family val="3"/>
        <charset val="134"/>
      </rPr>
      <t>利润总额</t>
    </r>
    <phoneticPr fontId="1" type="noConversion"/>
  </si>
  <si>
    <r>
      <rPr>
        <sz val="12"/>
        <color theme="1"/>
        <rFont val="宋体"/>
        <family val="3"/>
        <charset val="134"/>
      </rPr>
      <t>净利润</t>
    </r>
    <phoneticPr fontId="1" type="noConversion"/>
  </si>
  <si>
    <r>
      <rPr>
        <sz val="12"/>
        <color theme="1"/>
        <rFont val="宋体"/>
        <family val="3"/>
        <charset val="134"/>
      </rPr>
      <t>综合收益</t>
    </r>
    <phoneticPr fontId="1" type="noConversion"/>
  </si>
  <si>
    <r>
      <rPr>
        <sz val="12"/>
        <color theme="1"/>
        <rFont val="宋体"/>
        <family val="2"/>
        <charset val="134"/>
      </rPr>
      <t>经营流入</t>
    </r>
    <phoneticPr fontId="1" type="noConversion"/>
  </si>
  <si>
    <r>
      <rPr>
        <sz val="12"/>
        <color theme="1"/>
        <rFont val="宋体"/>
        <family val="2"/>
        <charset val="134"/>
      </rPr>
      <t>流出</t>
    </r>
    <phoneticPr fontId="1" type="noConversion"/>
  </si>
  <si>
    <r>
      <rPr>
        <sz val="12"/>
        <color theme="1"/>
        <rFont val="宋体"/>
        <family val="2"/>
        <charset val="134"/>
      </rPr>
      <t>净额</t>
    </r>
    <phoneticPr fontId="1" type="noConversion"/>
  </si>
  <si>
    <r>
      <rPr>
        <sz val="12"/>
        <color theme="1"/>
        <rFont val="宋体"/>
        <family val="2"/>
        <charset val="134"/>
      </rPr>
      <t>投资流入</t>
    </r>
    <phoneticPr fontId="1" type="noConversion"/>
  </si>
  <si>
    <r>
      <rPr>
        <sz val="12"/>
        <color theme="1"/>
        <rFont val="宋体"/>
        <family val="2"/>
        <charset val="134"/>
      </rPr>
      <t>筹资流入</t>
    </r>
    <phoneticPr fontId="1" type="noConversion"/>
  </si>
  <si>
    <r>
      <rPr>
        <sz val="12"/>
        <color theme="1"/>
        <rFont val="宋体"/>
        <family val="2"/>
        <charset val="134"/>
      </rPr>
      <t>现金</t>
    </r>
    <phoneticPr fontId="1" type="noConversion"/>
  </si>
  <si>
    <t>受限现金</t>
    <phoneticPr fontId="1" type="noConversion"/>
  </si>
  <si>
    <t>金额</t>
    <phoneticPr fontId="1" type="noConversion"/>
  </si>
  <si>
    <t>最近一期</t>
    <phoneticPr fontId="1" type="noConversion"/>
  </si>
  <si>
    <t>第三年</t>
    <phoneticPr fontId="1" type="noConversion"/>
  </si>
  <si>
    <t>第二年</t>
    <phoneticPr fontId="1" type="noConversion"/>
  </si>
  <si>
    <t>第一年</t>
    <phoneticPr fontId="1" type="noConversion"/>
  </si>
  <si>
    <t>净利润=归母+少数</t>
    <phoneticPr fontId="1" type="noConversion"/>
  </si>
  <si>
    <t>归母综合收益</t>
    <phoneticPr fontId="1" type="noConversion"/>
  </si>
  <si>
    <t>少数综合收益</t>
    <phoneticPr fontId="1" type="noConversion"/>
  </si>
  <si>
    <t>其他应收款</t>
  </si>
  <si>
    <t>预付款项</t>
  </si>
  <si>
    <t>存货</t>
  </si>
  <si>
    <t>其他流动资产</t>
  </si>
  <si>
    <t>流动资产合计</t>
  </si>
  <si>
    <t>可供出售金融资产</t>
  </si>
  <si>
    <t>长期股权投资</t>
  </si>
  <si>
    <t>投资性房地产</t>
  </si>
  <si>
    <t>固定资产</t>
  </si>
  <si>
    <t>在建工程</t>
  </si>
  <si>
    <t>无形资产</t>
  </si>
  <si>
    <t>长期待摊费用</t>
  </si>
  <si>
    <t>递延所得税资产</t>
  </si>
  <si>
    <t>非流动资产合计</t>
  </si>
  <si>
    <t>资产总计</t>
  </si>
  <si>
    <t>短期借款</t>
  </si>
  <si>
    <t>预收款项</t>
  </si>
  <si>
    <t>应付职工薪酬</t>
  </si>
  <si>
    <t>应交税费</t>
  </si>
  <si>
    <t>其他应付款</t>
  </si>
  <si>
    <t>一年内到期的非流动负债</t>
  </si>
  <si>
    <t>流动负债合计</t>
  </si>
  <si>
    <t>长期借款</t>
  </si>
  <si>
    <t>应付债券</t>
  </si>
  <si>
    <t>长期应付款</t>
  </si>
  <si>
    <t>非流动负债合计</t>
  </si>
  <si>
    <t>负债合计</t>
  </si>
  <si>
    <t>报告期</t>
    <phoneticPr fontId="1" type="noConversion"/>
  </si>
  <si>
    <t>占部分</t>
    <phoneticPr fontId="1" type="noConversion"/>
  </si>
  <si>
    <t>占总额</t>
    <phoneticPr fontId="1" type="noConversion"/>
  </si>
  <si>
    <t>单位：元</t>
    <phoneticPr fontId="1" type="noConversion"/>
  </si>
  <si>
    <t>单位：万元</t>
    <phoneticPr fontId="1" type="noConversion"/>
  </si>
  <si>
    <t>最近一期</t>
  </si>
  <si>
    <t>第三年</t>
  </si>
  <si>
    <t>第二年</t>
  </si>
  <si>
    <t>第一年</t>
  </si>
  <si>
    <t>第二年比第一年</t>
    <phoneticPr fontId="1" type="noConversion"/>
  </si>
  <si>
    <t>第三年比第二年</t>
    <phoneticPr fontId="1" type="noConversion"/>
  </si>
  <si>
    <t>最近一期比第三年</t>
    <phoneticPr fontId="1" type="noConversion"/>
  </si>
  <si>
    <t>示例</t>
    <phoneticPr fontId="1" type="noConversion"/>
  </si>
  <si>
    <t>请手动填写绿色部分，包括合计栏，单位元</t>
    <phoneticPr fontId="1" type="noConversion"/>
  </si>
  <si>
    <r>
      <rPr>
        <b/>
        <sz val="10"/>
        <rFont val="宋体"/>
        <family val="3"/>
        <charset val="134"/>
      </rPr>
      <t>项目</t>
    </r>
  </si>
  <si>
    <r>
      <rPr>
        <b/>
        <sz val="10"/>
        <color theme="1"/>
        <rFont val="宋体"/>
        <family val="3"/>
        <charset val="134"/>
      </rPr>
      <t>占比</t>
    </r>
    <phoneticPr fontId="1" type="noConversion"/>
  </si>
  <si>
    <r>
      <t xml:space="preserve">        </t>
    </r>
    <r>
      <rPr>
        <sz val="10"/>
        <rFont val="宋体"/>
        <family val="3"/>
        <charset val="134"/>
      </rPr>
      <t>公允价值变动收益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损失以</t>
    </r>
    <r>
      <rPr>
        <sz val="10"/>
        <rFont val="Times New Roman"/>
        <family val="1"/>
      </rPr>
      <t>“-”</t>
    </r>
    <r>
      <rPr>
        <sz val="10"/>
        <rFont val="宋体"/>
        <family val="3"/>
        <charset val="134"/>
      </rPr>
      <t>号填列）</t>
    </r>
    <phoneticPr fontId="2" type="noConversion"/>
  </si>
  <si>
    <r>
      <t xml:space="preserve">        </t>
    </r>
    <r>
      <rPr>
        <sz val="10"/>
        <rFont val="宋体"/>
        <family val="3"/>
        <charset val="134"/>
      </rPr>
      <t>资产处置收益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损失以</t>
    </r>
    <r>
      <rPr>
        <sz val="10"/>
        <rFont val="Times New Roman"/>
        <family val="1"/>
      </rPr>
      <t>“-”</t>
    </r>
    <r>
      <rPr>
        <sz val="10"/>
        <rFont val="宋体"/>
        <family val="3"/>
        <charset val="134"/>
      </rPr>
      <t>号填列）</t>
    </r>
    <phoneticPr fontId="2" type="noConversion"/>
  </si>
  <si>
    <r>
      <t xml:space="preserve">    </t>
    </r>
    <r>
      <rPr>
        <sz val="10"/>
        <rFont val="宋体"/>
        <family val="3"/>
        <charset val="134"/>
      </rPr>
      <t>加：营业外收入</t>
    </r>
  </si>
  <si>
    <r>
      <t xml:space="preserve">    </t>
    </r>
    <r>
      <rPr>
        <sz val="10"/>
        <rFont val="宋体"/>
        <family val="3"/>
        <charset val="134"/>
      </rPr>
      <t>减：营业外支出</t>
    </r>
  </si>
  <si>
    <r>
      <t xml:space="preserve">    </t>
    </r>
    <r>
      <rPr>
        <sz val="10"/>
        <rFont val="宋体"/>
        <family val="3"/>
        <charset val="134"/>
      </rPr>
      <t>减：所得税费用</t>
    </r>
  </si>
  <si>
    <r>
      <rPr>
        <sz val="10"/>
        <rFont val="宋体"/>
        <family val="3"/>
        <charset val="134"/>
      </rPr>
      <t>（一）按经营持续性分类</t>
    </r>
    <phoneticPr fontId="2" type="noConversion"/>
  </si>
  <si>
    <r>
      <t xml:space="preserve">   1.</t>
    </r>
    <r>
      <rPr>
        <sz val="10"/>
        <rFont val="宋体"/>
        <family val="3"/>
        <charset val="134"/>
      </rPr>
      <t>持续经营净利润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净亏损以</t>
    </r>
    <r>
      <rPr>
        <sz val="10"/>
        <rFont val="Times New Roman"/>
        <family val="1"/>
      </rPr>
      <t>“-”</t>
    </r>
    <r>
      <rPr>
        <sz val="10"/>
        <rFont val="宋体"/>
        <family val="3"/>
        <charset val="134"/>
      </rPr>
      <t>号填列）</t>
    </r>
    <phoneticPr fontId="2" type="noConversion"/>
  </si>
  <si>
    <r>
      <t xml:space="preserve">   2.</t>
    </r>
    <r>
      <rPr>
        <sz val="10"/>
        <rFont val="宋体"/>
        <family val="3"/>
        <charset val="134"/>
      </rPr>
      <t>终止经营净利润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净亏损以</t>
    </r>
    <r>
      <rPr>
        <sz val="10"/>
        <rFont val="Times New Roman"/>
        <family val="1"/>
      </rPr>
      <t>“-”</t>
    </r>
    <r>
      <rPr>
        <sz val="10"/>
        <rFont val="宋体"/>
        <family val="3"/>
        <charset val="134"/>
      </rPr>
      <t>号填列）</t>
    </r>
    <phoneticPr fontId="2" type="noConversion"/>
  </si>
  <si>
    <r>
      <rPr>
        <sz val="10"/>
        <rFont val="宋体"/>
        <family val="3"/>
        <charset val="134"/>
      </rPr>
      <t>（二）按所有权归属分类</t>
    </r>
    <phoneticPr fontId="2" type="noConversion"/>
  </si>
  <si>
    <r>
      <t xml:space="preserve">   1.</t>
    </r>
    <r>
      <rPr>
        <sz val="10"/>
        <rFont val="宋体"/>
        <family val="3"/>
        <charset val="134"/>
      </rPr>
      <t>归属于母公司所有者的净利润（净亏损以</t>
    </r>
    <r>
      <rPr>
        <sz val="10"/>
        <rFont val="Times New Roman"/>
        <family val="1"/>
      </rPr>
      <t>“</t>
    </r>
    <r>
      <rPr>
        <sz val="10"/>
        <rFont val="宋体"/>
        <family val="3"/>
        <charset val="134"/>
      </rPr>
      <t>－</t>
    </r>
    <r>
      <rPr>
        <sz val="10"/>
        <rFont val="Times New Roman"/>
        <family val="1"/>
      </rPr>
      <t>”</t>
    </r>
    <r>
      <rPr>
        <sz val="10"/>
        <rFont val="宋体"/>
        <family val="3"/>
        <charset val="134"/>
      </rPr>
      <t>号填列）</t>
    </r>
  </si>
  <si>
    <r>
      <t xml:space="preserve">   2.</t>
    </r>
    <r>
      <rPr>
        <sz val="10"/>
        <rFont val="宋体"/>
        <family val="3"/>
        <charset val="134"/>
      </rPr>
      <t>少数所有者损益（净亏损以</t>
    </r>
    <r>
      <rPr>
        <sz val="10"/>
        <rFont val="Times New Roman"/>
        <family val="1"/>
      </rPr>
      <t>“</t>
    </r>
    <r>
      <rPr>
        <sz val="10"/>
        <rFont val="宋体"/>
        <family val="3"/>
        <charset val="134"/>
      </rPr>
      <t>－</t>
    </r>
    <r>
      <rPr>
        <sz val="10"/>
        <rFont val="Times New Roman"/>
        <family val="1"/>
      </rPr>
      <t>”</t>
    </r>
    <r>
      <rPr>
        <sz val="10"/>
        <rFont val="宋体"/>
        <family val="3"/>
        <charset val="134"/>
      </rPr>
      <t>号填列）</t>
    </r>
  </si>
  <si>
    <r>
      <t xml:space="preserve">  1.</t>
    </r>
    <r>
      <rPr>
        <sz val="10"/>
        <rFont val="宋体"/>
        <family val="3"/>
        <charset val="134"/>
      </rPr>
      <t>以后不能重分类进损益的其他综合收益</t>
    </r>
    <phoneticPr fontId="2" type="noConversion"/>
  </si>
  <si>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1</t>
    </r>
    <r>
      <rPr>
        <sz val="10"/>
        <rFont val="宋体"/>
        <family val="3"/>
        <charset val="134"/>
      </rPr>
      <t>）重新计量设定受益计划净负债或净资产的变动</t>
    </r>
    <phoneticPr fontId="2" type="noConversion"/>
  </si>
  <si>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2</t>
    </r>
    <r>
      <rPr>
        <sz val="10"/>
        <rFont val="宋体"/>
        <family val="3"/>
        <charset val="134"/>
      </rPr>
      <t>）权益法下不能转损益的其他综合收益</t>
    </r>
    <phoneticPr fontId="2" type="noConversion"/>
  </si>
  <si>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1</t>
    </r>
    <r>
      <rPr>
        <sz val="10"/>
        <rFont val="宋体"/>
        <family val="3"/>
        <charset val="134"/>
      </rPr>
      <t>）权益法下可转损益的其他综合收益</t>
    </r>
    <phoneticPr fontId="2" type="noConversion"/>
  </si>
  <si>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2</t>
    </r>
    <r>
      <rPr>
        <sz val="10"/>
        <rFont val="宋体"/>
        <family val="3"/>
        <charset val="134"/>
      </rPr>
      <t>）可供出售金融资产公允价值变动损益</t>
    </r>
    <phoneticPr fontId="2" type="noConversion"/>
  </si>
  <si>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3</t>
    </r>
    <r>
      <rPr>
        <sz val="10"/>
        <rFont val="宋体"/>
        <family val="3"/>
        <charset val="134"/>
      </rPr>
      <t>）持有至到期投资重分类为可供出售金融资产损益</t>
    </r>
    <phoneticPr fontId="2" type="noConversion"/>
  </si>
  <si>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4</t>
    </r>
    <r>
      <rPr>
        <sz val="10"/>
        <rFont val="宋体"/>
        <family val="3"/>
        <charset val="134"/>
      </rPr>
      <t>）现金流量套期损益的有效部分</t>
    </r>
    <phoneticPr fontId="2" type="noConversion"/>
  </si>
  <si>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5</t>
    </r>
    <r>
      <rPr>
        <sz val="10"/>
        <rFont val="宋体"/>
        <family val="3"/>
        <charset val="134"/>
      </rPr>
      <t>）外币财务报表折算差额</t>
    </r>
    <phoneticPr fontId="2" type="noConversion"/>
  </si>
  <si>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6</t>
    </r>
    <r>
      <rPr>
        <sz val="10"/>
        <rFont val="宋体"/>
        <family val="3"/>
        <charset val="134"/>
      </rPr>
      <t>）其他</t>
    </r>
    <phoneticPr fontId="1" type="noConversion"/>
  </si>
  <si>
    <r>
      <rPr>
        <b/>
        <sz val="10"/>
        <rFont val="仿宋_GB2312"/>
        <family val="1"/>
        <charset val="134"/>
      </rPr>
      <t>流动资产：</t>
    </r>
  </si>
  <si>
    <r>
      <rPr>
        <b/>
        <sz val="10"/>
        <rFont val="仿宋_GB2312"/>
        <family val="1"/>
        <charset val="134"/>
      </rPr>
      <t>非流动资产：</t>
    </r>
  </si>
  <si>
    <r>
      <rPr>
        <b/>
        <sz val="10"/>
        <rFont val="仿宋_GB2312"/>
        <family val="1"/>
        <charset val="134"/>
      </rPr>
      <t>流动负债：</t>
    </r>
  </si>
  <si>
    <r>
      <rPr>
        <b/>
        <sz val="10"/>
        <rFont val="仿宋_GB2312"/>
        <family val="1"/>
        <charset val="134"/>
      </rPr>
      <t>非流动负债：</t>
    </r>
  </si>
  <si>
    <r>
      <rPr>
        <b/>
        <sz val="10"/>
        <rFont val="仿宋_GB2312"/>
        <family val="1"/>
        <charset val="134"/>
      </rPr>
      <t>所有者权益：</t>
    </r>
  </si>
  <si>
    <r>
      <rPr>
        <b/>
        <sz val="10"/>
        <rFont val="仿宋_GB2312"/>
        <family val="3"/>
        <charset val="134"/>
      </rPr>
      <t>一、</t>
    </r>
    <r>
      <rPr>
        <b/>
        <sz val="10"/>
        <rFont val="仿宋_GB2312"/>
        <family val="1"/>
        <charset val="134"/>
      </rPr>
      <t>经营活动产生的现金流量：</t>
    </r>
  </si>
  <si>
    <r>
      <t xml:space="preserve">    </t>
    </r>
    <r>
      <rPr>
        <sz val="10"/>
        <rFont val="仿宋_GB2312"/>
        <family val="1"/>
        <charset val="134"/>
      </rPr>
      <t>销售商品、提供劳务收到的现金</t>
    </r>
  </si>
  <si>
    <r>
      <t xml:space="preserve">    </t>
    </r>
    <r>
      <rPr>
        <sz val="10"/>
        <rFont val="仿宋_GB2312"/>
        <family val="1"/>
        <charset val="134"/>
      </rPr>
      <t>收到的税费返还</t>
    </r>
  </si>
  <si>
    <r>
      <t xml:space="preserve">    </t>
    </r>
    <r>
      <rPr>
        <sz val="10"/>
        <rFont val="仿宋_GB2312"/>
        <family val="1"/>
        <charset val="134"/>
      </rPr>
      <t>收到其他与经营活动有关的现金</t>
    </r>
  </si>
  <si>
    <r>
      <t xml:space="preserve">      </t>
    </r>
    <r>
      <rPr>
        <b/>
        <sz val="10"/>
        <rFont val="仿宋_GB2312"/>
        <family val="1"/>
        <charset val="134"/>
      </rPr>
      <t>经营活动现金流入小计</t>
    </r>
  </si>
  <si>
    <r>
      <t xml:space="preserve">    </t>
    </r>
    <r>
      <rPr>
        <sz val="10"/>
        <rFont val="仿宋_GB2312"/>
        <family val="1"/>
        <charset val="134"/>
      </rPr>
      <t>购买商品、接受劳务支付的现金</t>
    </r>
  </si>
  <si>
    <r>
      <t xml:space="preserve">    </t>
    </r>
    <r>
      <rPr>
        <sz val="10"/>
        <rFont val="仿宋_GB2312"/>
        <family val="1"/>
        <charset val="134"/>
      </rPr>
      <t>支付给职工以及为职工支付的现金</t>
    </r>
  </si>
  <si>
    <r>
      <t xml:space="preserve">    </t>
    </r>
    <r>
      <rPr>
        <sz val="10"/>
        <rFont val="仿宋_GB2312"/>
        <family val="1"/>
        <charset val="134"/>
      </rPr>
      <t>支付的各项税费</t>
    </r>
  </si>
  <si>
    <r>
      <t xml:space="preserve">    </t>
    </r>
    <r>
      <rPr>
        <sz val="10"/>
        <rFont val="仿宋_GB2312"/>
        <family val="1"/>
        <charset val="134"/>
      </rPr>
      <t>支付其他与经营活动有关的现金</t>
    </r>
  </si>
  <si>
    <r>
      <t xml:space="preserve">      </t>
    </r>
    <r>
      <rPr>
        <b/>
        <sz val="10"/>
        <rFont val="仿宋_GB2312"/>
        <family val="1"/>
        <charset val="134"/>
      </rPr>
      <t>经营活动现金流出小计</t>
    </r>
  </si>
  <si>
    <r>
      <t xml:space="preserve">       </t>
    </r>
    <r>
      <rPr>
        <b/>
        <sz val="10"/>
        <rFont val="仿宋_GB2312"/>
        <family val="1"/>
        <charset val="134"/>
      </rPr>
      <t>经营活动产生的现金流量净额</t>
    </r>
  </si>
  <si>
    <r>
      <rPr>
        <b/>
        <sz val="10"/>
        <rFont val="仿宋_GB2312"/>
        <family val="3"/>
        <charset val="134"/>
      </rPr>
      <t>二、投</t>
    </r>
    <r>
      <rPr>
        <b/>
        <sz val="10"/>
        <rFont val="仿宋_GB2312"/>
        <family val="1"/>
        <charset val="134"/>
      </rPr>
      <t>资活动产生的现金流量：</t>
    </r>
  </si>
  <si>
    <r>
      <t xml:space="preserve">    </t>
    </r>
    <r>
      <rPr>
        <sz val="10"/>
        <rFont val="仿宋_GB2312"/>
        <family val="1"/>
        <charset val="134"/>
      </rPr>
      <t>收回投资收到的现金</t>
    </r>
  </si>
  <si>
    <r>
      <t xml:space="preserve">    </t>
    </r>
    <r>
      <rPr>
        <sz val="10"/>
        <rFont val="仿宋_GB2312"/>
        <family val="1"/>
        <charset val="134"/>
      </rPr>
      <t>取得投资收益收到的现金</t>
    </r>
  </si>
  <si>
    <r>
      <t xml:space="preserve">    </t>
    </r>
    <r>
      <rPr>
        <sz val="10"/>
        <rFont val="宋体"/>
        <family val="3"/>
        <charset val="134"/>
      </rPr>
      <t>处</t>
    </r>
    <r>
      <rPr>
        <sz val="10"/>
        <rFont val="仿宋_GB2312"/>
        <family val="1"/>
        <charset val="134"/>
      </rPr>
      <t>置固定</t>
    </r>
    <r>
      <rPr>
        <sz val="10"/>
        <rFont val="宋体"/>
        <family val="3"/>
        <charset val="134"/>
      </rPr>
      <t>资产</t>
    </r>
    <r>
      <rPr>
        <sz val="10"/>
        <rFont val="仿宋_GB2312"/>
        <family val="1"/>
        <charset val="134"/>
      </rPr>
      <t>、</t>
    </r>
    <r>
      <rPr>
        <sz val="10"/>
        <rFont val="宋体"/>
        <family val="3"/>
        <charset val="134"/>
      </rPr>
      <t>无</t>
    </r>
    <r>
      <rPr>
        <sz val="10"/>
        <rFont val="仿宋_GB2312"/>
        <family val="1"/>
        <charset val="134"/>
      </rPr>
      <t>形</t>
    </r>
    <r>
      <rPr>
        <sz val="10"/>
        <rFont val="宋体"/>
        <family val="3"/>
        <charset val="134"/>
      </rPr>
      <t>资产</t>
    </r>
    <r>
      <rPr>
        <sz val="10"/>
        <rFont val="仿宋_GB2312"/>
        <family val="1"/>
        <charset val="134"/>
      </rPr>
      <t>和其他</t>
    </r>
    <r>
      <rPr>
        <sz val="10"/>
        <rFont val="宋体"/>
        <family val="3"/>
        <charset val="134"/>
      </rPr>
      <t>长</t>
    </r>
    <r>
      <rPr>
        <sz val="10"/>
        <rFont val="仿宋_GB2312"/>
        <family val="1"/>
        <charset val="134"/>
      </rPr>
      <t>期</t>
    </r>
    <r>
      <rPr>
        <sz val="10"/>
        <rFont val="宋体"/>
        <family val="3"/>
        <charset val="134"/>
      </rPr>
      <t>资产</t>
    </r>
    <r>
      <rPr>
        <sz val="10"/>
        <rFont val="仿宋_GB2312"/>
        <family val="1"/>
        <charset val="134"/>
      </rPr>
      <t>收回的</t>
    </r>
    <r>
      <rPr>
        <sz val="10"/>
        <rFont val="宋体"/>
        <family val="3"/>
        <charset val="134"/>
      </rPr>
      <t>现</t>
    </r>
    <r>
      <rPr>
        <sz val="10"/>
        <rFont val="仿宋_GB2312"/>
        <family val="1"/>
        <charset val="134"/>
      </rPr>
      <t>金</t>
    </r>
    <r>
      <rPr>
        <sz val="10"/>
        <rFont val="宋体"/>
        <family val="3"/>
        <charset val="134"/>
      </rPr>
      <t>净额</t>
    </r>
    <phoneticPr fontId="1" type="noConversion"/>
  </si>
  <si>
    <r>
      <t xml:space="preserve">    </t>
    </r>
    <r>
      <rPr>
        <sz val="10"/>
        <rFont val="仿宋_GB2312"/>
        <family val="1"/>
        <charset val="134"/>
      </rPr>
      <t>处置子公司及其他营业单位收到的现金净额</t>
    </r>
  </si>
  <si>
    <r>
      <t xml:space="preserve">    </t>
    </r>
    <r>
      <rPr>
        <sz val="10"/>
        <rFont val="仿宋_GB2312"/>
        <family val="1"/>
        <charset val="134"/>
      </rPr>
      <t>收到其他与投资活动有关的现金</t>
    </r>
  </si>
  <si>
    <r>
      <t xml:space="preserve">      </t>
    </r>
    <r>
      <rPr>
        <b/>
        <sz val="10"/>
        <rFont val="仿宋_GB2312"/>
        <family val="1"/>
        <charset val="134"/>
      </rPr>
      <t>投资活动现金流入小计</t>
    </r>
  </si>
  <si>
    <r>
      <t xml:space="preserve">    </t>
    </r>
    <r>
      <rPr>
        <sz val="10"/>
        <rFont val="仿宋_GB2312"/>
        <family val="3"/>
        <charset val="134"/>
      </rPr>
      <t>购</t>
    </r>
    <r>
      <rPr>
        <sz val="10"/>
        <rFont val="仿宋_GB2312"/>
        <family val="1"/>
        <charset val="134"/>
      </rPr>
      <t>建固定</t>
    </r>
    <r>
      <rPr>
        <sz val="10"/>
        <rFont val="仿宋_GB2312"/>
        <family val="3"/>
        <charset val="134"/>
      </rPr>
      <t>资产</t>
    </r>
    <r>
      <rPr>
        <sz val="10"/>
        <rFont val="仿宋_GB2312"/>
        <family val="1"/>
        <charset val="134"/>
      </rPr>
      <t>、</t>
    </r>
    <r>
      <rPr>
        <sz val="10"/>
        <rFont val="仿宋_GB2312"/>
        <family val="3"/>
        <charset val="134"/>
      </rPr>
      <t>无</t>
    </r>
    <r>
      <rPr>
        <sz val="10"/>
        <rFont val="仿宋_GB2312"/>
        <family val="1"/>
        <charset val="134"/>
      </rPr>
      <t>形</t>
    </r>
    <r>
      <rPr>
        <sz val="10"/>
        <rFont val="仿宋_GB2312"/>
        <family val="3"/>
        <charset val="134"/>
      </rPr>
      <t>资产</t>
    </r>
    <r>
      <rPr>
        <sz val="10"/>
        <rFont val="仿宋_GB2312"/>
        <family val="1"/>
        <charset val="134"/>
      </rPr>
      <t>和其他</t>
    </r>
    <r>
      <rPr>
        <sz val="10"/>
        <rFont val="仿宋_GB2312"/>
        <family val="3"/>
        <charset val="134"/>
      </rPr>
      <t>长</t>
    </r>
    <r>
      <rPr>
        <sz val="10"/>
        <rFont val="仿宋_GB2312"/>
        <family val="1"/>
        <charset val="134"/>
      </rPr>
      <t>期</t>
    </r>
    <r>
      <rPr>
        <sz val="10"/>
        <rFont val="仿宋_GB2312"/>
        <family val="3"/>
        <charset val="134"/>
      </rPr>
      <t>资产</t>
    </r>
    <r>
      <rPr>
        <sz val="10"/>
        <rFont val="仿宋_GB2312"/>
        <family val="1"/>
        <charset val="134"/>
      </rPr>
      <t>支付的</t>
    </r>
    <r>
      <rPr>
        <sz val="10"/>
        <rFont val="仿宋_GB2312"/>
        <family val="3"/>
        <charset val="134"/>
      </rPr>
      <t>现</t>
    </r>
    <r>
      <rPr>
        <sz val="10"/>
        <rFont val="仿宋_GB2312"/>
        <family val="1"/>
        <charset val="134"/>
      </rPr>
      <t>金</t>
    </r>
    <r>
      <rPr>
        <sz val="10"/>
        <rFont val="Times New Roman"/>
        <family val="1"/>
      </rPr>
      <t xml:space="preserve"> </t>
    </r>
    <phoneticPr fontId="2" type="noConversion"/>
  </si>
  <si>
    <r>
      <t xml:space="preserve">    </t>
    </r>
    <r>
      <rPr>
        <sz val="10"/>
        <rFont val="仿宋_GB2312"/>
        <family val="1"/>
        <charset val="134"/>
      </rPr>
      <t>投资支付的现金</t>
    </r>
  </si>
  <si>
    <r>
      <t xml:space="preserve">    </t>
    </r>
    <r>
      <rPr>
        <sz val="10"/>
        <rFont val="仿宋_GB2312"/>
        <family val="1"/>
        <charset val="134"/>
      </rPr>
      <t>取得子公司及其他营业单位支付的现金净额</t>
    </r>
  </si>
  <si>
    <r>
      <t xml:space="preserve">    </t>
    </r>
    <r>
      <rPr>
        <sz val="10"/>
        <rFont val="仿宋_GB2312"/>
        <family val="1"/>
        <charset val="134"/>
      </rPr>
      <t>支付其他与投资活动有关的现金</t>
    </r>
  </si>
  <si>
    <r>
      <t xml:space="preserve">      </t>
    </r>
    <r>
      <rPr>
        <b/>
        <sz val="10"/>
        <rFont val="仿宋_GB2312"/>
        <family val="1"/>
        <charset val="134"/>
      </rPr>
      <t>投资活动现金流出小计</t>
    </r>
  </si>
  <si>
    <r>
      <t xml:space="preserve">       </t>
    </r>
    <r>
      <rPr>
        <b/>
        <sz val="10"/>
        <rFont val="仿宋_GB2312"/>
        <family val="3"/>
        <charset val="134"/>
      </rPr>
      <t>投</t>
    </r>
    <r>
      <rPr>
        <b/>
        <sz val="10"/>
        <rFont val="仿宋_GB2312"/>
        <family val="1"/>
        <charset val="134"/>
      </rPr>
      <t>资活动产生的现金流量净额</t>
    </r>
  </si>
  <si>
    <r>
      <rPr>
        <b/>
        <sz val="10"/>
        <rFont val="仿宋_GB2312"/>
        <family val="3"/>
        <charset val="134"/>
      </rPr>
      <t>三、</t>
    </r>
    <r>
      <rPr>
        <b/>
        <sz val="10"/>
        <rFont val="仿宋_GB2312"/>
        <family val="1"/>
        <charset val="134"/>
      </rPr>
      <t>筹资活动产生的现金流量：</t>
    </r>
  </si>
  <si>
    <r>
      <t xml:space="preserve">    </t>
    </r>
    <r>
      <rPr>
        <sz val="10"/>
        <rFont val="仿宋_GB2312"/>
        <family val="1"/>
        <charset val="134"/>
      </rPr>
      <t>吸收投资收到的现金</t>
    </r>
  </si>
  <si>
    <r>
      <t xml:space="preserve">    </t>
    </r>
    <r>
      <rPr>
        <sz val="10"/>
        <rFont val="仿宋_GB2312"/>
        <family val="1"/>
        <charset val="134"/>
      </rPr>
      <t>取得借款收到的现金</t>
    </r>
  </si>
  <si>
    <r>
      <t xml:space="preserve">    </t>
    </r>
    <r>
      <rPr>
        <sz val="10"/>
        <rFont val="仿宋_GB2312"/>
        <family val="1"/>
        <charset val="134"/>
      </rPr>
      <t>发行债券收到的现金</t>
    </r>
  </si>
  <si>
    <r>
      <t xml:space="preserve">    </t>
    </r>
    <r>
      <rPr>
        <sz val="10"/>
        <rFont val="仿宋_GB2312"/>
        <family val="1"/>
        <charset val="134"/>
      </rPr>
      <t>收到其他与</t>
    </r>
    <r>
      <rPr>
        <sz val="10"/>
        <rFont val="宋体"/>
        <family val="3"/>
        <charset val="134"/>
      </rPr>
      <t>筹资</t>
    </r>
    <r>
      <rPr>
        <sz val="10"/>
        <rFont val="仿宋_GB2312"/>
        <family val="1"/>
        <charset val="134"/>
      </rPr>
      <t>活</t>
    </r>
    <r>
      <rPr>
        <sz val="10"/>
        <rFont val="宋体"/>
        <family val="3"/>
        <charset val="134"/>
      </rPr>
      <t>动</t>
    </r>
    <r>
      <rPr>
        <sz val="10"/>
        <rFont val="仿宋_GB2312"/>
        <family val="1"/>
        <charset val="134"/>
      </rPr>
      <t>有</t>
    </r>
    <r>
      <rPr>
        <sz val="10"/>
        <rFont val="宋体"/>
        <family val="3"/>
        <charset val="134"/>
      </rPr>
      <t>关</t>
    </r>
    <r>
      <rPr>
        <sz val="10"/>
        <rFont val="仿宋_GB2312"/>
        <family val="1"/>
        <charset val="134"/>
      </rPr>
      <t>的</t>
    </r>
    <r>
      <rPr>
        <sz val="10"/>
        <rFont val="宋体"/>
        <family val="3"/>
        <charset val="134"/>
      </rPr>
      <t>现</t>
    </r>
    <r>
      <rPr>
        <sz val="10"/>
        <rFont val="仿宋_GB2312"/>
        <family val="1"/>
        <charset val="134"/>
      </rPr>
      <t>金</t>
    </r>
    <phoneticPr fontId="1" type="noConversion"/>
  </si>
  <si>
    <r>
      <t xml:space="preserve">      </t>
    </r>
    <r>
      <rPr>
        <b/>
        <sz val="10"/>
        <rFont val="仿宋_GB2312"/>
        <family val="1"/>
        <charset val="134"/>
      </rPr>
      <t>筹资活动现金流入小计</t>
    </r>
  </si>
  <si>
    <r>
      <t xml:space="preserve">    </t>
    </r>
    <r>
      <rPr>
        <sz val="10"/>
        <rFont val="仿宋_GB2312"/>
        <family val="1"/>
        <charset val="134"/>
      </rPr>
      <t>偿还债务支付的现金</t>
    </r>
  </si>
  <si>
    <r>
      <t xml:space="preserve">    </t>
    </r>
    <r>
      <rPr>
        <sz val="10"/>
        <rFont val="仿宋_GB2312"/>
        <family val="1"/>
        <charset val="134"/>
      </rPr>
      <t>分配股利、利润或偿付利息支付的现金</t>
    </r>
    <phoneticPr fontId="2" type="noConversion"/>
  </si>
  <si>
    <r>
      <t xml:space="preserve">    </t>
    </r>
    <r>
      <rPr>
        <sz val="10"/>
        <rFont val="仿宋_GB2312"/>
        <family val="1"/>
        <charset val="134"/>
      </rPr>
      <t>支付其他与筹资活动有关的现金</t>
    </r>
  </si>
  <si>
    <r>
      <t xml:space="preserve">      </t>
    </r>
    <r>
      <rPr>
        <b/>
        <sz val="10"/>
        <rFont val="仿宋_GB2312"/>
        <family val="1"/>
        <charset val="134"/>
      </rPr>
      <t>筹资活动现金流出小计</t>
    </r>
  </si>
  <si>
    <r>
      <t xml:space="preserve">       </t>
    </r>
    <r>
      <rPr>
        <b/>
        <sz val="10"/>
        <rFont val="仿宋_GB2312"/>
        <family val="1"/>
        <charset val="134"/>
      </rPr>
      <t>筹资活动产生的现金流量净额</t>
    </r>
  </si>
  <si>
    <r>
      <rPr>
        <b/>
        <sz val="10"/>
        <rFont val="仿宋_GB2312"/>
        <family val="3"/>
        <charset val="134"/>
      </rPr>
      <t>四、</t>
    </r>
    <r>
      <rPr>
        <b/>
        <sz val="10"/>
        <rFont val="仿宋_GB2312"/>
        <family val="1"/>
        <charset val="134"/>
      </rPr>
      <t>汇率变动对现金及现金等价物的影响</t>
    </r>
  </si>
  <si>
    <r>
      <rPr>
        <b/>
        <sz val="10"/>
        <rFont val="仿宋_GB2312"/>
        <family val="3"/>
        <charset val="134"/>
      </rPr>
      <t>五、</t>
    </r>
    <r>
      <rPr>
        <b/>
        <sz val="10"/>
        <rFont val="仿宋_GB2312"/>
        <family val="1"/>
        <charset val="134"/>
      </rPr>
      <t>现金及现金等价物净增加额</t>
    </r>
  </si>
  <si>
    <r>
      <t xml:space="preserve">    </t>
    </r>
    <r>
      <rPr>
        <sz val="10"/>
        <rFont val="仿宋_GB2312"/>
        <family val="1"/>
        <charset val="134"/>
      </rPr>
      <t>加：期初现金及现金等价物余额</t>
    </r>
  </si>
  <si>
    <r>
      <rPr>
        <b/>
        <sz val="10"/>
        <rFont val="仿宋_GB2312"/>
        <family val="1"/>
        <charset val="134"/>
      </rPr>
      <t>六、期末现金及现金等价物余额</t>
    </r>
  </si>
  <si>
    <t>无形资产摊销</t>
    <rPh sb="0" eb="1">
      <t>tan'xiao</t>
    </rPh>
    <rPh sb="2" eb="3">
      <t>zong'echang'qidaitan'xiaofei'yongtan'xiaodeng</t>
    </rPh>
    <phoneticPr fontId="1" type="noConversion"/>
  </si>
  <si>
    <t>长期待摊费用摊销</t>
    <phoneticPr fontId="1" type="noConversion"/>
  </si>
  <si>
    <r>
      <rPr>
        <sz val="10"/>
        <rFont val="宋体"/>
        <family val="3"/>
        <charset val="134"/>
      </rPr>
      <t>货币资</t>
    </r>
    <r>
      <rPr>
        <sz val="10"/>
        <rFont val="仿宋_GB2312"/>
        <family val="1"/>
        <charset val="134"/>
      </rPr>
      <t>金</t>
    </r>
    <phoneticPr fontId="1" type="noConversion"/>
  </si>
  <si>
    <t>应收票据</t>
  </si>
  <si>
    <t>应收账款</t>
  </si>
  <si>
    <t>其中：应收股利</t>
  </si>
  <si>
    <t>持有待售资产</t>
  </si>
  <si>
    <t>一年内到期的非流动资产</t>
  </si>
  <si>
    <t>持有至到期投资</t>
  </si>
  <si>
    <t>长期应收款</t>
  </si>
  <si>
    <t>生产性生物资产</t>
  </si>
  <si>
    <t>油气资产</t>
  </si>
  <si>
    <t>开发支出</t>
  </si>
  <si>
    <t>商誉</t>
  </si>
  <si>
    <t>其他非流动资产</t>
  </si>
  <si>
    <t>应付票据</t>
  </si>
  <si>
    <t>应付账款</t>
  </si>
  <si>
    <t>其中：应付利息</t>
  </si>
  <si>
    <t>持有待售负债</t>
  </si>
  <si>
    <t>其他流动负债</t>
  </si>
  <si>
    <t>其中：优先股</t>
  </si>
  <si>
    <t>永续债</t>
  </si>
  <si>
    <t>其中：长期应付款</t>
  </si>
  <si>
    <t>预计负债</t>
  </si>
  <si>
    <t>递延收益</t>
  </si>
  <si>
    <t>递延所得税负债</t>
  </si>
  <si>
    <t>其他非流动负债</t>
  </si>
  <si>
    <t>实收资本</t>
  </si>
  <si>
    <t>其他权益工具</t>
  </si>
  <si>
    <t>资本公积</t>
  </si>
  <si>
    <t>减：库存股</t>
  </si>
  <si>
    <t>其他综合收益</t>
  </si>
  <si>
    <t>专项储备</t>
  </si>
  <si>
    <t>盈余公积</t>
  </si>
  <si>
    <t>未分配利润</t>
  </si>
  <si>
    <t>归属于母公司所有者权益合计</t>
  </si>
  <si>
    <t>少数所有者权益</t>
  </si>
  <si>
    <t>所有者权益合计</t>
  </si>
  <si>
    <t>负债和所有者权益总计</t>
  </si>
  <si>
    <r>
      <t xml:space="preserve">        </t>
    </r>
    <r>
      <rPr>
        <sz val="10"/>
        <rFont val="宋体"/>
        <family val="3"/>
        <charset val="134"/>
      </rPr>
      <t>资产减值损失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损失以“</t>
    </r>
    <r>
      <rPr>
        <sz val="10"/>
        <rFont val="Times New Roman"/>
        <family val="1"/>
      </rPr>
      <t>-</t>
    </r>
    <r>
      <rPr>
        <sz val="10"/>
        <rFont val="宋体"/>
        <family val="3"/>
        <charset val="134"/>
      </rPr>
      <t>”号填列）</t>
    </r>
    <phoneticPr fontId="1" type="noConversion"/>
  </si>
  <si>
    <t xml:space="preserve"> 减：营业成本</t>
    <phoneticPr fontId="1" type="noConversion"/>
  </si>
  <si>
    <r>
      <t xml:space="preserve">         </t>
    </r>
    <r>
      <rPr>
        <sz val="10"/>
        <rFont val="宋体"/>
        <family val="3"/>
        <charset val="134"/>
      </rPr>
      <t>税金及附加</t>
    </r>
    <phoneticPr fontId="2" type="noConversion"/>
  </si>
  <si>
    <r>
      <t xml:space="preserve">         </t>
    </r>
    <r>
      <rPr>
        <sz val="10"/>
        <rFont val="宋体"/>
        <family val="3"/>
        <charset val="134"/>
      </rPr>
      <t>销售费用</t>
    </r>
    <phoneticPr fontId="1" type="noConversion"/>
  </si>
  <si>
    <r>
      <t xml:space="preserve">         </t>
    </r>
    <r>
      <rPr>
        <sz val="10"/>
        <rFont val="宋体"/>
        <family val="3"/>
        <charset val="134"/>
      </rPr>
      <t>管理费用</t>
    </r>
    <phoneticPr fontId="1" type="noConversion"/>
  </si>
  <si>
    <r>
      <t xml:space="preserve">         </t>
    </r>
    <r>
      <rPr>
        <sz val="10"/>
        <rFont val="宋体"/>
        <family val="3"/>
        <charset val="134"/>
      </rPr>
      <t>研发费用</t>
    </r>
    <phoneticPr fontId="2" type="noConversion"/>
  </si>
  <si>
    <r>
      <t xml:space="preserve">         </t>
    </r>
    <r>
      <rPr>
        <sz val="10"/>
        <rFont val="宋体"/>
        <family val="3"/>
        <charset val="134"/>
      </rPr>
      <t>财务费用</t>
    </r>
    <phoneticPr fontId="1" type="noConversion"/>
  </si>
  <si>
    <r>
      <t xml:space="preserve">             </t>
    </r>
    <r>
      <rPr>
        <sz val="10"/>
        <rFont val="宋体"/>
        <family val="3"/>
        <charset val="134"/>
      </rPr>
      <t>其中：利息费用</t>
    </r>
    <phoneticPr fontId="2" type="noConversion"/>
  </si>
  <si>
    <r>
      <t xml:space="preserve">                        </t>
    </r>
    <r>
      <rPr>
        <sz val="10"/>
        <rFont val="宋体"/>
        <family val="3"/>
        <charset val="134"/>
      </rPr>
      <t>利息收入</t>
    </r>
    <phoneticPr fontId="2" type="noConversion"/>
  </si>
  <si>
    <r>
      <t xml:space="preserve"> </t>
    </r>
    <r>
      <rPr>
        <sz val="10"/>
        <rFont val="宋体"/>
        <family val="3"/>
        <charset val="134"/>
      </rPr>
      <t>加：其他收益</t>
    </r>
    <phoneticPr fontId="2" type="noConversion"/>
  </si>
  <si>
    <r>
      <t xml:space="preserve">        </t>
    </r>
    <r>
      <rPr>
        <sz val="10"/>
        <rFont val="宋体"/>
        <family val="3"/>
        <charset val="134"/>
      </rPr>
      <t>投资收益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损失以</t>
    </r>
    <r>
      <rPr>
        <sz val="10"/>
        <rFont val="Times New Roman"/>
        <family val="1"/>
      </rPr>
      <t>“-”</t>
    </r>
    <r>
      <rPr>
        <sz val="10"/>
        <rFont val="宋体"/>
        <family val="3"/>
        <charset val="134"/>
      </rPr>
      <t>号填列）</t>
    </r>
    <phoneticPr fontId="1" type="noConversion"/>
  </si>
  <si>
    <r>
      <rPr>
        <sz val="10"/>
        <rFont val="宋体"/>
        <family val="3"/>
        <charset val="134"/>
      </rPr>
      <t>　　　</t>
    </r>
    <r>
      <rPr>
        <sz val="10"/>
        <rFont val="Times New Roman"/>
        <family val="1"/>
      </rPr>
      <t xml:space="preserve"> </t>
    </r>
    <r>
      <rPr>
        <sz val="10"/>
        <rFont val="宋体"/>
        <family val="3"/>
        <charset val="134"/>
      </rPr>
      <t>其中：对联营企业和合营企业的投资收益</t>
    </r>
    <phoneticPr fontId="1" type="noConversion"/>
  </si>
  <si>
    <r>
      <rPr>
        <b/>
        <sz val="10"/>
        <rFont val="宋体"/>
        <family val="3"/>
        <charset val="134"/>
      </rPr>
      <t>二、营业利润</t>
    </r>
    <r>
      <rPr>
        <b/>
        <sz val="10"/>
        <rFont val="Times New Roman"/>
        <family val="1"/>
      </rPr>
      <t>(</t>
    </r>
    <r>
      <rPr>
        <b/>
        <sz val="10"/>
        <rFont val="宋体"/>
        <family val="3"/>
        <charset val="134"/>
      </rPr>
      <t>亏损以</t>
    </r>
    <r>
      <rPr>
        <b/>
        <sz val="10"/>
        <rFont val="Times New Roman"/>
        <family val="1"/>
      </rPr>
      <t>“-”</t>
    </r>
    <r>
      <rPr>
        <b/>
        <sz val="10"/>
        <rFont val="宋体"/>
        <family val="3"/>
        <charset val="134"/>
      </rPr>
      <t>号填列）</t>
    </r>
    <phoneticPr fontId="2" type="noConversion"/>
  </si>
  <si>
    <r>
      <rPr>
        <b/>
        <sz val="10"/>
        <rFont val="宋体"/>
        <family val="3"/>
        <charset val="134"/>
      </rPr>
      <t>三、利润总额</t>
    </r>
    <r>
      <rPr>
        <b/>
        <sz val="10"/>
        <rFont val="Times New Roman"/>
        <family val="1"/>
      </rPr>
      <t>(</t>
    </r>
    <r>
      <rPr>
        <b/>
        <sz val="10"/>
        <rFont val="宋体"/>
        <family val="3"/>
        <charset val="134"/>
      </rPr>
      <t>亏损总额以</t>
    </r>
    <r>
      <rPr>
        <b/>
        <sz val="10"/>
        <rFont val="Times New Roman"/>
        <family val="1"/>
      </rPr>
      <t>“-”</t>
    </r>
    <r>
      <rPr>
        <b/>
        <sz val="10"/>
        <rFont val="宋体"/>
        <family val="3"/>
        <charset val="134"/>
      </rPr>
      <t>号填列）</t>
    </r>
    <phoneticPr fontId="2" type="noConversion"/>
  </si>
  <si>
    <r>
      <rPr>
        <b/>
        <sz val="10"/>
        <rFont val="宋体"/>
        <family val="3"/>
        <charset val="134"/>
      </rPr>
      <t>四、净利润</t>
    </r>
    <r>
      <rPr>
        <b/>
        <sz val="10"/>
        <rFont val="Times New Roman"/>
        <family val="1"/>
      </rPr>
      <t>(</t>
    </r>
    <r>
      <rPr>
        <b/>
        <sz val="10"/>
        <rFont val="宋体"/>
        <family val="3"/>
        <charset val="134"/>
      </rPr>
      <t>净亏损以</t>
    </r>
    <r>
      <rPr>
        <b/>
        <sz val="10"/>
        <rFont val="Times New Roman"/>
        <family val="1"/>
      </rPr>
      <t>“-”</t>
    </r>
    <r>
      <rPr>
        <b/>
        <sz val="10"/>
        <rFont val="宋体"/>
        <family val="3"/>
        <charset val="134"/>
      </rPr>
      <t>号填列）</t>
    </r>
    <phoneticPr fontId="2" type="noConversion"/>
  </si>
  <si>
    <t>五、其他综合收益的税后净额</t>
    <phoneticPr fontId="2" type="noConversion"/>
  </si>
  <si>
    <r>
      <t xml:space="preserve"> 2.</t>
    </r>
    <r>
      <rPr>
        <sz val="10"/>
        <rFont val="宋体"/>
        <family val="3"/>
        <charset val="134"/>
      </rPr>
      <t>以后将重分类进损益的其他综合收益</t>
    </r>
    <phoneticPr fontId="2" type="noConversion"/>
  </si>
  <si>
    <t>六、综合收益总额</t>
    <phoneticPr fontId="1" type="noConversion"/>
  </si>
  <si>
    <t xml:space="preserve"> 归属于母公司所有者的综合收益总额</t>
    <phoneticPr fontId="1" type="noConversion"/>
  </si>
  <si>
    <t xml:space="preserve"> 归属于少数所有者的综合收益总额</t>
    <phoneticPr fontId="1" type="noConversion"/>
  </si>
  <si>
    <t>一、营业收入</t>
    <phoneticPr fontId="1" type="noConversion"/>
  </si>
  <si>
    <t>请填写绿色部分
（非公开无第一年）</t>
    <phoneticPr fontId="1" type="noConversion"/>
  </si>
  <si>
    <t>三年（及一期）财务指标</t>
    <phoneticPr fontId="1" type="noConversion"/>
  </si>
  <si>
    <r>
      <t xml:space="preserve">          </t>
    </r>
    <r>
      <rPr>
        <sz val="10"/>
        <rFont val="宋体"/>
        <family val="3"/>
        <charset val="134"/>
      </rPr>
      <t>应收利息</t>
    </r>
    <phoneticPr fontId="1" type="noConversion"/>
  </si>
  <si>
    <r>
      <t xml:space="preserve">          </t>
    </r>
    <r>
      <rPr>
        <sz val="10"/>
        <rFont val="宋体"/>
        <family val="3"/>
        <charset val="134"/>
      </rPr>
      <t>其他应收款</t>
    </r>
    <phoneticPr fontId="1" type="noConversion"/>
  </si>
  <si>
    <r>
      <t xml:space="preserve">          </t>
    </r>
    <r>
      <rPr>
        <sz val="10"/>
        <rFont val="宋体"/>
        <family val="3"/>
        <charset val="134"/>
      </rPr>
      <t>应付股利</t>
    </r>
    <phoneticPr fontId="1" type="noConversion"/>
  </si>
  <si>
    <r>
      <t xml:space="preserve">         </t>
    </r>
    <r>
      <rPr>
        <sz val="10"/>
        <rFont val="宋体"/>
        <family val="3"/>
        <charset val="134"/>
      </rPr>
      <t>其他应付款</t>
    </r>
    <phoneticPr fontId="1" type="noConversion"/>
  </si>
  <si>
    <t>CA</t>
    <phoneticPr fontId="1" type="noConversion"/>
  </si>
  <si>
    <t>NCA</t>
    <phoneticPr fontId="1" type="noConversion"/>
  </si>
  <si>
    <t>A</t>
    <phoneticPr fontId="1" type="noConversion"/>
  </si>
  <si>
    <t>CA1</t>
  </si>
  <si>
    <t>CA2</t>
  </si>
  <si>
    <t>CA3</t>
  </si>
  <si>
    <t>CA4</t>
  </si>
  <si>
    <t>CA5</t>
  </si>
  <si>
    <t>CA6</t>
  </si>
  <si>
    <t>CA7</t>
  </si>
  <si>
    <t>CA8</t>
  </si>
  <si>
    <t>CA9</t>
  </si>
  <si>
    <t>CA10</t>
  </si>
  <si>
    <t>CA11</t>
  </si>
  <si>
    <t>CA12</t>
  </si>
  <si>
    <t>CA13</t>
  </si>
  <si>
    <t>CA14</t>
  </si>
  <si>
    <t>NCA1</t>
  </si>
  <si>
    <t>NCA2</t>
  </si>
  <si>
    <t>NCA3</t>
  </si>
  <si>
    <t>NCA4</t>
  </si>
  <si>
    <t>NCA5</t>
  </si>
  <si>
    <t>NCA6</t>
  </si>
  <si>
    <t>NCA7</t>
  </si>
  <si>
    <t>NCA8</t>
  </si>
  <si>
    <t>NCA9</t>
  </si>
  <si>
    <t>NCA10</t>
  </si>
  <si>
    <t>NCA11</t>
  </si>
  <si>
    <t>NCA12</t>
  </si>
  <si>
    <t>NCA13</t>
  </si>
  <si>
    <t>NCA14</t>
  </si>
  <si>
    <t>NCA15</t>
  </si>
  <si>
    <t>CL1</t>
    <phoneticPr fontId="1" type="noConversion"/>
  </si>
  <si>
    <t>CL2</t>
    <phoneticPr fontId="1" type="noConversion"/>
  </si>
  <si>
    <t>CL3</t>
  </si>
  <si>
    <t>CL4</t>
  </si>
  <si>
    <t>CL5</t>
  </si>
  <si>
    <t>CL6</t>
  </si>
  <si>
    <t>CL7</t>
  </si>
  <si>
    <t>CL8</t>
  </si>
  <si>
    <t>CL9</t>
  </si>
  <si>
    <t>CL10</t>
  </si>
  <si>
    <t>CL11</t>
  </si>
  <si>
    <t>CL12</t>
  </si>
  <si>
    <t>CL13</t>
  </si>
  <si>
    <t>CL14</t>
  </si>
  <si>
    <t>CL15</t>
  </si>
  <si>
    <t>CL</t>
    <phoneticPr fontId="1" type="noConversion"/>
  </si>
  <si>
    <t>NCL</t>
    <phoneticPr fontId="1" type="noConversion"/>
  </si>
  <si>
    <t>L</t>
    <phoneticPr fontId="1" type="noConversion"/>
  </si>
  <si>
    <t>NCL1</t>
    <phoneticPr fontId="1" type="noConversion"/>
  </si>
  <si>
    <t>NCL2</t>
  </si>
  <si>
    <t>NCL3</t>
  </si>
  <si>
    <t>NCL4</t>
  </si>
  <si>
    <t>NCL5</t>
  </si>
  <si>
    <t>NCL6</t>
  </si>
  <si>
    <t>NCL7</t>
  </si>
  <si>
    <t>NCL8</t>
  </si>
  <si>
    <t>NCL9</t>
  </si>
  <si>
    <t>NCL10</t>
  </si>
  <si>
    <t>NCL11</t>
  </si>
  <si>
    <t>E</t>
    <phoneticPr fontId="1" type="noConversion"/>
  </si>
  <si>
    <t>E1</t>
    <phoneticPr fontId="1" type="noConversion"/>
  </si>
  <si>
    <t>E2</t>
    <phoneticPr fontId="1" type="noConversion"/>
  </si>
  <si>
    <t>E3</t>
    <phoneticPr fontId="1" type="noConversion"/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</si>
  <si>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</si>
  <si>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</si>
  <si>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</si>
  <si>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</si>
  <si>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</si>
  <si>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</si>
  <si>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</si>
  <si>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</si>
  <si>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</si>
  <si>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O1</t>
    <phoneticPr fontId="1" type="noConversion"/>
  </si>
  <si>
    <t>O2</t>
  </si>
  <si>
    <t>O3</t>
  </si>
  <si>
    <t>O4</t>
  </si>
  <si>
    <t>O5</t>
  </si>
  <si>
    <t>O6</t>
  </si>
  <si>
    <t>O7</t>
  </si>
  <si>
    <t>O8</t>
  </si>
  <si>
    <t>O9</t>
  </si>
  <si>
    <t>O</t>
    <phoneticPr fontId="1" type="noConversion"/>
  </si>
  <si>
    <t>I1</t>
    <phoneticPr fontId="1" type="noConversion"/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</si>
  <si>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</si>
  <si>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</si>
  <si>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</si>
  <si>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</si>
  <si>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</si>
  <si>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</si>
  <si>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</si>
  <si>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</si>
  <si>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</si>
  <si>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</si>
  <si>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</t>
    <phoneticPr fontId="1" type="noConversion"/>
  </si>
  <si>
    <t>F1</t>
    <phoneticPr fontId="1" type="noConversion"/>
  </si>
  <si>
    <t>F2</t>
  </si>
  <si>
    <t>F3</t>
  </si>
  <si>
    <t>F4</t>
  </si>
  <si>
    <t>F5</t>
  </si>
  <si>
    <t>F6</t>
  </si>
  <si>
    <t>F7</t>
  </si>
  <si>
    <t>F8</t>
  </si>
  <si>
    <t>F9</t>
  </si>
  <si>
    <t>F</t>
    <phoneticPr fontId="1" type="noConversion"/>
  </si>
  <si>
    <t>R</t>
    <phoneticPr fontId="1" type="noConversion"/>
  </si>
  <si>
    <t>C</t>
    <phoneticPr fontId="1" type="noConversion"/>
  </si>
  <si>
    <t>C(a)</t>
    <phoneticPr fontId="1" type="noConversion"/>
  </si>
  <si>
    <t>C(z)</t>
    <phoneticPr fontId="1" type="noConversion"/>
  </si>
  <si>
    <t>IN1</t>
    <phoneticPr fontId="1" type="noConversion"/>
  </si>
  <si>
    <t>IN2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</si>
  <si>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</si>
  <si>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</si>
  <si>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</si>
  <si>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</si>
  <si>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</si>
  <si>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</si>
  <si>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</si>
  <si>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</si>
  <si>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</si>
  <si>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</si>
  <si>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</si>
  <si>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</si>
  <si>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</si>
  <si>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</si>
  <si>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</si>
  <si>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</si>
  <si>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</si>
  <si>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</si>
  <si>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</si>
  <si>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</si>
  <si>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</si>
  <si>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</si>
  <si>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</si>
  <si>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IN26</t>
  </si>
  <si>
    <t>IN27</t>
  </si>
  <si>
    <t>IN28</t>
  </si>
  <si>
    <t>IN29</t>
  </si>
  <si>
    <t>IN30</t>
  </si>
  <si>
    <t>IN31</t>
  </si>
  <si>
    <t>IN32</t>
  </si>
  <si>
    <t>IN33</t>
  </si>
  <si>
    <t>IN34</t>
  </si>
  <si>
    <t>IN35</t>
  </si>
  <si>
    <t>IN36</t>
  </si>
  <si>
    <t>IN37</t>
  </si>
  <si>
    <t>IN38</t>
  </si>
  <si>
    <t>IN39</t>
  </si>
  <si>
    <t>IN40</t>
  </si>
  <si>
    <t>IN41</t>
  </si>
  <si>
    <t>O4-4</t>
  </si>
  <si>
    <t>O9-4</t>
  </si>
  <si>
    <t>O-4</t>
  </si>
  <si>
    <t>I6-4</t>
  </si>
  <si>
    <t>I11-4</t>
  </si>
  <si>
    <t>I-4</t>
  </si>
  <si>
    <t>F5-4</t>
  </si>
  <si>
    <t>F9-4</t>
  </si>
  <si>
    <t>F-4</t>
  </si>
  <si>
    <t>C-4</t>
  </si>
  <si>
    <t>O4-3</t>
  </si>
  <si>
    <t>O9-3</t>
  </si>
  <si>
    <t>O-3</t>
  </si>
  <si>
    <t>I6-3</t>
  </si>
  <si>
    <t>I11-3</t>
  </si>
  <si>
    <t>I-3</t>
  </si>
  <si>
    <t>F5-3</t>
  </si>
  <si>
    <t>F9-3</t>
  </si>
  <si>
    <t>F-3</t>
  </si>
  <si>
    <t>C-3</t>
  </si>
  <si>
    <t>O4-2</t>
  </si>
  <si>
    <t>O9-2</t>
  </si>
  <si>
    <t>O-2</t>
  </si>
  <si>
    <t>I6-2</t>
  </si>
  <si>
    <t>I11-2</t>
  </si>
  <si>
    <t>I-2</t>
  </si>
  <si>
    <t>F5-2</t>
  </si>
  <si>
    <t>F9-2</t>
  </si>
  <si>
    <t>F-2</t>
  </si>
  <si>
    <t>C-2</t>
  </si>
  <si>
    <t>O4-1</t>
  </si>
  <si>
    <t>O9-1</t>
  </si>
  <si>
    <t>O-1</t>
  </si>
  <si>
    <t>I6-1</t>
  </si>
  <si>
    <t>I11-1</t>
  </si>
  <si>
    <t>I-1</t>
  </si>
  <si>
    <t>F5-1</t>
  </si>
  <si>
    <t>F9-1</t>
  </si>
  <si>
    <t>F-1</t>
  </si>
  <si>
    <t>C-1</t>
  </si>
  <si>
    <t>O4-3/2</t>
  </si>
  <si>
    <t>O9-3/2</t>
  </si>
  <si>
    <t>O-3/2</t>
  </si>
  <si>
    <t>I6-3/2</t>
  </si>
  <si>
    <t>I11-3/2</t>
  </si>
  <si>
    <t>I-3/2</t>
  </si>
  <si>
    <t>F5-3/2</t>
  </si>
  <si>
    <t>F9-3/2</t>
  </si>
  <si>
    <t>F-3/2</t>
  </si>
  <si>
    <t>O4-21</t>
  </si>
  <si>
    <t>O9-21</t>
  </si>
  <si>
    <t>O-21</t>
  </si>
  <si>
    <t>I6-21</t>
  </si>
  <si>
    <t>I11-21</t>
  </si>
  <si>
    <t>I-21</t>
  </si>
  <si>
    <t>F5-21</t>
  </si>
  <si>
    <t>F9-21</t>
  </si>
  <si>
    <t>F-21</t>
  </si>
  <si>
    <t>O4-2/1</t>
  </si>
  <si>
    <t>O9-2/1</t>
  </si>
  <si>
    <t>O-2/1</t>
  </si>
  <si>
    <t>I6-2/1</t>
  </si>
  <si>
    <t>I11-2/1</t>
  </si>
  <si>
    <t>I-2/1</t>
  </si>
  <si>
    <t>F5-2/1</t>
  </si>
  <si>
    <t>F9-2/1</t>
  </si>
  <si>
    <t>F-2/1</t>
  </si>
  <si>
    <t>N1</t>
    <phoneticPr fontId="1" type="noConversion"/>
  </si>
  <si>
    <t>N2</t>
    <phoneticPr fontId="1" type="noConversion"/>
  </si>
  <si>
    <t>N3</t>
    <phoneticPr fontId="1" type="noConversion"/>
  </si>
  <si>
    <t>N4</t>
    <phoneticPr fontId="1" type="noConversion"/>
  </si>
  <si>
    <t>ZB1</t>
  </si>
  <si>
    <t>ZB2</t>
  </si>
  <si>
    <t>ZB3</t>
  </si>
  <si>
    <t>ZB4</t>
  </si>
  <si>
    <t>ZB5</t>
  </si>
  <si>
    <t>ZB6</t>
  </si>
  <si>
    <t>ZB7</t>
  </si>
  <si>
    <t>ZB8</t>
  </si>
  <si>
    <t>ZB9</t>
  </si>
  <si>
    <t>ZB10</t>
  </si>
  <si>
    <t>ZB11</t>
  </si>
  <si>
    <t>ZB12</t>
  </si>
  <si>
    <t>ZB13</t>
  </si>
  <si>
    <t>ZB14</t>
  </si>
  <si>
    <t>ZB15</t>
  </si>
  <si>
    <t>ZB16</t>
  </si>
  <si>
    <t>ZB17</t>
  </si>
  <si>
    <t>ZB18</t>
  </si>
  <si>
    <t>ZB19</t>
  </si>
  <si>
    <t>{$CA1-4}</t>
  </si>
  <si>
    <t>{$CA2-4}</t>
  </si>
  <si>
    <t>{$CA3-4}</t>
  </si>
  <si>
    <t>{$CA4-4}</t>
  </si>
  <si>
    <t>{$CA5-4}</t>
  </si>
  <si>
    <t>{$CA6-4}</t>
  </si>
  <si>
    <t>{$CA7-4}</t>
  </si>
  <si>
    <t>{$CA8-4}</t>
  </si>
  <si>
    <t>{$CA9-4}</t>
  </si>
  <si>
    <t>{$CA10-4}</t>
  </si>
  <si>
    <t>{$CA11-4}</t>
  </si>
  <si>
    <t>{$CA12-4}</t>
  </si>
  <si>
    <t>{$CA13-4}</t>
  </si>
  <si>
    <t>{$CA14-4}</t>
  </si>
  <si>
    <t>{$CA-4}</t>
  </si>
  <si>
    <t>{$NCA1-4}</t>
  </si>
  <si>
    <t>{$NCA2-4}</t>
  </si>
  <si>
    <t>{$NCA3-4}</t>
  </si>
  <si>
    <t>{$NCA4-4}</t>
  </si>
  <si>
    <t>{$NCA5-4}</t>
  </si>
  <si>
    <t>{$NCA6-4}</t>
  </si>
  <si>
    <t>{$NCA7-4}</t>
  </si>
  <si>
    <t>{$NCA8-4}</t>
  </si>
  <si>
    <t>{$NCA9-4}</t>
  </si>
  <si>
    <t>{$NCA10-4}</t>
  </si>
  <si>
    <t>{$NCA11-4}</t>
  </si>
  <si>
    <t>{$NCA12-4}</t>
  </si>
  <si>
    <t>{$NCA13-4}</t>
  </si>
  <si>
    <t>{$NCA14-4}</t>
  </si>
  <si>
    <t>{$NCA15-4}</t>
  </si>
  <si>
    <t>{$NCA-4}</t>
  </si>
  <si>
    <t>{$A-4}</t>
  </si>
  <si>
    <t>{$CL1-4}</t>
  </si>
  <si>
    <t>{$CL2-4}</t>
  </si>
  <si>
    <t>{$CL3-4}</t>
  </si>
  <si>
    <t>{$CL4-4}</t>
  </si>
  <si>
    <t>{$CL5-4}</t>
  </si>
  <si>
    <t>{$CL6-4}</t>
  </si>
  <si>
    <t>{$CL7-4}</t>
  </si>
  <si>
    <t>{$CL8-4}</t>
  </si>
  <si>
    <t>{$CL9-4}</t>
  </si>
  <si>
    <t>{$CL10-4}</t>
  </si>
  <si>
    <t>{$CL11-4}</t>
  </si>
  <si>
    <t>{$CL12-4}</t>
  </si>
  <si>
    <t>{$CL13-4}</t>
  </si>
  <si>
    <t>{$CL14-4}</t>
  </si>
  <si>
    <t>{$CL15-4}</t>
  </si>
  <si>
    <t>{$CL-4}</t>
  </si>
  <si>
    <t>{$NCL1-4}</t>
  </si>
  <si>
    <t>{$NCL2-4}</t>
  </si>
  <si>
    <t>{$NCL3-4}</t>
  </si>
  <si>
    <t>{$NCL4-4}</t>
  </si>
  <si>
    <t>{$NCL5-4}</t>
  </si>
  <si>
    <t>{$NCL6-4}</t>
  </si>
  <si>
    <t>{$NCL7-4}</t>
  </si>
  <si>
    <t>{$NCL8-4}</t>
  </si>
  <si>
    <t>{$NCL9-4}</t>
  </si>
  <si>
    <t>{$NCL10-4}</t>
  </si>
  <si>
    <t>{$NCL11-4}</t>
  </si>
  <si>
    <t>{$NCL-4}</t>
  </si>
  <si>
    <t>{$L-4}</t>
  </si>
  <si>
    <t>{$E1-4}</t>
  </si>
  <si>
    <t>{$E2-4}</t>
  </si>
  <si>
    <t>{$E3-4}</t>
  </si>
  <si>
    <t>{$E4-4}</t>
  </si>
  <si>
    <t>{$E5-4}</t>
  </si>
  <si>
    <t>{$E6-4}</t>
  </si>
  <si>
    <t>{$E7-4}</t>
  </si>
  <si>
    <t>{$E8-4}</t>
  </si>
  <si>
    <t>{$E9-4}</t>
  </si>
  <si>
    <t>{$E10-4}</t>
  </si>
  <si>
    <t>{$E11-4}</t>
  </si>
  <si>
    <t>{$E12-4}</t>
  </si>
  <si>
    <t>{$E-4}</t>
  </si>
  <si>
    <t>{$CA1-3}</t>
  </si>
  <si>
    <t>{$CA2-3}</t>
  </si>
  <si>
    <t>{$CA5-3}</t>
  </si>
  <si>
    <t>{$CA6-3}</t>
  </si>
  <si>
    <t>{$CA7-3}</t>
  </si>
  <si>
    <t>{$CA8-3}</t>
  </si>
  <si>
    <t>{$CA9-3}</t>
  </si>
  <si>
    <t>{$CA10-3}</t>
  </si>
  <si>
    <t>{$CA11-3}</t>
  </si>
  <si>
    <t>{$CA12-3}</t>
  </si>
  <si>
    <t>{$CA13-3}</t>
  </si>
  <si>
    <t>{$CA14-3}</t>
  </si>
  <si>
    <t>{$CA-3}</t>
  </si>
  <si>
    <t>{$NCA1-3}</t>
  </si>
  <si>
    <t>{$NCA2-3}</t>
  </si>
  <si>
    <t>{$NCA3-3}</t>
  </si>
  <si>
    <t>{$NCA4-3}</t>
  </si>
  <si>
    <t>{$NCA5-3}</t>
  </si>
  <si>
    <t>{$NCA6-3}</t>
  </si>
  <si>
    <t>{$NCA7-3}</t>
  </si>
  <si>
    <t>{$NCA8-3}</t>
  </si>
  <si>
    <t>{$NCA9-3}</t>
  </si>
  <si>
    <t>{$NCA10-3}</t>
  </si>
  <si>
    <t>{$NCA11-3}</t>
  </si>
  <si>
    <t>{$NCA12-3}</t>
  </si>
  <si>
    <t>{$NCA13-3}</t>
  </si>
  <si>
    <t>{$NCA14-3}</t>
  </si>
  <si>
    <t>{$NCA15-3}</t>
  </si>
  <si>
    <t>{$NCA-3}</t>
  </si>
  <si>
    <t>{$A-3}</t>
  </si>
  <si>
    <t>{$CL1-3}</t>
  </si>
  <si>
    <t>{$CL2-3}</t>
  </si>
  <si>
    <t>{$CL3-3}</t>
  </si>
  <si>
    <t>{$CL4-3}</t>
  </si>
  <si>
    <t>{$CL5-3}</t>
  </si>
  <si>
    <t>{$CL6-3}</t>
  </si>
  <si>
    <t>{$CL7-3}</t>
  </si>
  <si>
    <t>{$CL8-3}</t>
  </si>
  <si>
    <t>{$CL9-3}</t>
  </si>
  <si>
    <t>{$CL10-3}</t>
  </si>
  <si>
    <t>{$CL11-3}</t>
  </si>
  <si>
    <t>{$CL12-3}</t>
  </si>
  <si>
    <t>{$CL13-3}</t>
  </si>
  <si>
    <t>{$CL14-3}</t>
  </si>
  <si>
    <t>{$CL15-3}</t>
  </si>
  <si>
    <t>{$CL-3}</t>
  </si>
  <si>
    <t>{$NCL1-3}</t>
  </si>
  <si>
    <t>{$NCL2-3}</t>
  </si>
  <si>
    <t>{$NCL3-3}</t>
  </si>
  <si>
    <t>{$NCL4-3}</t>
  </si>
  <si>
    <t>{$NCL5-3}</t>
  </si>
  <si>
    <t>{$NCL6-3}</t>
  </si>
  <si>
    <t>{$NCL7-3}</t>
  </si>
  <si>
    <t>{$NCL8-3}</t>
  </si>
  <si>
    <t>{$NCL9-3}</t>
  </si>
  <si>
    <t>{$NCL10-3}</t>
  </si>
  <si>
    <t>{$NCL11-3}</t>
  </si>
  <si>
    <t>{$NCL-3}</t>
  </si>
  <si>
    <t>{$L-3}</t>
  </si>
  <si>
    <t>{$E1-3}</t>
  </si>
  <si>
    <t>{$E2-3}</t>
  </si>
  <si>
    <t>{$E3-3}</t>
  </si>
  <si>
    <t>{$E4-3}</t>
  </si>
  <si>
    <t>{$E5-3}</t>
  </si>
  <si>
    <t>{$E6-3}</t>
  </si>
  <si>
    <t>{$E7-3}</t>
  </si>
  <si>
    <t>{$E8-3}</t>
  </si>
  <si>
    <t>{$E9-3}</t>
  </si>
  <si>
    <t>{$E10-3}</t>
  </si>
  <si>
    <t>{$E11-3}</t>
  </si>
  <si>
    <t>{$E12-3}</t>
  </si>
  <si>
    <t>{$E-3}</t>
  </si>
  <si>
    <t>{$CA1-2}</t>
  </si>
  <si>
    <t>{$CA2-2}</t>
  </si>
  <si>
    <t>{$CA3-2}</t>
  </si>
  <si>
    <t>{$CA4-2}</t>
  </si>
  <si>
    <t>{$CA5-2}</t>
  </si>
  <si>
    <t>{$CA6-2}</t>
  </si>
  <si>
    <t>{$CA7-2}</t>
  </si>
  <si>
    <t>{$CA8-2}</t>
  </si>
  <si>
    <t>{$CA9-2}</t>
  </si>
  <si>
    <t>{$CA10-2}</t>
  </si>
  <si>
    <t>{$CA11-2}</t>
  </si>
  <si>
    <t>{$CA12-2}</t>
  </si>
  <si>
    <t>{$CA13-2}</t>
  </si>
  <si>
    <t>{$CA14-2}</t>
  </si>
  <si>
    <t>{$CA-2}</t>
  </si>
  <si>
    <t>{$NCA1-2}</t>
  </si>
  <si>
    <t>{$NCA2-2}</t>
  </si>
  <si>
    <t>{$NCA3-2}</t>
  </si>
  <si>
    <t>{$NCA4-2}</t>
  </si>
  <si>
    <t>{$NCA5-2}</t>
  </si>
  <si>
    <t>{$NCA6-2}</t>
  </si>
  <si>
    <t>{$NCA7-2}</t>
  </si>
  <si>
    <t>{$NCA8-2}</t>
  </si>
  <si>
    <t>{$NCA9-2}</t>
  </si>
  <si>
    <t>{$NCA10-2}</t>
  </si>
  <si>
    <t>{$NCA11-2}</t>
  </si>
  <si>
    <t>{$NCA12-2}</t>
  </si>
  <si>
    <t>{$NCA13-2}</t>
  </si>
  <si>
    <t>{$NCA14-2}</t>
  </si>
  <si>
    <t>{$NCA15-2}</t>
  </si>
  <si>
    <t>{$NCA-2}</t>
  </si>
  <si>
    <t>{$A-2}</t>
  </si>
  <si>
    <t>{$CL1-2}</t>
  </si>
  <si>
    <t>{$CL2-2}</t>
  </si>
  <si>
    <t>{$CL3-2}</t>
  </si>
  <si>
    <t>{$CL4-2}</t>
  </si>
  <si>
    <t>{$CL5-2}</t>
  </si>
  <si>
    <t>{$CL6-2}</t>
  </si>
  <si>
    <t>{$CL7-2}</t>
  </si>
  <si>
    <t>{$CL8-2}</t>
  </si>
  <si>
    <t>{$CL9-2}</t>
  </si>
  <si>
    <t>{$CL10-2}</t>
  </si>
  <si>
    <t>{$CL11-2}</t>
  </si>
  <si>
    <t>{$CL12-2}</t>
  </si>
  <si>
    <t>{$CL13-2}</t>
  </si>
  <si>
    <t>{$CL14-2}</t>
  </si>
  <si>
    <t>{$CL15-2}</t>
  </si>
  <si>
    <t>{$CL-2}</t>
  </si>
  <si>
    <t>{$NCL1-2}</t>
  </si>
  <si>
    <t>{$NCL2-2}</t>
  </si>
  <si>
    <t>{$NCL3-2}</t>
  </si>
  <si>
    <t>{$NCL4-2}</t>
  </si>
  <si>
    <t>{$NCL5-2}</t>
  </si>
  <si>
    <t>{$NCL6-2}</t>
  </si>
  <si>
    <t>{$NCL7-2}</t>
  </si>
  <si>
    <t>{$NCL8-2}</t>
  </si>
  <si>
    <t>{$NCL9-2}</t>
  </si>
  <si>
    <t>{$NCL10-2}</t>
  </si>
  <si>
    <t>{$NCL11-2}</t>
  </si>
  <si>
    <t>{$NCL-2}</t>
  </si>
  <si>
    <t>{$L-2}</t>
  </si>
  <si>
    <t>{$E1-2}</t>
  </si>
  <si>
    <t>{$E2-2}</t>
  </si>
  <si>
    <t>{$E3-2}</t>
  </si>
  <si>
    <t>{$E4-2}</t>
  </si>
  <si>
    <t>{$E5-2}</t>
  </si>
  <si>
    <t>{$E6-2}</t>
  </si>
  <si>
    <t>{$E7-2}</t>
  </si>
  <si>
    <t>{$E8-2}</t>
  </si>
  <si>
    <t>{$E9-2}</t>
  </si>
  <si>
    <t>{$E10-2}</t>
  </si>
  <si>
    <t>{$E11-2}</t>
  </si>
  <si>
    <t>{$E12-2}</t>
  </si>
  <si>
    <t>{$E-2}</t>
  </si>
  <si>
    <t>{$CA1-1}</t>
  </si>
  <si>
    <t>{$CA2-1}</t>
  </si>
  <si>
    <t>{$CA3-1}</t>
  </si>
  <si>
    <t>{$CA4-1}</t>
  </si>
  <si>
    <t>{$CA5-1}</t>
  </si>
  <si>
    <t>{$CA6-1}</t>
  </si>
  <si>
    <t>{$CA7-1}</t>
  </si>
  <si>
    <t>{$CA8-1}</t>
  </si>
  <si>
    <t>{$CA9-1}</t>
  </si>
  <si>
    <t>{$CA10-1}</t>
  </si>
  <si>
    <t>{$CA11-1}</t>
  </si>
  <si>
    <t>{$CA12-1}</t>
  </si>
  <si>
    <t>{$CA13-1}</t>
  </si>
  <si>
    <t>{$CA14-1}</t>
  </si>
  <si>
    <t>{$CA-1}</t>
  </si>
  <si>
    <t>{$NCA1-1}</t>
  </si>
  <si>
    <t>{$NCA2-1}</t>
  </si>
  <si>
    <t>{$NCA3-1}</t>
  </si>
  <si>
    <t>{$NCA4-1}</t>
  </si>
  <si>
    <t>{$NCA5-1}</t>
  </si>
  <si>
    <t>{$NCA6-1}</t>
  </si>
  <si>
    <t>{$NCA7-1}</t>
  </si>
  <si>
    <t>{$NCA8-1}</t>
  </si>
  <si>
    <t>{$NCA9-1}</t>
  </si>
  <si>
    <t>{$NCA10-1}</t>
  </si>
  <si>
    <t>{$NCA11-1}</t>
  </si>
  <si>
    <t>{$NCA12-1}</t>
  </si>
  <si>
    <t>{$NCA13-1}</t>
  </si>
  <si>
    <t>{$NCA14-1}</t>
  </si>
  <si>
    <t>{$NCA15-1}</t>
  </si>
  <si>
    <t>{$NCA-1}</t>
  </si>
  <si>
    <t>{$A-1}</t>
  </si>
  <si>
    <t>{$CL1-1}</t>
  </si>
  <si>
    <t>{$CL2-1}</t>
  </si>
  <si>
    <t>{$CL3-1}</t>
  </si>
  <si>
    <t>{$CL4-1}</t>
  </si>
  <si>
    <t>{$CL5-1}</t>
  </si>
  <si>
    <t>{$CL6-1}</t>
  </si>
  <si>
    <t>{$CL7-1}</t>
  </si>
  <si>
    <t>{$CL8-1}</t>
  </si>
  <si>
    <t>{$CL10-1}</t>
  </si>
  <si>
    <t>{$CL11-1}</t>
  </si>
  <si>
    <t>{$CL12-1}</t>
  </si>
  <si>
    <t>{$CL13-1}</t>
  </si>
  <si>
    <t>{$CL14-1}</t>
  </si>
  <si>
    <t>{$CL15-1}</t>
  </si>
  <si>
    <t>{$CL-1}</t>
  </si>
  <si>
    <t>{$NCL1-1}</t>
  </si>
  <si>
    <t>{$NCL2-1}</t>
  </si>
  <si>
    <t>{$NCL3-1}</t>
  </si>
  <si>
    <t>{$NCL4-1}</t>
  </si>
  <si>
    <t>{$NCL5-1}</t>
  </si>
  <si>
    <t>{$NCL6-1}</t>
  </si>
  <si>
    <t>{$NCL7-1}</t>
  </si>
  <si>
    <t>{$NCL8-1}</t>
  </si>
  <si>
    <t>{$NCL9-1}</t>
  </si>
  <si>
    <t>{$NCL10-1}</t>
  </si>
  <si>
    <t>{$NCL11-1}</t>
  </si>
  <si>
    <t>{$NCL-1}</t>
  </si>
  <si>
    <t>{$L-1}</t>
  </si>
  <si>
    <t>{$E1-1}</t>
  </si>
  <si>
    <t>{$E2-1}</t>
  </si>
  <si>
    <t>{$E3-1}</t>
  </si>
  <si>
    <t>{$E4-1}</t>
  </si>
  <si>
    <t>{$E5-1}</t>
  </si>
  <si>
    <t>{$E6-1}</t>
  </si>
  <si>
    <t>{$E7-1}</t>
  </si>
  <si>
    <t>{$E8-1}</t>
  </si>
  <si>
    <t>{$E9-1}</t>
  </si>
  <si>
    <t>{$E10-1}</t>
  </si>
  <si>
    <t>{$E11-1}</t>
  </si>
  <si>
    <t>{$E12-1}</t>
  </si>
  <si>
    <t>{$E-1}</t>
  </si>
  <si>
    <t>时点（XX年末）</t>
    <phoneticPr fontId="1" type="noConversion"/>
  </si>
  <si>
    <t>时期（XX年）</t>
    <phoneticPr fontId="1" type="noConversion"/>
  </si>
  <si>
    <r>
      <t>{$</t>
    </r>
    <r>
      <rPr>
        <sz val="9"/>
        <color theme="1"/>
        <rFont val="宋体"/>
        <family val="2"/>
        <charset val="134"/>
      </rPr>
      <t>第一年末</t>
    </r>
    <r>
      <rPr>
        <sz val="9"/>
        <color theme="1"/>
        <rFont val="Times New Roman"/>
        <family val="1"/>
      </rPr>
      <t>}</t>
    </r>
  </si>
  <si>
    <r>
      <t>{$</t>
    </r>
    <r>
      <rPr>
        <sz val="9"/>
        <color theme="1"/>
        <rFont val="宋体"/>
        <family val="2"/>
        <charset val="134"/>
      </rPr>
      <t>第二年末</t>
    </r>
    <r>
      <rPr>
        <sz val="9"/>
        <color theme="1"/>
        <rFont val="Times New Roman"/>
        <family val="1"/>
      </rPr>
      <t>}</t>
    </r>
  </si>
  <si>
    <r>
      <t>{$</t>
    </r>
    <r>
      <rPr>
        <sz val="9"/>
        <color theme="1"/>
        <rFont val="宋体"/>
        <family val="2"/>
        <charset val="134"/>
      </rPr>
      <t>第三年末</t>
    </r>
    <r>
      <rPr>
        <sz val="9"/>
        <color theme="1"/>
        <rFont val="Times New Roman"/>
        <family val="1"/>
      </rPr>
      <t>}</t>
    </r>
  </si>
  <si>
    <r>
      <t>{$</t>
    </r>
    <r>
      <rPr>
        <sz val="9"/>
        <color theme="1"/>
        <rFont val="宋体"/>
        <family val="2"/>
        <charset val="134"/>
      </rPr>
      <t>最近一期末</t>
    </r>
    <r>
      <rPr>
        <sz val="9"/>
        <color theme="1"/>
        <rFont val="Times New Roman"/>
        <family val="1"/>
      </rPr>
      <t>}</t>
    </r>
  </si>
  <si>
    <r>
      <t>{$</t>
    </r>
    <r>
      <rPr>
        <sz val="9"/>
        <color theme="1"/>
        <rFont val="宋体"/>
        <family val="2"/>
        <charset val="134"/>
      </rPr>
      <t>第一年</t>
    </r>
    <r>
      <rPr>
        <sz val="9"/>
        <color theme="1"/>
        <rFont val="Times New Roman"/>
        <family val="1"/>
      </rPr>
      <t>}</t>
    </r>
    <phoneticPr fontId="1" type="noConversion"/>
  </si>
  <si>
    <r>
      <t>{$</t>
    </r>
    <r>
      <rPr>
        <sz val="9"/>
        <color theme="1"/>
        <rFont val="宋体"/>
        <family val="2"/>
        <charset val="134"/>
      </rPr>
      <t>第二年</t>
    </r>
    <r>
      <rPr>
        <sz val="9"/>
        <color theme="1"/>
        <rFont val="Times New Roman"/>
        <family val="1"/>
      </rPr>
      <t>}</t>
    </r>
    <phoneticPr fontId="1" type="noConversion"/>
  </si>
  <si>
    <r>
      <t>{$</t>
    </r>
    <r>
      <rPr>
        <sz val="9"/>
        <color theme="1"/>
        <rFont val="宋体"/>
        <family val="2"/>
        <charset val="134"/>
      </rPr>
      <t>第三年</t>
    </r>
    <r>
      <rPr>
        <sz val="9"/>
        <color theme="1"/>
        <rFont val="Times New Roman"/>
        <family val="1"/>
      </rPr>
      <t>}</t>
    </r>
    <phoneticPr fontId="1" type="noConversion"/>
  </si>
  <si>
    <r>
      <t>{$</t>
    </r>
    <r>
      <rPr>
        <sz val="9"/>
        <color theme="1"/>
        <rFont val="宋体"/>
        <family val="2"/>
        <charset val="134"/>
      </rPr>
      <t>最近一期</t>
    </r>
    <r>
      <rPr>
        <sz val="9"/>
        <color theme="1"/>
        <rFont val="Times New Roman"/>
        <family val="1"/>
      </rPr>
      <t>}</t>
    </r>
    <phoneticPr fontId="1" type="noConversion"/>
  </si>
  <si>
    <r>
      <t xml:space="preserve">               </t>
    </r>
    <r>
      <rPr>
        <sz val="10"/>
        <rFont val="宋体"/>
        <family val="3"/>
        <charset val="134"/>
      </rPr>
      <t>应收利息</t>
    </r>
    <phoneticPr fontId="1" type="noConversion"/>
  </si>
  <si>
    <r>
      <t xml:space="preserve">               </t>
    </r>
    <r>
      <rPr>
        <sz val="10"/>
        <rFont val="宋体"/>
        <family val="3"/>
        <charset val="134"/>
      </rPr>
      <t>其他应收款</t>
    </r>
    <phoneticPr fontId="1" type="noConversion"/>
  </si>
  <si>
    <r>
      <t xml:space="preserve">              </t>
    </r>
    <r>
      <rPr>
        <sz val="10"/>
        <rFont val="宋体"/>
        <family val="3"/>
        <charset val="134"/>
      </rPr>
      <t>其他应付款</t>
    </r>
    <phoneticPr fontId="1" type="noConversion"/>
  </si>
  <si>
    <r>
      <t xml:space="preserve">               </t>
    </r>
    <r>
      <rPr>
        <sz val="10"/>
        <rFont val="宋体"/>
        <family val="3"/>
        <charset val="134"/>
      </rPr>
      <t>应付股利</t>
    </r>
    <phoneticPr fontId="1" type="noConversion"/>
  </si>
  <si>
    <t>{$MNCA3-4}</t>
  </si>
  <si>
    <t>{$MNCA4-4}</t>
  </si>
  <si>
    <t>{$MNCA5-4}</t>
  </si>
  <si>
    <t>{$MNCA6-4}</t>
  </si>
  <si>
    <t>{$MNCA7-4}</t>
  </si>
  <si>
    <t>{$MNCA8-4}</t>
  </si>
  <si>
    <t>{$MNCA9-4}</t>
  </si>
  <si>
    <t>{$MNCA10-4}</t>
  </si>
  <si>
    <t>{$MNCA11-4}</t>
  </si>
  <si>
    <t>{$MNCA12-4}</t>
  </si>
  <si>
    <t>{$MNCA13-4}</t>
  </si>
  <si>
    <t>{$MNCA14-4}</t>
  </si>
  <si>
    <t>{$MNCA15-4}</t>
  </si>
  <si>
    <t>{$MNCA-4}</t>
  </si>
  <si>
    <t>{$MA-4}</t>
  </si>
  <si>
    <t>{$MCL1-4}</t>
  </si>
  <si>
    <t>{$MCL2-4}</t>
  </si>
  <si>
    <t>{$MCL3-4}</t>
  </si>
  <si>
    <t>{$MCL4-4}</t>
  </si>
  <si>
    <t>{$MCL5-4}</t>
  </si>
  <si>
    <t>{$MCL6-4}</t>
  </si>
  <si>
    <t>{$MCL7-4}</t>
  </si>
  <si>
    <t>{$MCL8-4}</t>
  </si>
  <si>
    <t>{$MCL9-4}</t>
  </si>
  <si>
    <t>{$MCL10-4}</t>
  </si>
  <si>
    <t>{$MCL11-4}</t>
  </si>
  <si>
    <t>{$MCL12-4}</t>
  </si>
  <si>
    <t>{$MCL13-4}</t>
  </si>
  <si>
    <t>{$MCL14-4}</t>
  </si>
  <si>
    <t>{$MCL15-4}</t>
  </si>
  <si>
    <t>{$MCL-4}</t>
  </si>
  <si>
    <t>{$MNCL1-4}</t>
  </si>
  <si>
    <t>{$MNCL2-4}</t>
  </si>
  <si>
    <t>{$MNCL3-4}</t>
  </si>
  <si>
    <t>{$MNCL4-4}</t>
  </si>
  <si>
    <t>{$MNCL5-4}</t>
  </si>
  <si>
    <t>{$MNCL6-4}</t>
  </si>
  <si>
    <t>{$MNCL7-4}</t>
  </si>
  <si>
    <t>{$MNCL8-4}</t>
  </si>
  <si>
    <t>{$MNCL9-4}</t>
  </si>
  <si>
    <t>{$MNCL10-4}</t>
  </si>
  <si>
    <t>{$MNCL11-4}</t>
  </si>
  <si>
    <t>{$MNCL-4}</t>
  </si>
  <si>
    <t>{$ML-4}</t>
  </si>
  <si>
    <t>{$ME1-4}</t>
  </si>
  <si>
    <t>{$ME2-4}</t>
  </si>
  <si>
    <t>{$ME3-4}</t>
  </si>
  <si>
    <t>{$ME4-4}</t>
  </si>
  <si>
    <t>{$ME5-4}</t>
  </si>
  <si>
    <t>{$ME6-4}</t>
  </si>
  <si>
    <t>{$ME7-4}</t>
  </si>
  <si>
    <t>{$ME8-4}</t>
  </si>
  <si>
    <t>{$ME9-4}</t>
  </si>
  <si>
    <t>{$ME10-4}</t>
  </si>
  <si>
    <t>{$ME-4}</t>
  </si>
  <si>
    <t>{$MCA1-3}</t>
  </si>
  <si>
    <t>{$MCA2-3}</t>
  </si>
  <si>
    <t>{$MCA5-3}</t>
  </si>
  <si>
    <t>{$MCA6-3}</t>
  </si>
  <si>
    <t>{$MCA7-3}</t>
  </si>
  <si>
    <t>{$MCA8-3}</t>
  </si>
  <si>
    <t>{$MCA9-3}</t>
  </si>
  <si>
    <t>{$MCA10-3}</t>
  </si>
  <si>
    <t>{$MCA11-3}</t>
  </si>
  <si>
    <t>{$MCA12-3}</t>
  </si>
  <si>
    <t>{$MCA13-3}</t>
  </si>
  <si>
    <t>{$MCA14-3}</t>
  </si>
  <si>
    <t>{$MCA-3}</t>
  </si>
  <si>
    <t>{$MNCA1-3}</t>
  </si>
  <si>
    <t>{$MNCA2-3}</t>
  </si>
  <si>
    <t>{$MNCA3-3}</t>
  </si>
  <si>
    <t>{$MNCA4-3}</t>
  </si>
  <si>
    <t>{$MNCA5-3}</t>
  </si>
  <si>
    <t>{$MNCA6-3}</t>
  </si>
  <si>
    <t>{$MNCA7-3}</t>
  </si>
  <si>
    <t>{$MNCA8-3}</t>
  </si>
  <si>
    <t>{$MNCA9-3}</t>
  </si>
  <si>
    <t>{$MNCA10-3}</t>
  </si>
  <si>
    <t>{$MNCA11-3}</t>
  </si>
  <si>
    <t>{$MNCA12-3}</t>
  </si>
  <si>
    <t>{$MNCA13-3}</t>
  </si>
  <si>
    <t>{$MNCA14-3}</t>
  </si>
  <si>
    <t>{$MNCA15-3}</t>
  </si>
  <si>
    <t>{$MNCA-3}</t>
  </si>
  <si>
    <t>{$MA-3}</t>
  </si>
  <si>
    <t>{$MCL1-3}</t>
  </si>
  <si>
    <t>{$MCL2-3}</t>
  </si>
  <si>
    <t>{$MCL3-3}</t>
  </si>
  <si>
    <t>{$MCL4-3}</t>
  </si>
  <si>
    <t>{$MCL5-3}</t>
  </si>
  <si>
    <t>{$MCL6-3}</t>
  </si>
  <si>
    <t>{$MCL7-3}</t>
  </si>
  <si>
    <t>{$MCL8-3}</t>
  </si>
  <si>
    <t>{$MCL9-3}</t>
  </si>
  <si>
    <t>{$MCL10-3}</t>
  </si>
  <si>
    <t>{$MCL11-3}</t>
  </si>
  <si>
    <t>{$MCL12-3}</t>
  </si>
  <si>
    <t>{$MCL13-3}</t>
  </si>
  <si>
    <t>{$MCL14-3}</t>
  </si>
  <si>
    <t>{$MCL15-3}</t>
  </si>
  <si>
    <t>{$MCL-3}</t>
  </si>
  <si>
    <t>{$MNCL1-3}</t>
  </si>
  <si>
    <t>{$MNCL2-3}</t>
  </si>
  <si>
    <t>{$MNCL3-3}</t>
  </si>
  <si>
    <t>{$MNCL4-3}</t>
  </si>
  <si>
    <t>{$MNCL5-3}</t>
  </si>
  <si>
    <t>{$MNCL6-3}</t>
  </si>
  <si>
    <t>{$MNCL7-3}</t>
  </si>
  <si>
    <t>{$MNCL8-3}</t>
  </si>
  <si>
    <t>{$MNCL9-3}</t>
  </si>
  <si>
    <t>{$MNCL10-3}</t>
  </si>
  <si>
    <t>{$MNCL11-3}</t>
  </si>
  <si>
    <t>{$MNCL-3}</t>
  </si>
  <si>
    <t>{$ML-3}</t>
  </si>
  <si>
    <t>{$ME1-3}</t>
  </si>
  <si>
    <t>{$ME2-3}</t>
  </si>
  <si>
    <t>{$ME3-3}</t>
  </si>
  <si>
    <t>{$ME4-3}</t>
  </si>
  <si>
    <t>{$ME5-3}</t>
  </si>
  <si>
    <t>{$ME6-3}</t>
  </si>
  <si>
    <t>{$ME7-3}</t>
  </si>
  <si>
    <t>{$ME8-3}</t>
  </si>
  <si>
    <t>{$ME9-3}</t>
  </si>
  <si>
    <t>{$ME10-3}</t>
  </si>
  <si>
    <t>{$ME-3}</t>
  </si>
  <si>
    <t>{$MCA1-2}</t>
  </si>
  <si>
    <t>{$MCA2-2}</t>
  </si>
  <si>
    <t>{$MCA3-2}</t>
  </si>
  <si>
    <t>{$MCA4-2}</t>
  </si>
  <si>
    <t>{$MCA5-2}</t>
  </si>
  <si>
    <t>{$MCA6-2}</t>
  </si>
  <si>
    <t>{$MCA7-2}</t>
  </si>
  <si>
    <t>{$MCA8-2}</t>
  </si>
  <si>
    <t>{$MCA9-2}</t>
  </si>
  <si>
    <t>{$MCA10-2}</t>
  </si>
  <si>
    <t>{$MCA11-2}</t>
  </si>
  <si>
    <t>{$MCA12-2}</t>
  </si>
  <si>
    <t>{$MCA13-2}</t>
  </si>
  <si>
    <t>{$MCA14-2}</t>
  </si>
  <si>
    <t>{$MCA-2}</t>
  </si>
  <si>
    <t>{$MNCA1-2}</t>
  </si>
  <si>
    <t>{$MNCA2-2}</t>
  </si>
  <si>
    <t>{$MNCA3-2}</t>
  </si>
  <si>
    <t>{$MNCA4-2}</t>
  </si>
  <si>
    <t>{$MNCA5-2}</t>
  </si>
  <si>
    <t>{$MNCA6-2}</t>
  </si>
  <si>
    <t>{$MNCA7-2}</t>
  </si>
  <si>
    <t>{$MNCA8-2}</t>
  </si>
  <si>
    <t>{$MNCA9-2}</t>
  </si>
  <si>
    <t>{$MNCA10-2}</t>
  </si>
  <si>
    <t>{$MNCA11-2}</t>
  </si>
  <si>
    <t>{$MNCA12-2}</t>
  </si>
  <si>
    <t>{$MNCA13-2}</t>
  </si>
  <si>
    <t>{$MNCA14-2}</t>
  </si>
  <si>
    <t>{$MNCA15-2}</t>
  </si>
  <si>
    <t>{$MNCA-2}</t>
  </si>
  <si>
    <t>{$MA-2}</t>
  </si>
  <si>
    <t>{$MCL1-2}</t>
  </si>
  <si>
    <t>{$MCL2-2}</t>
  </si>
  <si>
    <t>{$MCL3-2}</t>
  </si>
  <si>
    <t>{$MCL4-2}</t>
  </si>
  <si>
    <t>{$MCL5-2}</t>
  </si>
  <si>
    <t>{$MCL6-2}</t>
  </si>
  <si>
    <t>{$MCL7-2}</t>
  </si>
  <si>
    <t>{$MCL8-2}</t>
  </si>
  <si>
    <t>{$MCL9-2}</t>
  </si>
  <si>
    <t>{$MCL10-2}</t>
  </si>
  <si>
    <t>{$MCL11-2}</t>
  </si>
  <si>
    <t>{$MCL12-2}</t>
  </si>
  <si>
    <t>{$MCL13-2}</t>
  </si>
  <si>
    <t>{$MCL14-2}</t>
  </si>
  <si>
    <t>{$MCL15-2}</t>
  </si>
  <si>
    <t>{$MCL-2}</t>
  </si>
  <si>
    <t>{$MNCL1-2}</t>
  </si>
  <si>
    <t>{$MNCL2-2}</t>
  </si>
  <si>
    <t>{$MNCL3-2}</t>
  </si>
  <si>
    <t>{$MNCL4-2}</t>
  </si>
  <si>
    <t>{$MNCL5-2}</t>
  </si>
  <si>
    <t>{$MNCL6-2}</t>
  </si>
  <si>
    <t>{$MNCL7-2}</t>
  </si>
  <si>
    <t>{$MNCL8-2}</t>
  </si>
  <si>
    <t>{$MNCL9-2}</t>
  </si>
  <si>
    <t>{$MNCL10-2}</t>
  </si>
  <si>
    <t>{$MNCL11-2}</t>
  </si>
  <si>
    <t>{$MNCL-2}</t>
  </si>
  <si>
    <t>{$ML-2}</t>
  </si>
  <si>
    <t>{$ME1-2}</t>
  </si>
  <si>
    <t>{$ME2-2}</t>
  </si>
  <si>
    <t>{$ME3-2}</t>
  </si>
  <si>
    <t>{$ME4-2}</t>
  </si>
  <si>
    <t>{$ME5-2}</t>
  </si>
  <si>
    <t>{$ME6-2}</t>
  </si>
  <si>
    <t>{$ME7-2}</t>
  </si>
  <si>
    <t>{$ME8-2}</t>
  </si>
  <si>
    <t>{$ME9-2}</t>
  </si>
  <si>
    <t>{$ME10-2}</t>
  </si>
  <si>
    <t>{$ME-2}</t>
  </si>
  <si>
    <t>{$MCA1-1}</t>
  </si>
  <si>
    <t>{$MCA2-1}</t>
  </si>
  <si>
    <t>{$MCA3-1}</t>
  </si>
  <si>
    <t>{$MCA4-1}</t>
  </si>
  <si>
    <t>{$MCA5-1}</t>
  </si>
  <si>
    <t>{$MCA6-1}</t>
  </si>
  <si>
    <t>{$MCA7-1}</t>
  </si>
  <si>
    <t>{$MCA8-1}</t>
  </si>
  <si>
    <t>{$MCA9-1}</t>
  </si>
  <si>
    <t>{$MCA10-1}</t>
  </si>
  <si>
    <t>{$MCA11-1}</t>
  </si>
  <si>
    <t>{$MCA12-1}</t>
  </si>
  <si>
    <t>{$MCA13-1}</t>
  </si>
  <si>
    <t>{$MCA14-1}</t>
  </si>
  <si>
    <t>{$MCA-1}</t>
  </si>
  <si>
    <t>{$MNCA1-1}</t>
  </si>
  <si>
    <t>{$MNCA2-1}</t>
  </si>
  <si>
    <t>{$MNCA3-1}</t>
  </si>
  <si>
    <t>{$MNCA4-1}</t>
  </si>
  <si>
    <t>{$MNCA5-1}</t>
  </si>
  <si>
    <t>{$MNCA6-1}</t>
  </si>
  <si>
    <t>{$MNCA7-1}</t>
  </si>
  <si>
    <t>{$MNCA8-1}</t>
  </si>
  <si>
    <t>{$MNCA9-1}</t>
  </si>
  <si>
    <t>{$MNCA10-1}</t>
  </si>
  <si>
    <t>{$MNCA11-1}</t>
  </si>
  <si>
    <t>{$MNCA12-1}</t>
  </si>
  <si>
    <t>{$MNCA13-1}</t>
  </si>
  <si>
    <t>{$MNCA14-1}</t>
  </si>
  <si>
    <t>{$MNCA15-1}</t>
  </si>
  <si>
    <t>{$MNCA-1}</t>
  </si>
  <si>
    <t>{$MA-1}</t>
  </si>
  <si>
    <t>{$MCL1-1}</t>
  </si>
  <si>
    <t>{$MCL2-1}</t>
  </si>
  <si>
    <t>{$MCL3-1}</t>
  </si>
  <si>
    <t>{$MCL4-1}</t>
  </si>
  <si>
    <t>{$MCL5-1}</t>
  </si>
  <si>
    <t>{$MCL6-1}</t>
  </si>
  <si>
    <t>{$MCL7-1}</t>
  </si>
  <si>
    <t>{$MCL8-1}</t>
  </si>
  <si>
    <t>{$MCL10-1}</t>
  </si>
  <si>
    <t>{$MCL11-1}</t>
  </si>
  <si>
    <t>{$MCL12-1}</t>
  </si>
  <si>
    <t>{$MCL13-1}</t>
  </si>
  <si>
    <t>{$MCL14-1}</t>
  </si>
  <si>
    <t>{$MCL15-1}</t>
  </si>
  <si>
    <t>{$MCL-1}</t>
  </si>
  <si>
    <t>{$MNCL1-1}</t>
  </si>
  <si>
    <t>{$MNCL2-1}</t>
  </si>
  <si>
    <t>{$MNCL3-1}</t>
  </si>
  <si>
    <t>{$MNCL4-1}</t>
  </si>
  <si>
    <t>{$MNCL5-1}</t>
  </si>
  <si>
    <t>{$MNCL6-1}</t>
  </si>
  <si>
    <t>{$MNCL7-1}</t>
  </si>
  <si>
    <t>{$MNCL8-1}</t>
  </si>
  <si>
    <t>{$MNCL9-1}</t>
  </si>
  <si>
    <t>{$MNCL10-1}</t>
  </si>
  <si>
    <t>{$MNCL11-1}</t>
  </si>
  <si>
    <t>{$MNCL-1}</t>
  </si>
  <si>
    <t>{$ML-1}</t>
  </si>
  <si>
    <t>{$ME1-1}</t>
  </si>
  <si>
    <t>{$ME2-1}</t>
  </si>
  <si>
    <t>{$ME3-1}</t>
  </si>
  <si>
    <t>{$ME4-1}</t>
  </si>
  <si>
    <t>{$ME5-1}</t>
  </si>
  <si>
    <t>{$ME6-1}</t>
  </si>
  <si>
    <t>{$ME7-1}</t>
  </si>
  <si>
    <t>{$ME8-1}</t>
  </si>
  <si>
    <t>{$ME9-1}</t>
  </si>
  <si>
    <t>{$ME10-1}</t>
  </si>
  <si>
    <t>{$ME-1}</t>
  </si>
  <si>
    <t>{$IN1-4}</t>
  </si>
  <si>
    <t>{$IN2-4}</t>
  </si>
  <si>
    <t>{$IN3-4}</t>
  </si>
  <si>
    <t>{$IN4-4}</t>
  </si>
  <si>
    <t>{$IN5-4}</t>
  </si>
  <si>
    <t>{$IN6-4}</t>
  </si>
  <si>
    <t>{$IN7-4}</t>
  </si>
  <si>
    <t>{$IN8-4}</t>
  </si>
  <si>
    <t>{$IN9-4}</t>
  </si>
  <si>
    <t>{$IN10-4}</t>
  </si>
  <si>
    <t>{$IN11-4}</t>
  </si>
  <si>
    <t>{$IN12-4}</t>
  </si>
  <si>
    <t>{$IN13-4}</t>
  </si>
  <si>
    <t>{$IN14-4}</t>
  </si>
  <si>
    <t>{$IN15-4}</t>
  </si>
  <si>
    <t>{$IN16-4}</t>
  </si>
  <si>
    <t>{$IN17-4}</t>
  </si>
  <si>
    <t>{$IN18-4}</t>
  </si>
  <si>
    <t>{$IN19-4}</t>
  </si>
  <si>
    <t>{$IN20-4}</t>
  </si>
  <si>
    <t>{$IN21-4}</t>
  </si>
  <si>
    <t>{$IN22-4}</t>
  </si>
  <si>
    <t>{$IN23-4}</t>
  </si>
  <si>
    <t>{$IN24-4}</t>
  </si>
  <si>
    <t>{$IN25-4}</t>
  </si>
  <si>
    <t>{$IN26-4}</t>
  </si>
  <si>
    <t>{$IN27-4}</t>
  </si>
  <si>
    <t>{$IN28-4}</t>
  </si>
  <si>
    <t>{$IN29-4}</t>
  </si>
  <si>
    <t>{$IN30-4}</t>
  </si>
  <si>
    <t>{$IN31-4}</t>
  </si>
  <si>
    <t>{$IN32-4}</t>
  </si>
  <si>
    <t>{$IN33-4}</t>
  </si>
  <si>
    <t>{$IN34-4}</t>
  </si>
  <si>
    <t>{$IN35-4}</t>
  </si>
  <si>
    <t>{$IN36-4}</t>
  </si>
  <si>
    <t>{$IN37-4}</t>
  </si>
  <si>
    <t>{$IN38-4}</t>
  </si>
  <si>
    <t>{$IN39-4}</t>
  </si>
  <si>
    <t>{$IN40-4}</t>
  </si>
  <si>
    <t>{$IN41-4}</t>
  </si>
  <si>
    <t>{$IN1-3}</t>
  </si>
  <si>
    <t>{$IN2-3}</t>
  </si>
  <si>
    <t>{$IN3-3}</t>
  </si>
  <si>
    <t>{$IN4-3}</t>
  </si>
  <si>
    <t>{$IN5-3}</t>
  </si>
  <si>
    <t>{$IN6-3}</t>
  </si>
  <si>
    <t>{$IN7-3}</t>
  </si>
  <si>
    <t>{$IN8-3}</t>
  </si>
  <si>
    <t>{$IN9-3}</t>
  </si>
  <si>
    <t>{$IN10-3}</t>
  </si>
  <si>
    <t>{$IN11-3}</t>
  </si>
  <si>
    <t>{$IN12-3}</t>
  </si>
  <si>
    <t>{$IN13-3}</t>
  </si>
  <si>
    <t>{$IN14-3}</t>
  </si>
  <si>
    <t>{$IN15-3}</t>
  </si>
  <si>
    <t>{$IN16-3}</t>
  </si>
  <si>
    <t>{$IN17-3}</t>
  </si>
  <si>
    <t>{$IN18-3}</t>
  </si>
  <si>
    <t>{$IN19-3}</t>
  </si>
  <si>
    <t>{$IN20-3}</t>
  </si>
  <si>
    <t>{$IN21-3}</t>
  </si>
  <si>
    <t>{$IN22-3}</t>
  </si>
  <si>
    <t>{$IN23-3}</t>
  </si>
  <si>
    <t>{$IN24-3}</t>
  </si>
  <si>
    <t>{$IN25-3}</t>
  </si>
  <si>
    <t>{$IN26-3}</t>
  </si>
  <si>
    <t>{$IN27-3}</t>
  </si>
  <si>
    <t>{$IN28-3}</t>
  </si>
  <si>
    <t>{$IN29-3}</t>
  </si>
  <si>
    <t>{$IN30-3}</t>
  </si>
  <si>
    <t>{$IN31-3}</t>
  </si>
  <si>
    <t>{$IN32-3}</t>
  </si>
  <si>
    <t>{$IN33-3}</t>
  </si>
  <si>
    <t>{$IN34-3}</t>
  </si>
  <si>
    <t>{$IN35-3}</t>
  </si>
  <si>
    <t>{$IN36-3}</t>
  </si>
  <si>
    <t>{$IN37-3}</t>
  </si>
  <si>
    <t>{$IN38-3}</t>
  </si>
  <si>
    <t>{$IN39-3}</t>
  </si>
  <si>
    <t>{$IN40-3}</t>
  </si>
  <si>
    <t>{$IN41-3}</t>
  </si>
  <si>
    <t>{$IN1-1}</t>
  </si>
  <si>
    <t>{$IN2-1}</t>
  </si>
  <si>
    <t>{$IN3-1}</t>
  </si>
  <si>
    <t>{$IN4-1}</t>
  </si>
  <si>
    <t>{$IN5-1}</t>
  </si>
  <si>
    <t>{$IN6-1}</t>
  </si>
  <si>
    <t>{$IN7-1}</t>
  </si>
  <si>
    <t>{$IN8-1}</t>
  </si>
  <si>
    <t>{$IN9-1}</t>
  </si>
  <si>
    <t>{$IN10-1}</t>
  </si>
  <si>
    <t>{$IN11-1}</t>
  </si>
  <si>
    <t>{$IN12-1}</t>
  </si>
  <si>
    <t>{$IN13-1}</t>
  </si>
  <si>
    <t>{$IN14-1}</t>
  </si>
  <si>
    <t>{$IN15-1}</t>
  </si>
  <si>
    <t>{$IN16-1}</t>
  </si>
  <si>
    <t>{$IN17-1}</t>
  </si>
  <si>
    <t>{$IN18-1}</t>
  </si>
  <si>
    <t>{$IN19-1}</t>
  </si>
  <si>
    <t>{$IN20-1}</t>
  </si>
  <si>
    <t>{$IN21-1}</t>
  </si>
  <si>
    <t>{$IN22-1}</t>
  </si>
  <si>
    <t>{$IN23-1}</t>
  </si>
  <si>
    <t>{$IN24-1}</t>
  </si>
  <si>
    <t>{$IN25-1}</t>
  </si>
  <si>
    <t>{$IN26-1}</t>
  </si>
  <si>
    <t>{$IN27-1}</t>
  </si>
  <si>
    <t>{$IN28-1}</t>
  </si>
  <si>
    <t>{$IN29-1}</t>
  </si>
  <si>
    <t>{$IN30-1}</t>
  </si>
  <si>
    <t>{$IN31-1}</t>
  </si>
  <si>
    <t>{$IN32-1}</t>
  </si>
  <si>
    <t>{$IN33-1}</t>
  </si>
  <si>
    <t>{$IN34-1}</t>
  </si>
  <si>
    <t>{$IN35-1}</t>
  </si>
  <si>
    <t>{$IN36-1}</t>
  </si>
  <si>
    <t>{$IN37-1}</t>
  </si>
  <si>
    <t>{$IN38-1}</t>
  </si>
  <si>
    <t>{$IN39-1}</t>
  </si>
  <si>
    <t>{$IN40-1}</t>
  </si>
  <si>
    <t>{$IN41-1}</t>
  </si>
  <si>
    <t>{$IN1-2}</t>
  </si>
  <si>
    <t>{$IN2-2}</t>
  </si>
  <si>
    <t>{$IN3-2}</t>
  </si>
  <si>
    <t>{$IN4-2}</t>
  </si>
  <si>
    <t>{$IN5-2}</t>
  </si>
  <si>
    <t>{$IN6-2}</t>
  </si>
  <si>
    <t>{$IN7-2}</t>
  </si>
  <si>
    <t>{$IN8-2}</t>
  </si>
  <si>
    <t>{$IN9-2}</t>
  </si>
  <si>
    <t>{$IN10-2}</t>
  </si>
  <si>
    <t>{$IN11-2}</t>
  </si>
  <si>
    <t>{$IN12-2}</t>
  </si>
  <si>
    <t>{$IN13-2}</t>
  </si>
  <si>
    <t>{$IN14-2}</t>
  </si>
  <si>
    <t>{$IN15-2}</t>
  </si>
  <si>
    <t>{$IN16-2}</t>
  </si>
  <si>
    <t>{$IN17-2}</t>
  </si>
  <si>
    <t>{$IN18-2}</t>
  </si>
  <si>
    <t>{$IN19-2}</t>
  </si>
  <si>
    <t>{$IN20-2}</t>
  </si>
  <si>
    <t>{$IN21-2}</t>
  </si>
  <si>
    <t>{$IN22-2}</t>
  </si>
  <si>
    <t>{$IN23-2}</t>
  </si>
  <si>
    <t>{$IN24-2}</t>
  </si>
  <si>
    <t>{$IN25-2}</t>
  </si>
  <si>
    <t>{$IN26-2}</t>
  </si>
  <si>
    <t>{$IN27-2}</t>
  </si>
  <si>
    <t>{$IN28-2}</t>
  </si>
  <si>
    <t>{$IN29-2}</t>
  </si>
  <si>
    <t>{$IN30-2}</t>
  </si>
  <si>
    <t>{$IN31-2}</t>
  </si>
  <si>
    <t>{$IN32-2}</t>
  </si>
  <si>
    <t>{$IN33-2}</t>
  </si>
  <si>
    <t>{$IN34-2}</t>
  </si>
  <si>
    <t>{$IN35-2}</t>
  </si>
  <si>
    <t>{$IN36-2}</t>
  </si>
  <si>
    <t>{$IN37-2}</t>
  </si>
  <si>
    <t>{$IN38-2}</t>
  </si>
  <si>
    <t>{$IN39-2}</t>
  </si>
  <si>
    <t>{$IN40-2}</t>
  </si>
  <si>
    <t>{$IN41-2}</t>
  </si>
  <si>
    <t>{$N1}</t>
  </si>
  <si>
    <t>{$N2}</t>
  </si>
  <si>
    <t>{$N3}</t>
  </si>
  <si>
    <t>{$N4}</t>
  </si>
  <si>
    <t>{$O1-4}</t>
  </si>
  <si>
    <t>{$O2-4}</t>
  </si>
  <si>
    <t>{$O3-4}</t>
  </si>
  <si>
    <t>{$O4-4}</t>
  </si>
  <si>
    <t>{$O5-4}</t>
  </si>
  <si>
    <t>{$O6-4}</t>
  </si>
  <si>
    <t>{$O7-4}</t>
  </si>
  <si>
    <t>{$O8-4}</t>
  </si>
  <si>
    <t>{$O9-4}</t>
  </si>
  <si>
    <t>{$O-4}</t>
  </si>
  <si>
    <t>{$I1-4}</t>
  </si>
  <si>
    <t>{$I2-4}</t>
  </si>
  <si>
    <t>{$I3-4}</t>
  </si>
  <si>
    <t>{$I4-4}</t>
  </si>
  <si>
    <t>{$I5-4}</t>
  </si>
  <si>
    <t>{$I6-4}</t>
  </si>
  <si>
    <t>{$I7-4}</t>
  </si>
  <si>
    <t>{$I8-4}</t>
  </si>
  <si>
    <t>{$I9-4}</t>
  </si>
  <si>
    <t>{$I10-4}</t>
  </si>
  <si>
    <t>{$I11-4}</t>
  </si>
  <si>
    <t>{$I-4}</t>
  </si>
  <si>
    <t>{$F1-4}</t>
  </si>
  <si>
    <t>{$F2-4}</t>
  </si>
  <si>
    <t>{$F3-4}</t>
  </si>
  <si>
    <t>{$F4-4}</t>
  </si>
  <si>
    <t>{$F5-4}</t>
  </si>
  <si>
    <t>{$F6-4}</t>
  </si>
  <si>
    <t>{$F7-4}</t>
  </si>
  <si>
    <t>{$F8-4}</t>
  </si>
  <si>
    <t>{$F9-4}</t>
  </si>
  <si>
    <t>{$F-4}</t>
  </si>
  <si>
    <t>{$R-4}</t>
  </si>
  <si>
    <t>{$C-4}</t>
  </si>
  <si>
    <t>{$C(a)-4}</t>
  </si>
  <si>
    <t>{$C(z)-4}</t>
  </si>
  <si>
    <t>{$O1-3}</t>
  </si>
  <si>
    <t>{$O2-3}</t>
  </si>
  <si>
    <t>{$O3-3}</t>
  </si>
  <si>
    <t>{$O4-3}</t>
  </si>
  <si>
    <t>{$O5-3}</t>
  </si>
  <si>
    <t>{$O6-3}</t>
  </si>
  <si>
    <t>{$O7-3}</t>
  </si>
  <si>
    <t>{$O8-3}</t>
  </si>
  <si>
    <t>{$O9-3}</t>
  </si>
  <si>
    <t>{$O-3}</t>
  </si>
  <si>
    <t>{$I1-3}</t>
  </si>
  <si>
    <t>{$I2-3}</t>
  </si>
  <si>
    <t>{$I3-3}</t>
  </si>
  <si>
    <t>{$I4-3}</t>
  </si>
  <si>
    <t>{$I5-3}</t>
  </si>
  <si>
    <t>{$I6-3}</t>
  </si>
  <si>
    <t>{$I7-3}</t>
  </si>
  <si>
    <t>{$I8-3}</t>
  </si>
  <si>
    <t>{$I9-3}</t>
  </si>
  <si>
    <t>{$I10-3}</t>
  </si>
  <si>
    <t>{$I11-3}</t>
  </si>
  <si>
    <t>{$I-3}</t>
  </si>
  <si>
    <t>{$F1-3}</t>
  </si>
  <si>
    <t>{$F2-3}</t>
  </si>
  <si>
    <t>{$F3-3}</t>
  </si>
  <si>
    <t>{$F4-3}</t>
  </si>
  <si>
    <t>{$F5-3}</t>
  </si>
  <si>
    <t>{$F6-3}</t>
  </si>
  <si>
    <t>{$F7-3}</t>
  </si>
  <si>
    <t>{$F8-3}</t>
  </si>
  <si>
    <t>{$F9-3}</t>
  </si>
  <si>
    <t>{$F-3}</t>
  </si>
  <si>
    <t>{$R-3}</t>
  </si>
  <si>
    <t>{$C-3}</t>
  </si>
  <si>
    <t>{$C(a)-3}</t>
  </si>
  <si>
    <t>{$C(z)-3}</t>
  </si>
  <si>
    <t>{$O1-2}</t>
  </si>
  <si>
    <t>{$O2-2}</t>
  </si>
  <si>
    <t>{$O3-2}</t>
  </si>
  <si>
    <t>{$O4-2}</t>
  </si>
  <si>
    <t>{$O5-2}</t>
  </si>
  <si>
    <t>{$O6-2}</t>
  </si>
  <si>
    <t>{$O7-2}</t>
  </si>
  <si>
    <t>{$O8-2}</t>
  </si>
  <si>
    <t>{$O9-2}</t>
  </si>
  <si>
    <t>{$O-2}</t>
  </si>
  <si>
    <t>{$I1-2}</t>
  </si>
  <si>
    <t>{$I2-2}</t>
  </si>
  <si>
    <t>{$I3-2}</t>
  </si>
  <si>
    <t>{$I4-2}</t>
  </si>
  <si>
    <t>{$I5-2}</t>
  </si>
  <si>
    <t>{$I6-2}</t>
  </si>
  <si>
    <t>{$I7-2}</t>
  </si>
  <si>
    <t>{$I8-2}</t>
  </si>
  <si>
    <t>{$I9-2}</t>
  </si>
  <si>
    <t>{$I10-2}</t>
  </si>
  <si>
    <t>{$I11-2}</t>
  </si>
  <si>
    <t>{$I-2}</t>
  </si>
  <si>
    <t>{$F1-2}</t>
  </si>
  <si>
    <t>{$F2-2}</t>
  </si>
  <si>
    <t>{$F3-2}</t>
  </si>
  <si>
    <t>{$F4-2}</t>
  </si>
  <si>
    <t>{$F5-2}</t>
  </si>
  <si>
    <t>{$F6-2}</t>
  </si>
  <si>
    <t>{$F7-2}</t>
  </si>
  <si>
    <t>{$F8-2}</t>
  </si>
  <si>
    <t>{$F9-2}</t>
  </si>
  <si>
    <t>{$F-2}</t>
  </si>
  <si>
    <t>{$R-2}</t>
  </si>
  <si>
    <t>{$C-2}</t>
  </si>
  <si>
    <t>{$C(a)-2}</t>
  </si>
  <si>
    <t>{$C(z)-2}</t>
  </si>
  <si>
    <t>{$O1-1}</t>
  </si>
  <si>
    <t>{$O2-1}</t>
  </si>
  <si>
    <t>{$O3-1}</t>
  </si>
  <si>
    <t>{$O4-1}</t>
  </si>
  <si>
    <t>{$O5-1}</t>
  </si>
  <si>
    <t>{$O6-1}</t>
  </si>
  <si>
    <t>{$O7-1}</t>
  </si>
  <si>
    <t>{$O8-1}</t>
  </si>
  <si>
    <t>{$O9-1}</t>
  </si>
  <si>
    <t>{$O-1}</t>
  </si>
  <si>
    <t>{$I1-1}</t>
  </si>
  <si>
    <t>{$I2-1}</t>
  </si>
  <si>
    <t>{$I3-1}</t>
  </si>
  <si>
    <t>{$I4-1}</t>
  </si>
  <si>
    <t>{$I5-1}</t>
  </si>
  <si>
    <t>{$I6-1}</t>
  </si>
  <si>
    <t>{$I7-1}</t>
  </si>
  <si>
    <t>{$I8-1}</t>
  </si>
  <si>
    <t>{$I9-1}</t>
  </si>
  <si>
    <t>{$I10-1}</t>
  </si>
  <si>
    <t>{$I11-1}</t>
  </si>
  <si>
    <t>{$I-1}</t>
  </si>
  <si>
    <t>{$F1-1}</t>
  </si>
  <si>
    <t>{$F2-1}</t>
  </si>
  <si>
    <t>{$F3-1}</t>
  </si>
  <si>
    <t>{$F4-1}</t>
  </si>
  <si>
    <t>{$F5-1}</t>
  </si>
  <si>
    <t>{$F6-1}</t>
  </si>
  <si>
    <t>{$F7-1}</t>
  </si>
  <si>
    <t>{$F8-1}</t>
  </si>
  <si>
    <t>{$F9-1}</t>
  </si>
  <si>
    <t>{$F-1}</t>
  </si>
  <si>
    <t>{$R-1}</t>
  </si>
  <si>
    <t>{$C-1}</t>
  </si>
  <si>
    <t>{$C(a)-1}</t>
  </si>
  <si>
    <t>{$C(z)-1}</t>
  </si>
  <si>
    <t>{$MIN1-4}</t>
  </si>
  <si>
    <t>{$MIN2-4}</t>
  </si>
  <si>
    <t>{$MIN3-4}</t>
  </si>
  <si>
    <t>{$MIN4-4}</t>
  </si>
  <si>
    <t>{$MIN5-4}</t>
  </si>
  <si>
    <t>{$MIN6-4}</t>
  </si>
  <si>
    <t>{$MIN7-4}</t>
  </si>
  <si>
    <t>{$MIN8-4}</t>
  </si>
  <si>
    <t>{$MIN9-4}</t>
  </si>
  <si>
    <t>{$MIN10-4}</t>
  </si>
  <si>
    <t>{$MIN11-4}</t>
  </si>
  <si>
    <t>{$MIN12-4}</t>
  </si>
  <si>
    <t>{$MIN13-4}</t>
  </si>
  <si>
    <t>{$MIN14-4}</t>
  </si>
  <si>
    <t>{$MIN15-4}</t>
  </si>
  <si>
    <t>{$MIN16-4}</t>
  </si>
  <si>
    <t>{$MIN17-4}</t>
  </si>
  <si>
    <t>{$MIN18-4}</t>
  </si>
  <si>
    <t>{$MIN19-4}</t>
  </si>
  <si>
    <t>{$MIN20-4}</t>
  </si>
  <si>
    <t>{$MIN21-4}</t>
  </si>
  <si>
    <t>{$MIN23-4}</t>
  </si>
  <si>
    <t>{$MIN28-4}</t>
  </si>
  <si>
    <t>{$MIN30-4}</t>
  </si>
  <si>
    <t>{$MIN31-4}</t>
  </si>
  <si>
    <t>{$MIN32-4}</t>
  </si>
  <si>
    <t>{$MIN33-4}</t>
  </si>
  <si>
    <t>{$MIN34-4}</t>
  </si>
  <si>
    <t>{$MIN35-4}</t>
  </si>
  <si>
    <t>{$MIN36-4}</t>
  </si>
  <si>
    <t>{$MIN37-4}</t>
  </si>
  <si>
    <t>{$MIN39-4}</t>
  </si>
  <si>
    <t>{$MIN1-3}</t>
  </si>
  <si>
    <t>{$MIN2-3}</t>
  </si>
  <si>
    <t>{$MIN3-3}</t>
  </si>
  <si>
    <t>{$MIN4-3}</t>
  </si>
  <si>
    <t>{$MIN5-3}</t>
  </si>
  <si>
    <t>{$MIN6-3}</t>
  </si>
  <si>
    <t>{$MIN7-3}</t>
  </si>
  <si>
    <t>{$MIN8-3}</t>
  </si>
  <si>
    <t>{$MIN9-3}</t>
  </si>
  <si>
    <t>{$MIN10-3}</t>
  </si>
  <si>
    <t>{$MIN11-3}</t>
  </si>
  <si>
    <t>{$MIN12-3}</t>
  </si>
  <si>
    <t>{$MIN13-3}</t>
  </si>
  <si>
    <t>{$MIN14-3}</t>
  </si>
  <si>
    <t>{$MIN15-3}</t>
  </si>
  <si>
    <t>{$MIN16-3}</t>
  </si>
  <si>
    <t>{$MIN17-3}</t>
  </si>
  <si>
    <t>{$MIN18-3}</t>
  </si>
  <si>
    <t>{$MIN19-3}</t>
  </si>
  <si>
    <t>{$MIN20-3}</t>
  </si>
  <si>
    <t>{$MIN21-3}</t>
  </si>
  <si>
    <t>{$MIN23-3}</t>
  </si>
  <si>
    <t>{$MIN28-3}</t>
  </si>
  <si>
    <t>{$MIN30-3}</t>
  </si>
  <si>
    <t>{$MIN31-3}</t>
  </si>
  <si>
    <t>{$MIN32-3}</t>
  </si>
  <si>
    <t>{$MIN33-3}</t>
  </si>
  <si>
    <t>{$MIN34-3}</t>
  </si>
  <si>
    <t>{$MIN35-3}</t>
  </si>
  <si>
    <t>{$MIN36-3}</t>
  </si>
  <si>
    <t>{$MIN37-3}</t>
  </si>
  <si>
    <t>{$MIN39-3}</t>
  </si>
  <si>
    <t>{$MIN1-2}</t>
  </si>
  <si>
    <t>{$MIN2-2}</t>
  </si>
  <si>
    <t>{$MIN3-2}</t>
  </si>
  <si>
    <t>{$MIN4-2}</t>
  </si>
  <si>
    <t>{$MIN5-2}</t>
  </si>
  <si>
    <t>{$MIN6-2}</t>
  </si>
  <si>
    <t>{$MIN7-2}</t>
  </si>
  <si>
    <t>{$MIN8-2}</t>
  </si>
  <si>
    <t>{$MIN9-2}</t>
  </si>
  <si>
    <t>{$MIN10-2}</t>
  </si>
  <si>
    <t>{$MIN11-2}</t>
  </si>
  <si>
    <t>{$MIN12-2}</t>
  </si>
  <si>
    <t>{$MIN13-2}</t>
  </si>
  <si>
    <t>{$MIN14-2}</t>
  </si>
  <si>
    <t>{$MIN15-2}</t>
  </si>
  <si>
    <t>{$MIN16-2}</t>
  </si>
  <si>
    <t>{$MIN17-2}</t>
  </si>
  <si>
    <t>{$MIN18-2}</t>
  </si>
  <si>
    <t>{$MIN19-2}</t>
  </si>
  <si>
    <t>{$MIN20-2}</t>
  </si>
  <si>
    <t>{$MIN21-2}</t>
  </si>
  <si>
    <t>{$MIN23-2}</t>
  </si>
  <si>
    <t>{$MIN28-2}</t>
  </si>
  <si>
    <t>{$MIN30-2}</t>
  </si>
  <si>
    <t>{$MIN31-2}</t>
  </si>
  <si>
    <t>{$MIN32-2}</t>
  </si>
  <si>
    <t>{$MIN33-2}</t>
  </si>
  <si>
    <t>{$MIN34-2}</t>
  </si>
  <si>
    <t>{$MIN35-2}</t>
  </si>
  <si>
    <t>{$MIN36-2}</t>
  </si>
  <si>
    <t>{$MIN37-2}</t>
  </si>
  <si>
    <t>{$MIN39-2}</t>
  </si>
  <si>
    <t>{$MIN1-1}</t>
  </si>
  <si>
    <t>{$MIN2-1}</t>
  </si>
  <si>
    <t>{$MIN3-1}</t>
  </si>
  <si>
    <t>{$MIN4-1}</t>
  </si>
  <si>
    <t>{$MIN5-1}</t>
  </si>
  <si>
    <t>{$MIN6-1}</t>
  </si>
  <si>
    <t>{$MIN7-1}</t>
  </si>
  <si>
    <t>{$MIN8-1}</t>
  </si>
  <si>
    <t>{$MIN9-1}</t>
  </si>
  <si>
    <t>{$MIN10-1}</t>
  </si>
  <si>
    <t>{$MIN11-1}</t>
  </si>
  <si>
    <t>{$MIN12-1}</t>
  </si>
  <si>
    <t>{$MIN13-1}</t>
  </si>
  <si>
    <t>{$MIN14-1}</t>
  </si>
  <si>
    <t>{$MIN15-1}</t>
  </si>
  <si>
    <t>{$MIN16-1}</t>
  </si>
  <si>
    <t>{$MIN17-1}</t>
  </si>
  <si>
    <t>{$MIN18-1}</t>
  </si>
  <si>
    <t>{$MIN19-1}</t>
  </si>
  <si>
    <t>{$MIN20-1}</t>
  </si>
  <si>
    <t>{$MIN21-1}</t>
  </si>
  <si>
    <t>{$MIN23-1}</t>
  </si>
  <si>
    <t>{$MIN28-1}</t>
  </si>
  <si>
    <t>{$MIN30-1}</t>
  </si>
  <si>
    <t>{$MIN31-1}</t>
  </si>
  <si>
    <t>{$MIN32-1}</t>
  </si>
  <si>
    <t>{$MIN33-1}</t>
  </si>
  <si>
    <t>{$MIN34-1}</t>
  </si>
  <si>
    <t>{$MIN35-1}</t>
  </si>
  <si>
    <t>{$MIN36-1}</t>
  </si>
  <si>
    <t>{$MIN37-1}</t>
  </si>
  <si>
    <t>{$MIN39-1}</t>
  </si>
  <si>
    <t>{$MO1-4}</t>
  </si>
  <si>
    <t>{$MO2-4}</t>
  </si>
  <si>
    <t>{$MO3-4}</t>
  </si>
  <si>
    <t>{$MO4-4}</t>
  </si>
  <si>
    <t>{$MO5-4}</t>
  </si>
  <si>
    <t>{$MO6-4}</t>
  </si>
  <si>
    <t>{$MO7-4}</t>
  </si>
  <si>
    <t>{$MO8-4}</t>
  </si>
  <si>
    <t>{$MO9-4}</t>
  </si>
  <si>
    <t>{$MO-4}</t>
  </si>
  <si>
    <t>{$MI1-4}</t>
  </si>
  <si>
    <t>{$MI2-4}</t>
  </si>
  <si>
    <t>{$MI3-4}</t>
  </si>
  <si>
    <t>{$MI4-4}</t>
  </si>
  <si>
    <t>{$MI5-4}</t>
  </si>
  <si>
    <t>{$MI6-4}</t>
  </si>
  <si>
    <t>{$MI7-4}</t>
  </si>
  <si>
    <t>{$MI8-4}</t>
  </si>
  <si>
    <t>{$MI9-4}</t>
  </si>
  <si>
    <t>{$MI10-4}</t>
  </si>
  <si>
    <t>{$MI11-4}</t>
  </si>
  <si>
    <t>{$MI-4}</t>
  </si>
  <si>
    <t>{$MF1-4}</t>
  </si>
  <si>
    <t>{$MF2-4}</t>
  </si>
  <si>
    <t>{$MF3-4}</t>
  </si>
  <si>
    <t>{$MF4-4}</t>
  </si>
  <si>
    <t>{$MF5-4}</t>
  </si>
  <si>
    <t>{$MF6-4}</t>
  </si>
  <si>
    <t>{$MF7-4}</t>
  </si>
  <si>
    <t>{$MF8-4}</t>
  </si>
  <si>
    <t>{$MF9-4}</t>
  </si>
  <si>
    <t>{$MF-4}</t>
  </si>
  <si>
    <t>{$MR-4}</t>
  </si>
  <si>
    <t>{$MC-4}</t>
  </si>
  <si>
    <t>{$MC(a)-4}</t>
  </si>
  <si>
    <t>{$MC(z)-4}</t>
  </si>
  <si>
    <t>{$MO1-3}</t>
  </si>
  <si>
    <t>{$MO2-3}</t>
  </si>
  <si>
    <t>{$MO3-3}</t>
  </si>
  <si>
    <t>{$MO4-3}</t>
  </si>
  <si>
    <t>{$MO5-3}</t>
  </si>
  <si>
    <t>{$MO6-3}</t>
  </si>
  <si>
    <t>{$MO7-3}</t>
  </si>
  <si>
    <t>{$MO8-3}</t>
  </si>
  <si>
    <t>{$MO9-3}</t>
  </si>
  <si>
    <t>{$MO-3}</t>
  </si>
  <si>
    <t>{$MI1-3}</t>
  </si>
  <si>
    <t>{$MI2-3}</t>
  </si>
  <si>
    <t>{$MI3-3}</t>
  </si>
  <si>
    <t>{$MI4-3}</t>
  </si>
  <si>
    <t>{$MI5-3}</t>
  </si>
  <si>
    <t>{$MI6-3}</t>
  </si>
  <si>
    <t>{$MI7-3}</t>
  </si>
  <si>
    <t>{$MI8-3}</t>
  </si>
  <si>
    <t>{$MI9-3}</t>
  </si>
  <si>
    <t>{$MI10-3}</t>
  </si>
  <si>
    <t>{$MI11-3}</t>
  </si>
  <si>
    <t>{$MI-3}</t>
  </si>
  <si>
    <t>{$MF1-3}</t>
  </si>
  <si>
    <t>{$MF2-3}</t>
  </si>
  <si>
    <t>{$MF3-3}</t>
  </si>
  <si>
    <t>{$MF4-3}</t>
  </si>
  <si>
    <t>{$MF5-3}</t>
  </si>
  <si>
    <t>{$MF6-3}</t>
  </si>
  <si>
    <t>{$MF7-3}</t>
  </si>
  <si>
    <t>{$MF8-3}</t>
  </si>
  <si>
    <t>{$MF9-3}</t>
  </si>
  <si>
    <t>{$MF-3}</t>
  </si>
  <si>
    <t>{$MR-3}</t>
  </si>
  <si>
    <t>{$MC-3}</t>
  </si>
  <si>
    <t>{$MC(a)-3}</t>
  </si>
  <si>
    <t>{$MC(z)-3}</t>
  </si>
  <si>
    <t>{$MO1-2}</t>
  </si>
  <si>
    <t>{$MO2-2}</t>
  </si>
  <si>
    <t>{$MO3-2}</t>
  </si>
  <si>
    <t>{$MO4-2}</t>
  </si>
  <si>
    <t>{$MO5-2}</t>
  </si>
  <si>
    <t>{$MO6-2}</t>
  </si>
  <si>
    <t>{$MO7-2}</t>
  </si>
  <si>
    <t>{$MO8-2}</t>
  </si>
  <si>
    <t>{$MO9-2}</t>
  </si>
  <si>
    <t>{$MO-2}</t>
  </si>
  <si>
    <t>{$MI1-2}</t>
  </si>
  <si>
    <t>{$MI2-2}</t>
  </si>
  <si>
    <t>{$MI3-2}</t>
  </si>
  <si>
    <t>{$MI4-2}</t>
  </si>
  <si>
    <t>{$MI5-2}</t>
  </si>
  <si>
    <t>{$MI6-2}</t>
  </si>
  <si>
    <t>{$MI7-2}</t>
  </si>
  <si>
    <t>{$MI8-2}</t>
  </si>
  <si>
    <t>{$MI9-2}</t>
  </si>
  <si>
    <t>{$MI10-2}</t>
  </si>
  <si>
    <t>{$MI11-2}</t>
  </si>
  <si>
    <t>{$MI-2}</t>
  </si>
  <si>
    <t>{$MF1-2}</t>
  </si>
  <si>
    <t>{$MF2-2}</t>
  </si>
  <si>
    <t>{$MF3-2}</t>
  </si>
  <si>
    <t>{$MF4-2}</t>
  </si>
  <si>
    <t>{$MF5-2}</t>
  </si>
  <si>
    <t>{$MF6-2}</t>
  </si>
  <si>
    <t>{$MF7-2}</t>
  </si>
  <si>
    <t>{$MF8-2}</t>
  </si>
  <si>
    <t>{$MF9-2}</t>
  </si>
  <si>
    <t>{$MF-2}</t>
  </si>
  <si>
    <t>{$MR-2}</t>
  </si>
  <si>
    <t>{$MC-2}</t>
  </si>
  <si>
    <t>{$MC(a)-2}</t>
  </si>
  <si>
    <t>{$MC(z)-2}</t>
  </si>
  <si>
    <t>{$MO1-1}</t>
  </si>
  <si>
    <t>{$MO2-1}</t>
  </si>
  <si>
    <t>{$MO3-1}</t>
  </si>
  <si>
    <t>{$MO4-1}</t>
  </si>
  <si>
    <t>{$MO5-1}</t>
  </si>
  <si>
    <t>{$MO6-1}</t>
  </si>
  <si>
    <t>{$MO7-1}</t>
  </si>
  <si>
    <t>{$MO8-1}</t>
  </si>
  <si>
    <t>{$MO9-1}</t>
  </si>
  <si>
    <t>{$MO-1}</t>
  </si>
  <si>
    <t>{$MI1-1}</t>
  </si>
  <si>
    <t>{$MI2-1}</t>
  </si>
  <si>
    <t>{$MI3-1}</t>
  </si>
  <si>
    <t>{$MI4-1}</t>
  </si>
  <si>
    <t>{$MI5-1}</t>
  </si>
  <si>
    <t>{$MI6-1}</t>
  </si>
  <si>
    <t>{$MI7-1}</t>
  </si>
  <si>
    <t>{$MI8-1}</t>
  </si>
  <si>
    <t>{$MI9-1}</t>
  </si>
  <si>
    <t>{$MI10-1}</t>
  </si>
  <si>
    <t>{$MI11-1}</t>
  </si>
  <si>
    <t>{$MI-1}</t>
  </si>
  <si>
    <t>{$MF1-1}</t>
  </si>
  <si>
    <t>{$MF2-1}</t>
  </si>
  <si>
    <t>{$MF3-1}</t>
  </si>
  <si>
    <t>{$MF4-1}</t>
  </si>
  <si>
    <t>{$MF5-1}</t>
  </si>
  <si>
    <t>{$MF6-1}</t>
  </si>
  <si>
    <t>{$MF7-1}</t>
  </si>
  <si>
    <t>{$MF8-1}</t>
  </si>
  <si>
    <t>{$MF9-1}</t>
  </si>
  <si>
    <t>{$MF-1}</t>
  </si>
  <si>
    <t>{$MR-1}</t>
  </si>
  <si>
    <t>{$MC-1}</t>
  </si>
  <si>
    <t>{$MC(a)-1}</t>
  </si>
  <si>
    <t>{$MC(z)-1}</t>
  </si>
  <si>
    <t>其中：优先股</t>
    <phoneticPr fontId="1" type="noConversion"/>
  </si>
  <si>
    <t>流动资产：</t>
  </si>
  <si>
    <t>非流动资产：</t>
  </si>
  <si>
    <t>流动负债：</t>
  </si>
  <si>
    <t>非流动负债：</t>
  </si>
  <si>
    <t>所有者权益：</t>
  </si>
  <si>
    <t>核查</t>
    <phoneticPr fontId="1" type="noConversion"/>
  </si>
  <si>
    <t>流动资产</t>
    <phoneticPr fontId="1" type="noConversion"/>
  </si>
  <si>
    <t>非流动资产</t>
    <phoneticPr fontId="1" type="noConversion"/>
  </si>
  <si>
    <t>资产合计</t>
    <phoneticPr fontId="1" type="noConversion"/>
  </si>
  <si>
    <t>流动负债</t>
    <phoneticPr fontId="1" type="noConversion"/>
  </si>
  <si>
    <t>非流动负债</t>
    <phoneticPr fontId="1" type="noConversion"/>
  </si>
  <si>
    <t>负债合计</t>
    <phoneticPr fontId="1" type="noConversion"/>
  </si>
  <si>
    <t>归母所有者权益合计</t>
    <phoneticPr fontId="1" type="noConversion"/>
  </si>
  <si>
    <t>所有者权益合计</t>
    <phoneticPr fontId="1" type="noConversion"/>
  </si>
  <si>
    <t>平衡</t>
    <phoneticPr fontId="1" type="noConversion"/>
  </si>
  <si>
    <t xml:space="preserve">      应收利息</t>
    <phoneticPr fontId="1" type="noConversion"/>
  </si>
  <si>
    <t xml:space="preserve">      其他应收款</t>
    <phoneticPr fontId="1" type="noConversion"/>
  </si>
  <si>
    <t xml:space="preserve">      应付股利</t>
  </si>
  <si>
    <t xml:space="preserve">      其他应付款</t>
    <phoneticPr fontId="1" type="noConversion"/>
  </si>
  <si>
    <t xml:space="preserve">      永续债</t>
    <phoneticPr fontId="1" type="noConversion"/>
  </si>
  <si>
    <t xml:space="preserve">     永续债</t>
    <phoneticPr fontId="1" type="noConversion"/>
  </si>
  <si>
    <t xml:space="preserve">      专项应付款</t>
    <phoneticPr fontId="1" type="noConversion"/>
  </si>
  <si>
    <t>审计报告号</t>
    <phoneticPr fontId="1" type="noConversion"/>
  </si>
  <si>
    <t>受限的货币资金</t>
    <phoneticPr fontId="1" type="noConversion"/>
  </si>
  <si>
    <t>受限资金核查</t>
    <phoneticPr fontId="1" type="noConversion"/>
  </si>
  <si>
    <r>
      <rPr>
        <b/>
        <sz val="11"/>
        <color rgb="FFFF0000"/>
        <rFont val="宋体"/>
        <family val="3"/>
        <charset val="134"/>
      </rPr>
      <t>单位：万元</t>
    </r>
    <phoneticPr fontId="1" type="noConversion"/>
  </si>
  <si>
    <r>
      <rPr>
        <b/>
        <sz val="11"/>
        <rFont val="宋体"/>
        <family val="3"/>
        <charset val="134"/>
      </rPr>
      <t>项目</t>
    </r>
    <rPh sb="0" eb="1">
      <t>xiang'mu</t>
    </rPh>
    <phoneticPr fontId="1" type="noConversion"/>
  </si>
  <si>
    <r>
      <rPr>
        <sz val="11"/>
        <rFont val="宋体"/>
        <family val="3"/>
        <charset val="134"/>
      </rPr>
      <t>货币资金</t>
    </r>
    <phoneticPr fontId="1" type="noConversion"/>
  </si>
  <si>
    <r>
      <rPr>
        <sz val="11"/>
        <rFont val="宋体"/>
        <family val="3"/>
        <charset val="134"/>
      </rPr>
      <t>应收账款</t>
    </r>
    <rPh sb="0" eb="1">
      <t>ying'shou'zhang'kuan</t>
    </rPh>
    <phoneticPr fontId="1" type="noConversion"/>
  </si>
  <si>
    <r>
      <rPr>
        <sz val="11"/>
        <rFont val="宋体"/>
        <family val="3"/>
        <charset val="134"/>
      </rPr>
      <t>存货</t>
    </r>
    <rPh sb="0" eb="1">
      <t>cun'huo</t>
    </rPh>
    <phoneticPr fontId="1" type="noConversion"/>
  </si>
  <si>
    <r>
      <rPr>
        <sz val="11"/>
        <rFont val="宋体"/>
        <family val="3"/>
        <charset val="134"/>
      </rPr>
      <t>流动资产合计</t>
    </r>
    <rPh sb="0" eb="1">
      <t>liu'dong'zi'chan</t>
    </rPh>
    <rPh sb="4" eb="5">
      <t>he'ji</t>
    </rPh>
    <phoneticPr fontId="1" type="noConversion"/>
  </si>
  <si>
    <r>
      <rPr>
        <sz val="11"/>
        <rFont val="宋体"/>
        <family val="3"/>
        <charset val="134"/>
      </rPr>
      <t>资产总计</t>
    </r>
    <rPh sb="0" eb="1">
      <t>zi'chan</t>
    </rPh>
    <rPh sb="2" eb="3">
      <t>zong'ji</t>
    </rPh>
    <phoneticPr fontId="1" type="noConversion"/>
  </si>
  <si>
    <r>
      <rPr>
        <sz val="11"/>
        <rFont val="宋体"/>
        <family val="3"/>
        <charset val="134"/>
      </rPr>
      <t>长期借款</t>
    </r>
    <phoneticPr fontId="1" type="noConversion"/>
  </si>
  <si>
    <r>
      <rPr>
        <sz val="11"/>
        <rFont val="宋体"/>
        <family val="3"/>
        <charset val="134"/>
      </rPr>
      <t>应付债券</t>
    </r>
    <phoneticPr fontId="1" type="noConversion"/>
  </si>
  <si>
    <r>
      <rPr>
        <sz val="11"/>
        <rFont val="宋体"/>
        <family val="3"/>
        <charset val="134"/>
      </rPr>
      <t>短期借款</t>
    </r>
    <phoneticPr fontId="1" type="noConversion"/>
  </si>
  <si>
    <r>
      <rPr>
        <sz val="11"/>
        <rFont val="宋体"/>
        <family val="3"/>
        <charset val="134"/>
      </rPr>
      <t>交易性金融负债</t>
    </r>
    <phoneticPr fontId="1" type="noConversion"/>
  </si>
  <si>
    <r>
      <rPr>
        <sz val="11"/>
        <rFont val="宋体"/>
        <family val="3"/>
        <charset val="134"/>
      </rPr>
      <t>应付票据</t>
    </r>
    <phoneticPr fontId="1" type="noConversion"/>
  </si>
  <si>
    <r>
      <rPr>
        <sz val="11"/>
        <rFont val="宋体"/>
        <family val="3"/>
        <charset val="134"/>
      </rPr>
      <t>应付短期债券</t>
    </r>
    <phoneticPr fontId="1" type="noConversion"/>
  </si>
  <si>
    <r>
      <rPr>
        <sz val="11"/>
        <rFont val="宋体"/>
        <family val="3"/>
        <charset val="134"/>
      </rPr>
      <t>一年内到期的非流动负债</t>
    </r>
    <phoneticPr fontId="1" type="noConversion"/>
  </si>
  <si>
    <r>
      <rPr>
        <sz val="11"/>
        <rFont val="宋体"/>
        <family val="3"/>
        <charset val="134"/>
      </rPr>
      <t>流动负债合计</t>
    </r>
    <rPh sb="0" eb="1">
      <t>liu'dong</t>
    </rPh>
    <rPh sb="2" eb="3">
      <t>fu'zhai</t>
    </rPh>
    <rPh sb="4" eb="5">
      <t>he'ji</t>
    </rPh>
    <phoneticPr fontId="1" type="noConversion"/>
  </si>
  <si>
    <r>
      <rPr>
        <sz val="11"/>
        <rFont val="宋体"/>
        <family val="3"/>
        <charset val="134"/>
      </rPr>
      <t>非流动负债合计</t>
    </r>
    <rPh sb="0" eb="1">
      <t>fei'liu'dong</t>
    </rPh>
    <rPh sb="3" eb="4">
      <t>fu'zhai</t>
    </rPh>
    <rPh sb="5" eb="6">
      <t>he'ji</t>
    </rPh>
    <phoneticPr fontId="1" type="noConversion"/>
  </si>
  <si>
    <r>
      <rPr>
        <sz val="11"/>
        <rFont val="宋体"/>
        <family val="3"/>
        <charset val="134"/>
      </rPr>
      <t>负债合计</t>
    </r>
    <rPh sb="0" eb="1">
      <t>fu'zhai</t>
    </rPh>
    <rPh sb="2" eb="3">
      <t>he'ji</t>
    </rPh>
    <phoneticPr fontId="1" type="noConversion"/>
  </si>
  <si>
    <r>
      <rPr>
        <sz val="11"/>
        <rFont val="宋体"/>
        <family val="3"/>
        <charset val="134"/>
      </rPr>
      <t>净资产</t>
    </r>
    <rPh sb="0" eb="1">
      <t>jing'zi'chan</t>
    </rPh>
    <phoneticPr fontId="1" type="noConversion"/>
  </si>
  <si>
    <r>
      <rPr>
        <sz val="11"/>
        <rFont val="宋体"/>
        <family val="3"/>
        <charset val="134"/>
      </rPr>
      <t>营业收入</t>
    </r>
    <rPh sb="0" eb="1">
      <t>ying'ye</t>
    </rPh>
    <rPh sb="2" eb="3">
      <t>shou'ru</t>
    </rPh>
    <phoneticPr fontId="1" type="noConversion"/>
  </si>
  <si>
    <r>
      <rPr>
        <sz val="11"/>
        <rFont val="宋体"/>
        <family val="3"/>
        <charset val="134"/>
      </rPr>
      <t>主营业务收入</t>
    </r>
    <phoneticPr fontId="1" type="noConversion"/>
  </si>
  <si>
    <r>
      <rPr>
        <sz val="11"/>
        <rFont val="宋体"/>
        <family val="3"/>
        <charset val="134"/>
      </rPr>
      <t>营业成本</t>
    </r>
    <phoneticPr fontId="1" type="noConversion"/>
  </si>
  <si>
    <r>
      <rPr>
        <sz val="11"/>
        <rFont val="宋体"/>
        <family val="3"/>
        <charset val="134"/>
      </rPr>
      <t>主营业务成本</t>
    </r>
    <phoneticPr fontId="1" type="noConversion"/>
  </si>
  <si>
    <r>
      <rPr>
        <sz val="11"/>
        <rFont val="宋体"/>
        <family val="3"/>
        <charset val="134"/>
      </rPr>
      <t>营业利润</t>
    </r>
    <rPh sb="0" eb="1">
      <t>ying'ye'li'run</t>
    </rPh>
    <phoneticPr fontId="1" type="noConversion"/>
  </si>
  <si>
    <r>
      <rPr>
        <sz val="11"/>
        <rFont val="宋体"/>
        <family val="3"/>
        <charset val="134"/>
      </rPr>
      <t>利润总额</t>
    </r>
    <rPh sb="0" eb="1">
      <t>li'run'zong'e</t>
    </rPh>
    <phoneticPr fontId="1" type="noConversion"/>
  </si>
  <si>
    <r>
      <rPr>
        <sz val="11"/>
        <rFont val="宋体"/>
        <family val="3"/>
        <charset val="134"/>
      </rPr>
      <t>净利润</t>
    </r>
    <rPh sb="0" eb="1">
      <t>jing'li'run</t>
    </rPh>
    <phoneticPr fontId="1" type="noConversion"/>
  </si>
  <si>
    <r>
      <rPr>
        <sz val="11"/>
        <rFont val="宋体"/>
        <family val="3"/>
        <charset val="134"/>
      </rPr>
      <t>计入财务费用的利息支出</t>
    </r>
    <rPh sb="0" eb="1">
      <t>ji'ru</t>
    </rPh>
    <rPh sb="2" eb="3">
      <t>cai'wu'fei'yong</t>
    </rPh>
    <rPh sb="6" eb="7">
      <t>e</t>
    </rPh>
    <rPh sb="7" eb="8">
      <t>li'xi'zhi'chu</t>
    </rPh>
    <phoneticPr fontId="1" type="noConversion"/>
  </si>
  <si>
    <r>
      <rPr>
        <sz val="11"/>
        <rFont val="宋体"/>
        <family val="3"/>
        <charset val="134"/>
      </rPr>
      <t>资本化的利息支出</t>
    </r>
    <rPh sb="0" eb="1">
      <t>zi'ben'hua</t>
    </rPh>
    <rPh sb="3" eb="4">
      <t>de</t>
    </rPh>
    <rPh sb="4" eb="5">
      <t>li'xi'zhi'chu</t>
    </rPh>
    <phoneticPr fontId="1" type="noConversion"/>
  </si>
  <si>
    <r>
      <rPr>
        <sz val="11"/>
        <rFont val="宋体"/>
        <family val="3"/>
        <charset val="134"/>
      </rPr>
      <t>固定资产折旧</t>
    </r>
    <rPh sb="0" eb="1">
      <t>gu'ding'zi'chan</t>
    </rPh>
    <rPh sb="4" eb="5">
      <t>zhe'jiu</t>
    </rPh>
    <phoneticPr fontId="1" type="noConversion"/>
  </si>
  <si>
    <r>
      <rPr>
        <sz val="11"/>
        <rFont val="宋体"/>
        <family val="3"/>
        <charset val="134"/>
      </rPr>
      <t>无形资产摊销</t>
    </r>
    <rPh sb="0" eb="1">
      <t>tan'xiao</t>
    </rPh>
    <rPh sb="2" eb="3">
      <t>zong'echang'qidaitan'xiaofei'yongtan'xiaodeng</t>
    </rPh>
    <phoneticPr fontId="1" type="noConversion"/>
  </si>
  <si>
    <r>
      <rPr>
        <sz val="11"/>
        <rFont val="宋体"/>
        <family val="3"/>
        <charset val="134"/>
      </rPr>
      <t>长期待摊费用摊销</t>
    </r>
    <phoneticPr fontId="1" type="noConversion"/>
  </si>
  <si>
    <r>
      <rPr>
        <sz val="11"/>
        <rFont val="宋体"/>
        <family val="3"/>
        <charset val="134"/>
      </rPr>
      <t>经营活动产生的现金流量净额</t>
    </r>
    <phoneticPr fontId="1" type="noConversion"/>
  </si>
  <si>
    <r>
      <rPr>
        <sz val="11"/>
        <rFont val="宋体"/>
        <family val="3"/>
        <charset val="134"/>
      </rPr>
      <t>投资活动产生的现金流量净额</t>
    </r>
    <phoneticPr fontId="1" type="noConversion"/>
  </si>
  <si>
    <r>
      <rPr>
        <sz val="11"/>
        <rFont val="宋体"/>
        <family val="3"/>
        <charset val="134"/>
      </rPr>
      <t>筹资活动产生的现金流量净额</t>
    </r>
    <phoneticPr fontId="1" type="noConversion"/>
  </si>
  <si>
    <r>
      <rPr>
        <sz val="11"/>
        <rFont val="宋体"/>
        <family val="3"/>
        <charset val="134"/>
      </rPr>
      <t>现金及现金等价物净增加额</t>
    </r>
    <phoneticPr fontId="1" type="noConversion"/>
  </si>
  <si>
    <r>
      <rPr>
        <b/>
        <sz val="11"/>
        <rFont val="宋体"/>
        <family val="3"/>
        <charset val="134"/>
      </rPr>
      <t>计算指标</t>
    </r>
    <rPh sb="0" eb="1">
      <t>ji'suan</t>
    </rPh>
    <rPh sb="2" eb="3">
      <t>zhi'biao</t>
    </rPh>
    <phoneticPr fontId="1" type="noConversion"/>
  </si>
  <si>
    <r>
      <rPr>
        <b/>
        <sz val="11"/>
        <rFont val="宋体"/>
        <family val="3"/>
        <charset val="134"/>
      </rPr>
      <t>计算公式</t>
    </r>
    <rPh sb="0" eb="1">
      <t>ji'suan</t>
    </rPh>
    <rPh sb="2" eb="3">
      <t>gong'shi</t>
    </rPh>
    <phoneticPr fontId="1" type="noConversion"/>
  </si>
  <si>
    <r>
      <rPr>
        <sz val="11"/>
        <rFont val="宋体"/>
        <family val="3"/>
        <charset val="134"/>
      </rPr>
      <t>流动比率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流动资产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流动负债</t>
    </r>
    <phoneticPr fontId="2" type="noConversion"/>
  </si>
  <si>
    <r>
      <rPr>
        <sz val="11"/>
        <rFont val="宋体"/>
        <family val="3"/>
        <charset val="134"/>
      </rPr>
      <t>速动比率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（流动资产</t>
    </r>
    <r>
      <rPr>
        <sz val="11"/>
        <rFont val="Times New Roman"/>
        <family val="1"/>
      </rPr>
      <t>-</t>
    </r>
    <r>
      <rPr>
        <sz val="11"/>
        <rFont val="宋体"/>
        <family val="3"/>
        <charset val="134"/>
      </rPr>
      <t>存货）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流动负债</t>
    </r>
    <rPh sb="6" eb="7">
      <t>liu'dong</t>
    </rPh>
    <rPh sb="11" eb="12">
      <t>cun'huo</t>
    </rPh>
    <phoneticPr fontId="2" type="noConversion"/>
  </si>
  <si>
    <r>
      <rPr>
        <sz val="11"/>
        <rFont val="宋体"/>
        <family val="3"/>
        <charset val="134"/>
      </rPr>
      <t>资产负债率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总负债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总资产</t>
    </r>
    <phoneticPr fontId="2" type="noConversion"/>
  </si>
  <si>
    <r>
      <rPr>
        <sz val="11"/>
        <rFont val="宋体"/>
        <family val="3"/>
        <charset val="134"/>
      </rPr>
      <t>应收账款周转率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营业收入</t>
    </r>
    <r>
      <rPr>
        <sz val="11"/>
        <rFont val="Times New Roman"/>
        <family val="1"/>
      </rPr>
      <t>/[</t>
    </r>
    <r>
      <rPr>
        <sz val="11"/>
        <rFont val="宋体"/>
        <family val="3"/>
        <charset val="134"/>
      </rPr>
      <t>（期初应收账款余额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期末应收账款余额）</t>
    </r>
    <r>
      <rPr>
        <sz val="11"/>
        <rFont val="Times New Roman"/>
        <family val="1"/>
      </rPr>
      <t>/2]</t>
    </r>
    <phoneticPr fontId="2" type="noConversion"/>
  </si>
  <si>
    <r>
      <rPr>
        <sz val="11"/>
        <rFont val="宋体"/>
        <family val="3"/>
        <charset val="134"/>
      </rPr>
      <t>存货周转率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营业成本</t>
    </r>
    <r>
      <rPr>
        <sz val="11"/>
        <rFont val="Times New Roman"/>
        <family val="1"/>
      </rPr>
      <t>/[</t>
    </r>
    <r>
      <rPr>
        <sz val="11"/>
        <rFont val="宋体"/>
        <family val="3"/>
        <charset val="134"/>
      </rPr>
      <t>（期初存货余额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期末存货余额）</t>
    </r>
    <r>
      <rPr>
        <sz val="11"/>
        <rFont val="Times New Roman"/>
        <family val="1"/>
      </rPr>
      <t>/2]</t>
    </r>
    <phoneticPr fontId="1" type="noConversion"/>
  </si>
  <si>
    <r>
      <rPr>
        <sz val="11"/>
        <rFont val="宋体"/>
        <family val="3"/>
        <charset val="134"/>
      </rPr>
      <t>利息保障倍数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（利润总额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计入财务费用的利息支出）</t>
    </r>
    <r>
      <rPr>
        <sz val="11"/>
        <rFont val="Times New Roman"/>
        <family val="1"/>
      </rPr>
      <t xml:space="preserve">/ </t>
    </r>
    <r>
      <rPr>
        <sz val="11"/>
        <rFont val="宋体"/>
        <family val="3"/>
        <charset val="134"/>
      </rPr>
      <t>（计入财务费用的利息支出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资本化的利息支出）</t>
    </r>
    <phoneticPr fontId="2" type="noConversion"/>
  </si>
  <si>
    <r>
      <rPr>
        <sz val="11"/>
        <rFont val="宋体"/>
        <family val="3"/>
        <charset val="134"/>
      </rPr>
      <t>总资产收益率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净利润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总资产平均余额</t>
    </r>
    <rPh sb="0" eb="1">
      <t>jing'li'run</t>
    </rPh>
    <rPh sb="4" eb="5">
      <t>zong'zi'chan</t>
    </rPh>
    <phoneticPr fontId="1" type="noConversion"/>
  </si>
  <si>
    <r>
      <rPr>
        <sz val="11"/>
        <rFont val="宋体"/>
        <family val="3"/>
        <charset val="134"/>
      </rPr>
      <t>净资产收益率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净利润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净资产平均余额</t>
    </r>
    <rPh sb="0" eb="1">
      <t>jing'li'run</t>
    </rPh>
    <rPh sb="4" eb="5">
      <t>jing'zi'chan</t>
    </rPh>
    <phoneticPr fontId="1" type="noConversion"/>
  </si>
  <si>
    <r>
      <rPr>
        <sz val="11"/>
        <rFont val="宋体"/>
        <family val="3"/>
        <charset val="134"/>
      </rPr>
      <t>平均总资产回报率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（利润总额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利息支出）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平均资产总额</t>
    </r>
    <phoneticPr fontId="1" type="noConversion"/>
  </si>
  <si>
    <r>
      <rPr>
        <sz val="11"/>
        <rFont val="宋体"/>
        <family val="3"/>
        <charset val="134"/>
      </rPr>
      <t>全部债务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长期借款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应付债券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短期借款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交易性金融负债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应付票据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应付短期债券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一年内到期的非流动负债</t>
    </r>
    <phoneticPr fontId="1" type="noConversion"/>
  </si>
  <si>
    <r>
      <rPr>
        <sz val="11"/>
        <rFont val="宋体"/>
        <family val="3"/>
        <charset val="134"/>
      </rPr>
      <t>债务资本比率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全部债务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（全部债务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所有者权益）</t>
    </r>
    <phoneticPr fontId="1" type="noConversion"/>
  </si>
  <si>
    <r>
      <rPr>
        <sz val="11"/>
        <rFont val="宋体"/>
        <family val="3"/>
        <charset val="134"/>
      </rPr>
      <t>净利率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净利润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营业收入</t>
    </r>
    <phoneticPr fontId="1" type="noConversion"/>
  </si>
  <si>
    <r>
      <rPr>
        <sz val="11"/>
        <rFont val="宋体"/>
        <family val="3"/>
        <charset val="134"/>
      </rPr>
      <t>毛利率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（营业收入</t>
    </r>
    <r>
      <rPr>
        <sz val="11"/>
        <rFont val="Times New Roman"/>
        <family val="1"/>
      </rPr>
      <t>-</t>
    </r>
    <r>
      <rPr>
        <sz val="11"/>
        <rFont val="宋体"/>
        <family val="3"/>
        <charset val="134"/>
      </rPr>
      <t>营业成本）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营业收入</t>
    </r>
    <phoneticPr fontId="1" type="noConversion"/>
  </si>
  <si>
    <r>
      <rPr>
        <sz val="11"/>
        <rFont val="宋体"/>
        <family val="3"/>
        <charset val="134"/>
      </rPr>
      <t>营业毛利率</t>
    </r>
    <r>
      <rPr>
        <sz val="11"/>
        <rFont val="Times New Roman"/>
        <family val="1"/>
      </rPr>
      <t>= (</t>
    </r>
    <r>
      <rPr>
        <sz val="11"/>
        <rFont val="宋体"/>
        <family val="3"/>
        <charset val="134"/>
      </rPr>
      <t>主营业务收入</t>
    </r>
    <r>
      <rPr>
        <sz val="11"/>
        <rFont val="Times New Roman"/>
        <family val="1"/>
      </rPr>
      <t>-</t>
    </r>
    <r>
      <rPr>
        <sz val="11"/>
        <rFont val="宋体"/>
        <family val="3"/>
        <charset val="134"/>
      </rPr>
      <t>主营业务成本</t>
    </r>
    <r>
      <rPr>
        <sz val="11"/>
        <rFont val="Times New Roman"/>
        <family val="1"/>
      </rPr>
      <t>)/</t>
    </r>
    <r>
      <rPr>
        <sz val="11"/>
        <rFont val="宋体"/>
        <family val="3"/>
        <charset val="134"/>
      </rPr>
      <t>主营业务收入</t>
    </r>
    <phoneticPr fontId="1" type="noConversion"/>
  </si>
  <si>
    <r>
      <rPr>
        <sz val="11"/>
        <rFont val="宋体"/>
        <family val="3"/>
        <charset val="134"/>
      </rPr>
      <t>总资产周转率</t>
    </r>
    <r>
      <rPr>
        <sz val="11"/>
        <rFont val="Times New Roman"/>
        <family val="1"/>
      </rPr>
      <t>=</t>
    </r>
    <r>
      <rPr>
        <sz val="11"/>
        <rFont val="宋体"/>
        <family val="3"/>
        <charset val="134"/>
      </rPr>
      <t>营业收入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总资产平均余额</t>
    </r>
  </si>
  <si>
    <r>
      <t>EBIT=</t>
    </r>
    <r>
      <rPr>
        <sz val="11"/>
        <rFont val="宋体"/>
        <family val="3"/>
        <charset val="134"/>
      </rPr>
      <t>利润总额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计入财务费用的利息支出</t>
    </r>
    <phoneticPr fontId="1" type="noConversion"/>
  </si>
  <si>
    <r>
      <t>EBITDA=</t>
    </r>
    <r>
      <rPr>
        <sz val="11"/>
        <rFont val="宋体"/>
        <family val="3"/>
        <charset val="134"/>
      </rPr>
      <t>利润总额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计入财务费用的利息支出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固定资产折旧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摊销</t>
    </r>
    <phoneticPr fontId="1" type="noConversion"/>
  </si>
  <si>
    <r>
      <t>EBITDA</t>
    </r>
    <r>
      <rPr>
        <sz val="11"/>
        <rFont val="宋体"/>
        <family val="3"/>
        <charset val="134"/>
      </rPr>
      <t>全部债务比</t>
    </r>
    <r>
      <rPr>
        <sz val="11"/>
        <rFont val="Times New Roman"/>
        <family val="1"/>
      </rPr>
      <t>=EBITDA/</t>
    </r>
    <r>
      <rPr>
        <sz val="11"/>
        <rFont val="宋体"/>
        <family val="3"/>
        <charset val="134"/>
      </rPr>
      <t>全部债务</t>
    </r>
    <phoneticPr fontId="1" type="noConversion"/>
  </si>
  <si>
    <r>
      <t>EBITDA</t>
    </r>
    <r>
      <rPr>
        <sz val="11"/>
        <rFont val="宋体"/>
        <family val="3"/>
        <charset val="134"/>
      </rPr>
      <t>利息倍数</t>
    </r>
    <r>
      <rPr>
        <sz val="11"/>
        <rFont val="Times New Roman"/>
        <family val="1"/>
      </rPr>
      <t>=EBITDA/</t>
    </r>
    <r>
      <rPr>
        <sz val="11"/>
        <rFont val="宋体"/>
        <family val="3"/>
        <charset val="134"/>
      </rPr>
      <t>（资本化利息</t>
    </r>
    <r>
      <rPr>
        <sz val="11"/>
        <rFont val="Times New Roman"/>
        <family val="1"/>
      </rPr>
      <t>+</t>
    </r>
    <r>
      <rPr>
        <sz val="11"/>
        <rFont val="宋体"/>
        <family val="3"/>
        <charset val="134"/>
      </rPr>
      <t>计入财务费用的利息支出）</t>
    </r>
    <phoneticPr fontId="1" type="noConversion"/>
  </si>
  <si>
    <r>
      <rPr>
        <b/>
        <sz val="11"/>
        <color rgb="FFFF0000"/>
        <rFont val="宋体"/>
        <family val="3"/>
        <charset val="134"/>
      </rPr>
      <t>两年（及一期）财务指标</t>
    </r>
    <phoneticPr fontId="1" type="noConversion"/>
  </si>
  <si>
    <t>审计机构全称</t>
    <phoneticPr fontId="1" type="noConversion"/>
  </si>
  <si>
    <r>
      <rPr>
        <b/>
        <sz val="10"/>
        <color rgb="FFFF0000"/>
        <rFont val="宋体"/>
        <family val="3"/>
        <charset val="134"/>
      </rPr>
      <t>资产结构分析（大类）</t>
    </r>
    <phoneticPr fontId="1" type="noConversion"/>
  </si>
  <si>
    <r>
      <rPr>
        <b/>
        <sz val="10"/>
        <color rgb="FFFF0000"/>
        <rFont val="宋体"/>
        <family val="3"/>
        <charset val="134"/>
      </rPr>
      <t>负债结构分析（大类）</t>
    </r>
    <phoneticPr fontId="1" type="noConversion"/>
  </si>
  <si>
    <r>
      <rPr>
        <b/>
        <sz val="10"/>
        <color theme="1"/>
        <rFont val="宋体"/>
        <family val="3"/>
        <charset val="134"/>
      </rPr>
      <t>项目</t>
    </r>
    <phoneticPr fontId="1" type="noConversion"/>
  </si>
  <si>
    <r>
      <rPr>
        <b/>
        <sz val="10"/>
        <color theme="1"/>
        <rFont val="宋体"/>
        <family val="3"/>
        <charset val="134"/>
      </rPr>
      <t>金额</t>
    </r>
    <phoneticPr fontId="1" type="noConversion"/>
  </si>
  <si>
    <r>
      <rPr>
        <b/>
        <sz val="10"/>
        <color rgb="FFFF0000"/>
        <rFont val="宋体"/>
        <family val="3"/>
        <charset val="134"/>
      </rPr>
      <t>资产结构分析（明细）</t>
    </r>
    <phoneticPr fontId="1" type="noConversion"/>
  </si>
  <si>
    <r>
      <rPr>
        <b/>
        <sz val="10"/>
        <color rgb="FFFF0000"/>
        <rFont val="宋体"/>
        <family val="3"/>
        <charset val="134"/>
      </rPr>
      <t>负债结构分析（明细）</t>
    </r>
    <phoneticPr fontId="1" type="noConversion"/>
  </si>
  <si>
    <r>
      <rPr>
        <b/>
        <sz val="10"/>
        <color rgb="FFFF0000"/>
        <rFont val="宋体"/>
        <family val="3"/>
        <charset val="134"/>
      </rPr>
      <t>流动资产结构分析（明细）</t>
    </r>
    <phoneticPr fontId="1" type="noConversion"/>
  </si>
  <si>
    <r>
      <rPr>
        <b/>
        <sz val="10"/>
        <color rgb="FFFF0000"/>
        <rFont val="宋体"/>
        <family val="3"/>
        <charset val="134"/>
      </rPr>
      <t>流动负债结构分析（明细）</t>
    </r>
    <phoneticPr fontId="1" type="noConversion"/>
  </si>
  <si>
    <r>
      <rPr>
        <b/>
        <sz val="10"/>
        <color rgb="FFFF0000"/>
        <rFont val="宋体"/>
        <family val="3"/>
        <charset val="134"/>
      </rPr>
      <t>非流动资产结构分析（明细）</t>
    </r>
    <phoneticPr fontId="1" type="noConversion"/>
  </si>
  <si>
    <r>
      <rPr>
        <b/>
        <sz val="10"/>
        <color rgb="FFFF0000"/>
        <rFont val="宋体"/>
        <family val="3"/>
        <charset val="134"/>
      </rPr>
      <t>非流动负债结构分析（明细）</t>
    </r>
    <phoneticPr fontId="1" type="noConversion"/>
  </si>
  <si>
    <r>
      <t>2016</t>
    </r>
    <r>
      <rPr>
        <sz val="10"/>
        <color theme="1"/>
        <rFont val="宋体"/>
        <family val="2"/>
        <charset val="134"/>
      </rPr>
      <t>年末</t>
    </r>
    <r>
      <rPr>
        <sz val="10"/>
        <color theme="1"/>
        <rFont val="Times New Roman"/>
        <family val="1"/>
      </rPr>
      <t>/</t>
    </r>
    <r>
      <rPr>
        <sz val="10"/>
        <color theme="1"/>
        <rFont val="宋体"/>
        <family val="2"/>
        <charset val="134"/>
      </rPr>
      <t>度</t>
    </r>
  </si>
  <si>
    <r>
      <t>2017</t>
    </r>
    <r>
      <rPr>
        <sz val="10"/>
        <color theme="1"/>
        <rFont val="宋体"/>
        <family val="2"/>
        <charset val="134"/>
      </rPr>
      <t>年末</t>
    </r>
    <r>
      <rPr>
        <sz val="10"/>
        <color theme="1"/>
        <rFont val="Times New Roman"/>
        <family val="1"/>
      </rPr>
      <t>/</t>
    </r>
    <r>
      <rPr>
        <sz val="10"/>
        <color theme="1"/>
        <rFont val="宋体"/>
        <family val="2"/>
        <charset val="134"/>
      </rPr>
      <t>度</t>
    </r>
  </si>
  <si>
    <r>
      <t>2018</t>
    </r>
    <r>
      <rPr>
        <sz val="10"/>
        <color theme="1"/>
        <rFont val="宋体"/>
        <family val="2"/>
        <charset val="134"/>
      </rPr>
      <t>年末</t>
    </r>
    <r>
      <rPr>
        <sz val="10"/>
        <color theme="1"/>
        <rFont val="Times New Roman"/>
        <family val="1"/>
      </rPr>
      <t>/</t>
    </r>
    <r>
      <rPr>
        <sz val="10"/>
        <color theme="1"/>
        <rFont val="宋体"/>
        <family val="2"/>
        <charset val="134"/>
      </rPr>
      <t>度</t>
    </r>
  </si>
  <si>
    <r>
      <t>2019</t>
    </r>
    <r>
      <rPr>
        <sz val="10"/>
        <color theme="1"/>
        <rFont val="宋体"/>
        <family val="2"/>
        <charset val="134"/>
      </rPr>
      <t>年</t>
    </r>
    <r>
      <rPr>
        <sz val="10"/>
        <color theme="1"/>
        <rFont val="Times New Roman"/>
        <family val="1"/>
      </rPr>
      <t>9</t>
    </r>
    <r>
      <rPr>
        <sz val="10"/>
        <color theme="1"/>
        <rFont val="宋体"/>
        <family val="2"/>
        <charset val="134"/>
      </rPr>
      <t>月末</t>
    </r>
    <r>
      <rPr>
        <sz val="10"/>
        <color theme="1"/>
        <rFont val="Times New Roman"/>
        <family val="1"/>
      </rPr>
      <t>/1-9</t>
    </r>
    <r>
      <rPr>
        <sz val="10"/>
        <color theme="1"/>
        <rFont val="宋体"/>
        <family val="2"/>
        <charset val="134"/>
      </rPr>
      <t>月</t>
    </r>
  </si>
  <si>
    <r>
      <rPr>
        <b/>
        <sz val="10"/>
        <rFont val="宋体"/>
        <family val="3"/>
        <charset val="134"/>
      </rPr>
      <t>补充财务数据</t>
    </r>
    <r>
      <rPr>
        <b/>
        <sz val="10"/>
        <color rgb="FFFF0000"/>
        <rFont val="宋体"/>
        <family val="3"/>
        <charset val="134"/>
      </rPr>
      <t xml:space="preserve">
</t>
    </r>
    <r>
      <rPr>
        <b/>
        <sz val="10"/>
        <color rgb="FFFF0000"/>
        <rFont val="宋体"/>
        <family val="3"/>
        <charset val="134"/>
        <scheme val="minor"/>
      </rPr>
      <t>（单位：万元）</t>
    </r>
  </si>
  <si>
    <r>
      <t>N2-</t>
    </r>
    <r>
      <rPr>
        <sz val="10"/>
        <color theme="1"/>
        <rFont val="宋体"/>
        <family val="3"/>
        <charset val="134"/>
      </rPr>
      <t>两年一期调整</t>
    </r>
    <phoneticPr fontId="1" type="noConversion"/>
  </si>
  <si>
    <r>
      <t xml:space="preserve">              </t>
    </r>
    <r>
      <rPr>
        <sz val="10"/>
        <rFont val="宋体"/>
        <family val="3"/>
        <charset val="134"/>
      </rPr>
      <t>专项应付款</t>
    </r>
    <r>
      <rPr>
        <sz val="10"/>
        <rFont val="Times New Roman"/>
        <family val="1"/>
      </rPr>
      <t xml:space="preserve">  </t>
    </r>
    <phoneticPr fontId="1" type="noConversion"/>
  </si>
  <si>
    <r>
      <t xml:space="preserve">              </t>
    </r>
    <r>
      <rPr>
        <sz val="10"/>
        <rFont val="宋体"/>
        <family val="3"/>
        <charset val="134"/>
      </rPr>
      <t>永续债</t>
    </r>
    <phoneticPr fontId="1" type="noConversion"/>
  </si>
  <si>
    <t>资产抵押、质押或其他受限金额</t>
    <phoneticPr fontId="1" type="noConversion"/>
  </si>
  <si>
    <t>对外担保</t>
    <phoneticPr fontId="1" type="noConversion"/>
  </si>
  <si>
    <t>扣除非经常性损益的净利润</t>
    <rPh sb="0" eb="1">
      <t>fei</t>
    </rPh>
    <rPh sb="1" eb="2">
      <t>jing'chang'x</t>
    </rPh>
    <rPh sb="4" eb="5">
      <t>sun'yi</t>
    </rPh>
    <phoneticPr fontId="1" type="noConversion"/>
  </si>
  <si>
    <r>
      <rPr>
        <b/>
        <sz val="12"/>
        <color rgb="FFFF0000"/>
        <rFont val="宋体"/>
        <family val="3"/>
        <charset val="134"/>
      </rPr>
      <t>三年（及一期）财务指标</t>
    </r>
    <phoneticPr fontId="1" type="noConversion"/>
  </si>
  <si>
    <r>
      <rPr>
        <b/>
        <sz val="12"/>
        <color rgb="FFFF0000"/>
        <rFont val="宋体"/>
        <family val="3"/>
        <charset val="134"/>
      </rPr>
      <t>两年（及一期）财务指标</t>
    </r>
    <phoneticPr fontId="1" type="noConversion"/>
  </si>
  <si>
    <r>
      <rPr>
        <b/>
        <sz val="12"/>
        <color theme="1"/>
        <rFont val="宋体"/>
        <family val="3"/>
        <charset val="134"/>
      </rPr>
      <t>项目</t>
    </r>
    <phoneticPr fontId="1" type="noConversion"/>
  </si>
  <si>
    <r>
      <rPr>
        <sz val="12"/>
        <color theme="1"/>
        <rFont val="宋体"/>
        <family val="2"/>
        <charset val="134"/>
      </rPr>
      <t>总资产（万元）</t>
    </r>
  </si>
  <si>
    <r>
      <rPr>
        <sz val="12"/>
        <color theme="1"/>
        <rFont val="宋体"/>
        <family val="2"/>
        <charset val="134"/>
      </rPr>
      <t>总负债（万元）</t>
    </r>
  </si>
  <si>
    <r>
      <rPr>
        <sz val="12"/>
        <color theme="1"/>
        <rFont val="宋体"/>
        <family val="2"/>
        <charset val="134"/>
      </rPr>
      <t>全部债务（万元）</t>
    </r>
  </si>
  <si>
    <r>
      <rPr>
        <sz val="12"/>
        <color theme="1"/>
        <rFont val="宋体"/>
        <family val="2"/>
        <charset val="134"/>
      </rPr>
      <t>所有者权益（万元）</t>
    </r>
  </si>
  <si>
    <r>
      <rPr>
        <sz val="12"/>
        <color theme="1"/>
        <rFont val="宋体"/>
        <family val="2"/>
        <charset val="134"/>
      </rPr>
      <t>营业总收入（万元）</t>
    </r>
  </si>
  <si>
    <r>
      <rPr>
        <sz val="12"/>
        <color theme="1"/>
        <rFont val="宋体"/>
        <family val="2"/>
        <charset val="134"/>
      </rPr>
      <t>利润总额（万元）</t>
    </r>
  </si>
  <si>
    <r>
      <rPr>
        <sz val="12"/>
        <color theme="1"/>
        <rFont val="宋体"/>
        <family val="2"/>
        <charset val="134"/>
      </rPr>
      <t>净利润（万元）</t>
    </r>
  </si>
  <si>
    <r>
      <rPr>
        <sz val="12"/>
        <rFont val="宋体"/>
        <family val="3"/>
        <charset val="134"/>
      </rPr>
      <t>扣除非经常性损益后的净利润（万元）</t>
    </r>
    <phoneticPr fontId="1" type="noConversion"/>
  </si>
  <si>
    <r>
      <rPr>
        <sz val="12"/>
        <color theme="1"/>
        <rFont val="宋体"/>
        <family val="2"/>
        <charset val="134"/>
      </rPr>
      <t>归属于母公司所有者的净利润（万元）</t>
    </r>
  </si>
  <si>
    <r>
      <rPr>
        <sz val="12"/>
        <color theme="1"/>
        <rFont val="宋体"/>
        <family val="2"/>
        <charset val="134"/>
      </rPr>
      <t>经营活动产生现金流量净额（万元）</t>
    </r>
  </si>
  <si>
    <r>
      <rPr>
        <sz val="12"/>
        <color theme="1"/>
        <rFont val="宋体"/>
        <family val="2"/>
        <charset val="134"/>
      </rPr>
      <t>投资活动产生现金流量净额（万元）</t>
    </r>
  </si>
  <si>
    <r>
      <rPr>
        <sz val="12"/>
        <color theme="1"/>
        <rFont val="宋体"/>
        <family val="2"/>
        <charset val="134"/>
      </rPr>
      <t>筹资活动产生现金流量净额（万元）</t>
    </r>
  </si>
  <si>
    <r>
      <rPr>
        <sz val="12"/>
        <color theme="1"/>
        <rFont val="宋体"/>
        <family val="2"/>
        <charset val="134"/>
      </rPr>
      <t>资产负债率（</t>
    </r>
    <r>
      <rPr>
        <sz val="12"/>
        <color theme="1"/>
        <rFont val="Times New Roman"/>
        <family val="1"/>
      </rPr>
      <t>%</t>
    </r>
    <r>
      <rPr>
        <sz val="12"/>
        <color theme="1"/>
        <rFont val="宋体"/>
        <family val="2"/>
        <charset val="134"/>
      </rPr>
      <t>）</t>
    </r>
  </si>
  <si>
    <r>
      <rPr>
        <sz val="12"/>
        <color theme="1"/>
        <rFont val="宋体"/>
        <family val="2"/>
        <charset val="134"/>
      </rPr>
      <t>债务资本比率（</t>
    </r>
    <r>
      <rPr>
        <sz val="12"/>
        <color theme="1"/>
        <rFont val="Times New Roman"/>
        <family val="1"/>
      </rPr>
      <t>%</t>
    </r>
    <r>
      <rPr>
        <sz val="12"/>
        <color theme="1"/>
        <rFont val="宋体"/>
        <family val="2"/>
        <charset val="134"/>
      </rPr>
      <t>）</t>
    </r>
  </si>
  <si>
    <r>
      <rPr>
        <sz val="12"/>
        <color theme="1"/>
        <rFont val="宋体"/>
        <family val="2"/>
        <charset val="134"/>
      </rPr>
      <t>营业毛利率（</t>
    </r>
    <r>
      <rPr>
        <sz val="12"/>
        <color theme="1"/>
        <rFont val="Times New Roman"/>
        <family val="1"/>
      </rPr>
      <t>%</t>
    </r>
    <r>
      <rPr>
        <sz val="12"/>
        <color theme="1"/>
        <rFont val="宋体"/>
        <family val="2"/>
        <charset val="134"/>
      </rPr>
      <t>）</t>
    </r>
  </si>
  <si>
    <r>
      <rPr>
        <sz val="12"/>
        <rFont val="宋体"/>
        <family val="3"/>
        <charset val="134"/>
      </rPr>
      <t>平均总资产回报率（</t>
    </r>
    <r>
      <rPr>
        <sz val="12"/>
        <rFont val="Times New Roman"/>
        <family val="1"/>
      </rPr>
      <t>%</t>
    </r>
    <r>
      <rPr>
        <sz val="12"/>
        <rFont val="宋体"/>
        <family val="3"/>
        <charset val="134"/>
      </rPr>
      <t>）</t>
    </r>
  </si>
  <si>
    <r>
      <rPr>
        <sz val="12"/>
        <rFont val="宋体"/>
        <family val="3"/>
        <charset val="134"/>
      </rPr>
      <t>加权平均净资产收益率（</t>
    </r>
    <r>
      <rPr>
        <sz val="12"/>
        <rFont val="Times New Roman"/>
        <family val="1"/>
      </rPr>
      <t>%</t>
    </r>
    <r>
      <rPr>
        <sz val="12"/>
        <rFont val="宋体"/>
        <family val="3"/>
        <charset val="134"/>
      </rPr>
      <t>）</t>
    </r>
  </si>
  <si>
    <r>
      <rPr>
        <sz val="12"/>
        <rFont val="宋体"/>
        <family val="3"/>
        <charset val="134"/>
      </rPr>
      <t>扣除非经常性损益后加权平均净资产收益率（</t>
    </r>
    <r>
      <rPr>
        <sz val="12"/>
        <rFont val="Times New Roman"/>
        <family val="1"/>
      </rPr>
      <t>%</t>
    </r>
    <r>
      <rPr>
        <sz val="12"/>
        <rFont val="宋体"/>
        <family val="3"/>
        <charset val="134"/>
      </rPr>
      <t>）</t>
    </r>
    <phoneticPr fontId="1" type="noConversion"/>
  </si>
  <si>
    <r>
      <t>EBITDA</t>
    </r>
    <r>
      <rPr>
        <sz val="12"/>
        <rFont val="宋体"/>
        <family val="3"/>
        <charset val="134"/>
      </rPr>
      <t>（万元）</t>
    </r>
    <phoneticPr fontId="1" type="noConversion"/>
  </si>
  <si>
    <r>
      <t>EBITDA</t>
    </r>
    <r>
      <rPr>
        <sz val="12"/>
        <rFont val="宋体"/>
        <family val="3"/>
        <charset val="134"/>
      </rPr>
      <t>全部债务比</t>
    </r>
  </si>
  <si>
    <r>
      <t>EBITDA</t>
    </r>
    <r>
      <rPr>
        <sz val="12"/>
        <rFont val="宋体"/>
        <family val="3"/>
        <charset val="134"/>
      </rPr>
      <t>利息倍数</t>
    </r>
  </si>
  <si>
    <r>
      <rPr>
        <sz val="12"/>
        <color theme="1"/>
        <rFont val="宋体"/>
        <family val="2"/>
        <charset val="134"/>
      </rPr>
      <t>应收账款（万元）</t>
    </r>
    <phoneticPr fontId="1" type="noConversion"/>
  </si>
  <si>
    <r>
      <rPr>
        <sz val="12"/>
        <color theme="1"/>
        <rFont val="宋体"/>
        <family val="2"/>
        <charset val="134"/>
      </rPr>
      <t>其他应收款（万元）</t>
    </r>
    <phoneticPr fontId="1" type="noConversion"/>
  </si>
  <si>
    <r>
      <rPr>
        <sz val="12"/>
        <color theme="1"/>
        <rFont val="宋体"/>
        <family val="2"/>
        <charset val="134"/>
      </rPr>
      <t>对外担保（万元）</t>
    </r>
    <phoneticPr fontId="1" type="noConversion"/>
  </si>
  <si>
    <r>
      <rPr>
        <sz val="12"/>
        <color theme="1"/>
        <rFont val="宋体"/>
        <family val="2"/>
        <charset val="134"/>
      </rPr>
      <t>资产抵押、质押或其他受限金额（万元）</t>
    </r>
    <phoneticPr fontId="1" type="noConversion"/>
  </si>
  <si>
    <t>+</t>
    <phoneticPr fontId="1" type="noConversion"/>
  </si>
  <si>
    <t>-</t>
    <phoneticPr fontId="1" type="noConversion"/>
  </si>
  <si>
    <t>减少</t>
    <phoneticPr fontId="1" type="noConversion"/>
  </si>
  <si>
    <t>增加</t>
    <phoneticPr fontId="1" type="noConversion"/>
  </si>
  <si>
    <t>报告期末</t>
    <phoneticPr fontId="1" type="noConversion"/>
  </si>
  <si>
    <t>流动比率(倍)</t>
    <rPh sb="0" eb="1">
      <t>liu'dong'bi'lv</t>
    </rPh>
    <phoneticPr fontId="1" type="noConversion"/>
  </si>
  <si>
    <t>速动比率(倍)</t>
    <rPh sb="0" eb="1">
      <t>su'dong'bi'lv</t>
    </rPh>
    <phoneticPr fontId="1" type="noConversion"/>
  </si>
  <si>
    <t>资产负债率（%）</t>
    <rPh sb="0" eb="1">
      <t>zi'chan'fu'zhai'lv</t>
    </rPh>
    <phoneticPr fontId="1" type="noConversion"/>
  </si>
  <si>
    <t>应收账款周转率（次/年）</t>
    <rPh sb="0" eb="1">
      <t>ying'shou'zhang'kuan</t>
    </rPh>
    <rPh sb="4" eb="5">
      <t>zhou'zhuan'lv</t>
    </rPh>
    <phoneticPr fontId="1" type="noConversion"/>
  </si>
  <si>
    <t>存货周转率（次/年）</t>
    <rPh sb="0" eb="1">
      <t>cun'huo'zhou'zhuan'lv</t>
    </rPh>
    <phoneticPr fontId="1" type="noConversion"/>
  </si>
  <si>
    <t>利息保障倍数(倍)</t>
    <rPh sb="0" eb="1">
      <t>li'xi'bao'z</t>
    </rPh>
    <rPh sb="4" eb="5">
      <t>bei'shu</t>
    </rPh>
    <phoneticPr fontId="1" type="noConversion"/>
  </si>
  <si>
    <t>总资产收益率（%）</t>
    <rPh sb="0" eb="1">
      <t>zong'zi'chan</t>
    </rPh>
    <rPh sb="3" eb="4">
      <t>shou'yi'lv</t>
    </rPh>
    <phoneticPr fontId="1" type="noConversion"/>
  </si>
  <si>
    <t>净资产收益率（%）</t>
    <rPh sb="0" eb="1">
      <t>jing'zi'chan</t>
    </rPh>
    <rPh sb="3" eb="4">
      <t>shou'yi'lv</t>
    </rPh>
    <phoneticPr fontId="1" type="noConversion"/>
  </si>
  <si>
    <t>平均总资产回报率（%）</t>
    <phoneticPr fontId="1" type="noConversion"/>
  </si>
  <si>
    <t>全部债务（万元）</t>
    <phoneticPr fontId="1" type="noConversion"/>
  </si>
  <si>
    <t>债务资本比率（%）</t>
    <phoneticPr fontId="1" type="noConversion"/>
  </si>
  <si>
    <t>净利率（%）</t>
    <phoneticPr fontId="1" type="noConversion"/>
  </si>
  <si>
    <t>毛利率（%）</t>
    <phoneticPr fontId="1" type="noConversion"/>
  </si>
  <si>
    <t>营业毛利率（%）</t>
    <rPh sb="0" eb="1">
      <t>mao'li'lv</t>
    </rPh>
    <phoneticPr fontId="1" type="noConversion"/>
  </si>
  <si>
    <t>总资产周转率（次/年）</t>
    <rPh sb="0" eb="1">
      <t>zong'zi'chan</t>
    </rPh>
    <rPh sb="3" eb="4">
      <t>zhou'zhuan'lv</t>
    </rPh>
    <phoneticPr fontId="1" type="noConversion"/>
  </si>
  <si>
    <r>
      <t>EBIT</t>
    </r>
    <r>
      <rPr>
        <sz val="11"/>
        <rFont val="宋体"/>
        <family val="3"/>
        <charset val="134"/>
      </rPr>
      <t>（万元）</t>
    </r>
    <phoneticPr fontId="1" type="noConversion"/>
  </si>
  <si>
    <r>
      <t>EBITDA</t>
    </r>
    <r>
      <rPr>
        <sz val="11"/>
        <rFont val="宋体"/>
        <family val="3"/>
        <charset val="134"/>
      </rPr>
      <t>（万元）</t>
    </r>
    <phoneticPr fontId="1" type="noConversion"/>
  </si>
  <si>
    <r>
      <t>EBITDA</t>
    </r>
    <r>
      <rPr>
        <sz val="11"/>
        <rFont val="宋体"/>
        <family val="3"/>
        <charset val="134"/>
      </rPr>
      <t>全部债务比（%）</t>
    </r>
    <rPh sb="6" eb="7">
      <t>quan'bu</t>
    </rPh>
    <rPh sb="8" eb="9">
      <t>zhai'wu'bi</t>
    </rPh>
    <phoneticPr fontId="1" type="noConversion"/>
  </si>
  <si>
    <r>
      <t>EBITDA</t>
    </r>
    <r>
      <rPr>
        <sz val="11"/>
        <rFont val="宋体"/>
        <family val="3"/>
        <charset val="134"/>
      </rPr>
      <t>利息倍数（倍）</t>
    </r>
    <phoneticPr fontId="1" type="noConversion"/>
  </si>
  <si>
    <t>模拟变动额</t>
  </si>
  <si>
    <t>流动比率</t>
    <phoneticPr fontId="1" type="noConversion"/>
  </si>
  <si>
    <t>资产负债率</t>
    <phoneticPr fontId="1" type="noConversion"/>
  </si>
  <si>
    <t>本次债券发行前</t>
    <phoneticPr fontId="1" type="noConversion"/>
  </si>
  <si>
    <t>本次债券发行后（模拟）</t>
    <phoneticPr fontId="1" type="noConversion"/>
  </si>
  <si>
    <t>发行总额</t>
    <phoneticPr fontId="1" type="noConversion"/>
  </si>
  <si>
    <t>偿债规模</t>
    <phoneticPr fontId="1" type="noConversion"/>
  </si>
  <si>
    <t>补流规模</t>
    <phoneticPr fontId="1" type="noConversion"/>
  </si>
  <si>
    <t>{$CA1-4/}</t>
  </si>
  <si>
    <t>{$CA2-4/}</t>
  </si>
  <si>
    <t>{$CA3-4/}</t>
  </si>
  <si>
    <t>{$CA4-4/}</t>
  </si>
  <si>
    <t>{$CA5-4/}</t>
  </si>
  <si>
    <t>{$CA6-4/}</t>
  </si>
  <si>
    <t>{$CA7-4/}</t>
  </si>
  <si>
    <t>{$CA8-4/}</t>
  </si>
  <si>
    <t>{$CA9-4/}</t>
  </si>
  <si>
    <t>{$CA10-4/}</t>
  </si>
  <si>
    <t>{$CA11-4/}</t>
  </si>
  <si>
    <t>{$CA12-4/}</t>
  </si>
  <si>
    <t>{$CA13-4/}</t>
  </si>
  <si>
    <t>{$CA14-4/}</t>
  </si>
  <si>
    <t>{$CA-4/}</t>
  </si>
  <si>
    <t>{$NCA1-4/}</t>
  </si>
  <si>
    <t>{$NCA2-4/}</t>
  </si>
  <si>
    <t>{$NCA3-4/}</t>
  </si>
  <si>
    <t>{$NCA4-4/}</t>
  </si>
  <si>
    <t>{$NCA5-4/}</t>
  </si>
  <si>
    <t>{$NCA6-4/}</t>
  </si>
  <si>
    <t>{$NCA7-4/}</t>
  </si>
  <si>
    <t>{$NCA8-4/}</t>
  </si>
  <si>
    <t>{$NCA9-4/}</t>
  </si>
  <si>
    <t>{$NCA10-4/}</t>
  </si>
  <si>
    <t>{$NCA11-4/}</t>
  </si>
  <si>
    <t>{$NCA12-4/}</t>
  </si>
  <si>
    <t>{$NCA13-4/}</t>
  </si>
  <si>
    <t>{$NCA14-4/}</t>
  </si>
  <si>
    <t>{$NCA15-4/}</t>
  </si>
  <si>
    <t>{$NCA-4/}</t>
  </si>
  <si>
    <t>{$CL1-4/}</t>
  </si>
  <si>
    <t>{$CL2-4/}</t>
  </si>
  <si>
    <t>{$CL3-4/}</t>
  </si>
  <si>
    <t>{$CL4-4/}</t>
  </si>
  <si>
    <t>{$CL5-4/}</t>
  </si>
  <si>
    <t>{$CL6-4/}</t>
  </si>
  <si>
    <t>{$CL7-4/}</t>
  </si>
  <si>
    <t>{$CL8-4/}</t>
  </si>
  <si>
    <t>{$CL9-4/}</t>
  </si>
  <si>
    <t>{$CL10-4/}</t>
  </si>
  <si>
    <t>{$CL11-4/}</t>
  </si>
  <si>
    <t>{$CL12-4/}</t>
  </si>
  <si>
    <t>{$CL13-4/}</t>
  </si>
  <si>
    <t>{$CL14-4/}</t>
  </si>
  <si>
    <t>{$CL15-4/}</t>
  </si>
  <si>
    <t>{$CL-4/}</t>
  </si>
  <si>
    <t>{$NCL1-4/}</t>
  </si>
  <si>
    <t>{$NCL2-4/}</t>
  </si>
  <si>
    <t>{$NCL3-4/}</t>
  </si>
  <si>
    <t>{$NCL4-4/}</t>
  </si>
  <si>
    <t>{$NCL5-4/}</t>
  </si>
  <si>
    <t>{$NCL6-4/}</t>
  </si>
  <si>
    <t>{$NCL7-4/}</t>
  </si>
  <si>
    <t>{$NCL8-4/}</t>
  </si>
  <si>
    <t>{$NCL9-4/}</t>
  </si>
  <si>
    <t>{$NCL10-4/}</t>
  </si>
  <si>
    <t>{$NCL11-4/}</t>
  </si>
  <si>
    <t>{$NCL-4/}</t>
  </si>
  <si>
    <t>{$CA1-3/}</t>
  </si>
  <si>
    <t>{$CA2-3/}</t>
  </si>
  <si>
    <t>{$CA5-3/}</t>
  </si>
  <si>
    <t>{$CA6-3/}</t>
  </si>
  <si>
    <t>{$CA7-3/}</t>
  </si>
  <si>
    <t>{$CA8-3/}</t>
  </si>
  <si>
    <t>{$CA9-3/}</t>
  </si>
  <si>
    <t>{$CA10-3/}</t>
  </si>
  <si>
    <t>{$CA11-3/}</t>
  </si>
  <si>
    <t>{$CA12-3/}</t>
  </si>
  <si>
    <t>{$CA13-3/}</t>
  </si>
  <si>
    <t>{$CA14-3/}</t>
  </si>
  <si>
    <t>{$CA-3/}</t>
  </si>
  <si>
    <t>{$NCA1-3/}</t>
  </si>
  <si>
    <t>{$NCA2-3/}</t>
  </si>
  <si>
    <t>{$NCA3-3/}</t>
  </si>
  <si>
    <t>{$NCA4-3/}</t>
  </si>
  <si>
    <t>{$NCA5-3/}</t>
  </si>
  <si>
    <t>{$NCA6-3/}</t>
  </si>
  <si>
    <t>{$NCA7-3/}</t>
  </si>
  <si>
    <t>{$NCA8-3/}</t>
  </si>
  <si>
    <t>{$NCA9-3/}</t>
  </si>
  <si>
    <t>{$NCA10-3/}</t>
  </si>
  <si>
    <t>{$NCA11-3/}</t>
  </si>
  <si>
    <t>{$NCA12-3/}</t>
  </si>
  <si>
    <t>{$NCA13-3/}</t>
  </si>
  <si>
    <t>{$NCA14-3/}</t>
  </si>
  <si>
    <t>{$NCA15-3/}</t>
  </si>
  <si>
    <t>{$NCA-3/}</t>
  </si>
  <si>
    <t>{$CL1-3/}</t>
  </si>
  <si>
    <t>{$CL2-3/}</t>
  </si>
  <si>
    <t>{$CL3-3/}</t>
  </si>
  <si>
    <t>{$CL4-3/}</t>
  </si>
  <si>
    <t>{$CL5-3/}</t>
  </si>
  <si>
    <t>{$CL6-3/}</t>
  </si>
  <si>
    <t>{$CL7-3/}</t>
  </si>
  <si>
    <t>{$CL8-3/}</t>
  </si>
  <si>
    <t>{$CL9-3/}</t>
  </si>
  <si>
    <t>{$CL10-3/}</t>
  </si>
  <si>
    <t>{$CL11-3/}</t>
  </si>
  <si>
    <t>{$CL12-3/}</t>
  </si>
  <si>
    <t>{$CL13-3/}</t>
  </si>
  <si>
    <t>{$CL14-3/}</t>
  </si>
  <si>
    <t>{$CL15-3/}</t>
  </si>
  <si>
    <t>{$CL-3/}</t>
  </si>
  <si>
    <t>{$NCL1-3/}</t>
  </si>
  <si>
    <t>{$NCL2-3/}</t>
  </si>
  <si>
    <t>{$NCL3-3/}</t>
  </si>
  <si>
    <t>{$NCL4-3/}</t>
  </si>
  <si>
    <t>{$NCL5-3/}</t>
  </si>
  <si>
    <t>{$NCL6-3/}</t>
  </si>
  <si>
    <t>{$NCL7-3/}</t>
  </si>
  <si>
    <t>{$NCL8-3/}</t>
  </si>
  <si>
    <t>{$NCL9-3/}</t>
  </si>
  <si>
    <t>{$NCL10-3/}</t>
  </si>
  <si>
    <t>{$NCL11-3/}</t>
  </si>
  <si>
    <t>{$NCL-3/}</t>
  </si>
  <si>
    <t>{$CA1-2/}</t>
  </si>
  <si>
    <t>{$CA2-2/}</t>
  </si>
  <si>
    <t>{$CA3-2/}</t>
  </si>
  <si>
    <t>{$CA4-2/}</t>
  </si>
  <si>
    <t>{$CA5-2/}</t>
  </si>
  <si>
    <t>{$CA6-2/}</t>
  </si>
  <si>
    <t>{$CA7-2/}</t>
  </si>
  <si>
    <t>{$CA8-2/}</t>
  </si>
  <si>
    <t>{$CA9-2/}</t>
  </si>
  <si>
    <t>{$CA10-2/}</t>
  </si>
  <si>
    <t>{$CA11-2/}</t>
  </si>
  <si>
    <t>{$CA12-2/}</t>
  </si>
  <si>
    <t>{$CA13-2/}</t>
  </si>
  <si>
    <t>{$CA14-2/}</t>
  </si>
  <si>
    <t>{$CA-2/}</t>
  </si>
  <si>
    <t>{$NCA1-2/}</t>
  </si>
  <si>
    <t>{$NCA2-2/}</t>
  </si>
  <si>
    <t>{$NCA3-2/}</t>
  </si>
  <si>
    <t>{$NCA4-2/}</t>
  </si>
  <si>
    <t>{$NCA5-2/}</t>
  </si>
  <si>
    <t>{$NCA6-2/}</t>
  </si>
  <si>
    <t>{$NCA7-2/}</t>
  </si>
  <si>
    <t>{$NCA8-2/}</t>
  </si>
  <si>
    <t>{$NCA9-2/}</t>
  </si>
  <si>
    <t>{$NCA10-2/}</t>
  </si>
  <si>
    <t>{$NCA11-2/}</t>
  </si>
  <si>
    <t>{$NCA12-2/}</t>
  </si>
  <si>
    <t>{$NCA13-2/}</t>
  </si>
  <si>
    <t>{$NCA14-2/}</t>
  </si>
  <si>
    <t>{$NCA15-2/}</t>
  </si>
  <si>
    <t>{$NCA-2/}</t>
  </si>
  <si>
    <t>{$CL1-2/}</t>
  </si>
  <si>
    <t>{$CL2-2/}</t>
  </si>
  <si>
    <t>{$CL3-2/}</t>
  </si>
  <si>
    <t>{$CL4-2/}</t>
  </si>
  <si>
    <t>{$CL5-2/}</t>
  </si>
  <si>
    <t>{$CL6-2/}</t>
  </si>
  <si>
    <t>{$CL7-2/}</t>
  </si>
  <si>
    <t>{$CL8-2/}</t>
  </si>
  <si>
    <t>{$CL9-2/}</t>
  </si>
  <si>
    <t>{$CL10-2/}</t>
  </si>
  <si>
    <t>{$CL11-2/}</t>
  </si>
  <si>
    <t>{$CL12-2/}</t>
  </si>
  <si>
    <t>{$CL13-2/}</t>
  </si>
  <si>
    <t>{$CL14-2/}</t>
  </si>
  <si>
    <t>{$CL15-2/}</t>
  </si>
  <si>
    <t>{$CL-2/}</t>
  </si>
  <si>
    <t>{$NCL1-2/}</t>
  </si>
  <si>
    <t>{$NCL2-2/}</t>
  </si>
  <si>
    <t>{$NCL3-2/}</t>
  </si>
  <si>
    <t>{$NCL4-2/}</t>
  </si>
  <si>
    <t>{$NCL5-2/}</t>
  </si>
  <si>
    <t>{$NCL6-2/}</t>
  </si>
  <si>
    <t>{$NCL7-2/}</t>
  </si>
  <si>
    <t>{$NCL8-2/}</t>
  </si>
  <si>
    <t>{$NCL9-2/}</t>
  </si>
  <si>
    <t>{$NCL10-2/}</t>
  </si>
  <si>
    <t>{$NCL11-2/}</t>
  </si>
  <si>
    <t>{$NCL-2/}</t>
  </si>
  <si>
    <t>{$CA1-1/}</t>
  </si>
  <si>
    <t>{$CA2-1/}</t>
  </si>
  <si>
    <t>{$CA3-1/}</t>
  </si>
  <si>
    <t>{$CA4-1/}</t>
  </si>
  <si>
    <t>{$CA5-1/}</t>
  </si>
  <si>
    <t>{$CA6-1/}</t>
  </si>
  <si>
    <t>{$CA7-1/}</t>
  </si>
  <si>
    <t>{$CA8-1/}</t>
  </si>
  <si>
    <t>{$CA9-1/}</t>
  </si>
  <si>
    <t>{$CA10-1/}</t>
  </si>
  <si>
    <t>{$CA11-1/}</t>
  </si>
  <si>
    <t>{$CA12-1/}</t>
  </si>
  <si>
    <t>{$CA13-1/}</t>
  </si>
  <si>
    <t>{$CA14-1/}</t>
  </si>
  <si>
    <t>{$CA-1/}</t>
  </si>
  <si>
    <t>{$NCA1-1/}</t>
  </si>
  <si>
    <t>{$NCA2-1/}</t>
  </si>
  <si>
    <t>{$NCA3-1/}</t>
  </si>
  <si>
    <t>{$NCA4-1/}</t>
  </si>
  <si>
    <t>{$NCA5-1/}</t>
  </si>
  <si>
    <t>{$NCA6-1/}</t>
  </si>
  <si>
    <t>{$NCA7-1/}</t>
  </si>
  <si>
    <t>{$NCA8-1/}</t>
  </si>
  <si>
    <t>{$NCA9-1/}</t>
  </si>
  <si>
    <t>{$NCA10-1/}</t>
  </si>
  <si>
    <t>{$NCA11-1/}</t>
  </si>
  <si>
    <t>{$NCA12-1/}</t>
  </si>
  <si>
    <t>{$NCA13-1/}</t>
  </si>
  <si>
    <t>{$NCA14-1/}</t>
  </si>
  <si>
    <t>{$NCA15-1/}</t>
  </si>
  <si>
    <t>{$NCA-1/}</t>
  </si>
  <si>
    <t>{$CL1-1/}</t>
  </si>
  <si>
    <t>{$CL2-1/}</t>
  </si>
  <si>
    <t>{$CL3-1/}</t>
  </si>
  <si>
    <t>{$CL4-1/}</t>
  </si>
  <si>
    <t>{$CL5-1/}</t>
  </si>
  <si>
    <t>{$CL6-1/}</t>
  </si>
  <si>
    <t>{$CL7-1/}</t>
  </si>
  <si>
    <t>{$CL8-1/}</t>
  </si>
  <si>
    <t>{$CL10-1/}</t>
  </si>
  <si>
    <t>{$CL11-1/}</t>
  </si>
  <si>
    <t>{$CL12-1/}</t>
  </si>
  <si>
    <t>{$CL13-1/}</t>
  </si>
  <si>
    <t>{$CL14-1/}</t>
  </si>
  <si>
    <t>{$CL15-1/}</t>
  </si>
  <si>
    <t>{$CL-1/}</t>
  </si>
  <si>
    <t>{$NCL1-1/}</t>
  </si>
  <si>
    <t>{$NCL2-1/}</t>
  </si>
  <si>
    <t>{$NCL3-1/}</t>
  </si>
  <si>
    <t>{$NCL4-1/}</t>
  </si>
  <si>
    <t>{$NCL5-1/}</t>
  </si>
  <si>
    <t>{$NCL6-1/}</t>
  </si>
  <si>
    <t>{$NCL7-1/}</t>
  </si>
  <si>
    <t>{$NCL8-1/}</t>
  </si>
  <si>
    <t>{$NCL9-1/}</t>
  </si>
  <si>
    <t>{$NCL10-1/}</t>
  </si>
  <si>
    <t>{$NCL11-1/}</t>
  </si>
  <si>
    <t>{$NCL-1/}</t>
  </si>
  <si>
    <t>{$CA1-4//}</t>
  </si>
  <si>
    <t>{$CA2-4//}</t>
  </si>
  <si>
    <t>{$CA3-4//}</t>
  </si>
  <si>
    <t>{$CA4-4//}</t>
  </si>
  <si>
    <t>{$CA5-4//}</t>
  </si>
  <si>
    <t>{$CA6-4//}</t>
  </si>
  <si>
    <t>{$CA7-4//}</t>
  </si>
  <si>
    <t>{$CA8-4//}</t>
  </si>
  <si>
    <t>{$CA9-4//}</t>
  </si>
  <si>
    <t>{$CA10-4//}</t>
  </si>
  <si>
    <t>{$CA11-4//}</t>
  </si>
  <si>
    <t>{$CA12-4//}</t>
  </si>
  <si>
    <t>{$CA13-4//}</t>
  </si>
  <si>
    <t>{$CA14-4//}</t>
  </si>
  <si>
    <t>{$CA-4//}</t>
  </si>
  <si>
    <t>{$NCA1-4//}</t>
  </si>
  <si>
    <t>{$NCA2-4//}</t>
  </si>
  <si>
    <t>{$NCA3-4//}</t>
  </si>
  <si>
    <t>{$NCA4-4//}</t>
  </si>
  <si>
    <t>{$NCA5-4//}</t>
  </si>
  <si>
    <t>{$NCA6-4//}</t>
  </si>
  <si>
    <t>{$NCA7-4//}</t>
  </si>
  <si>
    <t>{$NCA8-4//}</t>
  </si>
  <si>
    <t>{$NCA9-4//}</t>
  </si>
  <si>
    <t>{$NCA10-4//}</t>
  </si>
  <si>
    <t>{$NCA11-4//}</t>
  </si>
  <si>
    <t>{$NCA12-4//}</t>
  </si>
  <si>
    <t>{$NCA13-4//}</t>
  </si>
  <si>
    <t>{$NCA14-4//}</t>
  </si>
  <si>
    <t>{$NCA15-4//}</t>
  </si>
  <si>
    <t>{$NCA-4//}</t>
  </si>
  <si>
    <t>{$A-4//}</t>
  </si>
  <si>
    <t>{$CL1-4//}</t>
  </si>
  <si>
    <t>{$CL2-4//}</t>
  </si>
  <si>
    <t>{$CL3-4//}</t>
  </si>
  <si>
    <t>{$CL4-4//}</t>
  </si>
  <si>
    <t>{$CL5-4//}</t>
  </si>
  <si>
    <t>{$CL6-4//}</t>
  </si>
  <si>
    <t>{$CL7-4//}</t>
  </si>
  <si>
    <t>{$CL8-4//}</t>
  </si>
  <si>
    <t>{$CL9-4//}</t>
  </si>
  <si>
    <t>{$CL10-4//}</t>
  </si>
  <si>
    <t>{$CL11-4//}</t>
  </si>
  <si>
    <t>{$CL12-4//}</t>
  </si>
  <si>
    <t>{$CL13-4//}</t>
  </si>
  <si>
    <t>{$CL14-4//}</t>
  </si>
  <si>
    <t>{$CL15-4//}</t>
  </si>
  <si>
    <t>{$CL-4//}</t>
  </si>
  <si>
    <t>{$NCL1-4//}</t>
  </si>
  <si>
    <t>{$NCL2-4//}</t>
  </si>
  <si>
    <t>{$NCL3-4//}</t>
  </si>
  <si>
    <t>{$NCL4-4//}</t>
  </si>
  <si>
    <t>{$NCL5-4//}</t>
  </si>
  <si>
    <t>{$NCL6-4//}</t>
  </si>
  <si>
    <t>{$NCL7-4//}</t>
  </si>
  <si>
    <t>{$NCL8-4//}</t>
  </si>
  <si>
    <t>{$NCL9-4//}</t>
  </si>
  <si>
    <t>{$NCL10-4//}</t>
  </si>
  <si>
    <t>{$NCL11-4//}</t>
  </si>
  <si>
    <t>{$NCL-4//}</t>
  </si>
  <si>
    <t>{$L-4//}</t>
  </si>
  <si>
    <t>{$CA1-3//}</t>
  </si>
  <si>
    <t>{$CA2-3//}</t>
  </si>
  <si>
    <t>{$CA5-3//}</t>
  </si>
  <si>
    <t>{$CA6-3//}</t>
  </si>
  <si>
    <t>{$CA7-3//}</t>
  </si>
  <si>
    <t>{$CA8-3//}</t>
  </si>
  <si>
    <t>{$CA9-3//}</t>
  </si>
  <si>
    <t>{$CA10-3//}</t>
  </si>
  <si>
    <t>{$CA11-3//}</t>
  </si>
  <si>
    <t>{$CA12-3//}</t>
  </si>
  <si>
    <t>{$CA13-3//}</t>
  </si>
  <si>
    <t>{$CA14-3//}</t>
  </si>
  <si>
    <t>{$CA-3//}</t>
  </si>
  <si>
    <t>{$NCA1-3//}</t>
  </si>
  <si>
    <t>{$NCA2-3//}</t>
  </si>
  <si>
    <t>{$NCA3-3//}</t>
  </si>
  <si>
    <t>{$NCA4-3//}</t>
  </si>
  <si>
    <t>{$NCA5-3//}</t>
  </si>
  <si>
    <t>{$NCA6-3//}</t>
  </si>
  <si>
    <t>{$NCA7-3//}</t>
  </si>
  <si>
    <t>{$NCA8-3//}</t>
  </si>
  <si>
    <t>{$NCA9-3//}</t>
  </si>
  <si>
    <t>{$NCA10-3//}</t>
  </si>
  <si>
    <t>{$NCA11-3//}</t>
  </si>
  <si>
    <t>{$NCA12-3//}</t>
  </si>
  <si>
    <t>{$NCA13-3//}</t>
  </si>
  <si>
    <t>{$NCA14-3//}</t>
  </si>
  <si>
    <t>{$NCA15-3//}</t>
  </si>
  <si>
    <t>{$NCA-3//}</t>
  </si>
  <si>
    <t>{$A-3//}</t>
  </si>
  <si>
    <t>{$CL1-3//}</t>
  </si>
  <si>
    <t>{$CL2-3//}</t>
  </si>
  <si>
    <t>{$CL3-3//}</t>
  </si>
  <si>
    <t>{$CL4-3//}</t>
  </si>
  <si>
    <t>{$CL5-3//}</t>
  </si>
  <si>
    <t>{$CL6-3//}</t>
  </si>
  <si>
    <t>{$CL7-3//}</t>
  </si>
  <si>
    <t>{$CL8-3//}</t>
  </si>
  <si>
    <t>{$CL9-3//}</t>
  </si>
  <si>
    <t>{$CL10-3//}</t>
  </si>
  <si>
    <t>{$CL11-3//}</t>
  </si>
  <si>
    <t>{$CL12-3//}</t>
  </si>
  <si>
    <t>{$CL13-3//}</t>
  </si>
  <si>
    <t>{$CL14-3//}</t>
  </si>
  <si>
    <t>{$CL15-3//}</t>
  </si>
  <si>
    <t>{$CL-3//}</t>
  </si>
  <si>
    <t>{$NCL1-3//}</t>
  </si>
  <si>
    <t>{$NCL2-3//}</t>
  </si>
  <si>
    <t>{$NCL3-3//}</t>
  </si>
  <si>
    <t>{$NCL4-3//}</t>
  </si>
  <si>
    <t>{$NCL5-3//}</t>
  </si>
  <si>
    <t>{$NCL6-3//}</t>
  </si>
  <si>
    <t>{$NCL7-3//}</t>
  </si>
  <si>
    <t>{$NCL8-3//}</t>
  </si>
  <si>
    <t>{$NCL9-3//}</t>
  </si>
  <si>
    <t>{$NCL10-3//}</t>
  </si>
  <si>
    <t>{$NCL11-3//}</t>
  </si>
  <si>
    <t>{$NCL-3//}</t>
  </si>
  <si>
    <t>{$L-3//}</t>
  </si>
  <si>
    <t>{$CA1-2//}</t>
  </si>
  <si>
    <t>{$CA2-2//}</t>
  </si>
  <si>
    <t>{$CA3-2//}</t>
  </si>
  <si>
    <t>{$CA4-2//}</t>
  </si>
  <si>
    <t>{$CA5-2//}</t>
  </si>
  <si>
    <t>{$CA6-2//}</t>
  </si>
  <si>
    <t>{$CA7-2//}</t>
  </si>
  <si>
    <t>{$CA8-2//}</t>
  </si>
  <si>
    <t>{$CA9-2//}</t>
  </si>
  <si>
    <t>{$CA10-2//}</t>
  </si>
  <si>
    <t>{$CA11-2//}</t>
  </si>
  <si>
    <t>{$CA12-2//}</t>
  </si>
  <si>
    <t>{$CA13-2//}</t>
  </si>
  <si>
    <t>{$CA14-2//}</t>
  </si>
  <si>
    <t>{$CA-2//}</t>
  </si>
  <si>
    <t>{$NCA1-2//}</t>
  </si>
  <si>
    <t>{$NCA2-2//}</t>
  </si>
  <si>
    <t>{$NCA3-2//}</t>
  </si>
  <si>
    <t>{$NCA4-2//}</t>
  </si>
  <si>
    <t>{$NCA5-2//}</t>
  </si>
  <si>
    <t>{$NCA6-2//}</t>
  </si>
  <si>
    <t>{$NCA7-2//}</t>
  </si>
  <si>
    <t>{$NCA8-2//}</t>
  </si>
  <si>
    <t>{$NCA9-2//}</t>
  </si>
  <si>
    <t>{$NCA10-2//}</t>
  </si>
  <si>
    <t>{$NCA11-2//}</t>
  </si>
  <si>
    <t>{$NCA12-2//}</t>
  </si>
  <si>
    <t>{$NCA13-2//}</t>
  </si>
  <si>
    <t>{$NCA14-2//}</t>
  </si>
  <si>
    <t>{$NCA15-2//}</t>
  </si>
  <si>
    <t>{$NCA-2//}</t>
  </si>
  <si>
    <t>{$A-2//}</t>
  </si>
  <si>
    <t>{$CL1-2//}</t>
  </si>
  <si>
    <t>{$CL2-2//}</t>
  </si>
  <si>
    <t>{$CL3-2//}</t>
  </si>
  <si>
    <t>{$CL4-2//}</t>
  </si>
  <si>
    <t>{$CL5-2//}</t>
  </si>
  <si>
    <t>{$CL6-2//}</t>
  </si>
  <si>
    <t>{$CL7-2//}</t>
  </si>
  <si>
    <t>{$CL8-2//}</t>
  </si>
  <si>
    <t>{$CL9-2//}</t>
  </si>
  <si>
    <t>{$CL10-2//}</t>
  </si>
  <si>
    <t>{$CL11-2//}</t>
  </si>
  <si>
    <t>{$CL12-2//}</t>
  </si>
  <si>
    <t>{$CL13-2//}</t>
  </si>
  <si>
    <t>{$CL14-2//}</t>
  </si>
  <si>
    <t>{$CL15-2//}</t>
  </si>
  <si>
    <t>{$CL-2//}</t>
  </si>
  <si>
    <t>{$NCL1-2//}</t>
  </si>
  <si>
    <t>{$NCL2-2//}</t>
  </si>
  <si>
    <t>{$NCL3-2//}</t>
  </si>
  <si>
    <t>{$NCL4-2//}</t>
  </si>
  <si>
    <t>{$NCL5-2//}</t>
  </si>
  <si>
    <t>{$NCL6-2//}</t>
  </si>
  <si>
    <t>{$NCL7-2//}</t>
  </si>
  <si>
    <t>{$NCL8-2//}</t>
  </si>
  <si>
    <t>{$NCL9-2//}</t>
  </si>
  <si>
    <t>{$NCL10-2//}</t>
  </si>
  <si>
    <t>{$NCL11-2//}</t>
  </si>
  <si>
    <t>{$NCL-2//}</t>
  </si>
  <si>
    <t>{$L-2//}</t>
  </si>
  <si>
    <t>{$CA1-1//}</t>
  </si>
  <si>
    <t>{$CA2-1//}</t>
  </si>
  <si>
    <t>{$CA3-1//}</t>
  </si>
  <si>
    <t>{$CA4-1//}</t>
  </si>
  <si>
    <t>{$CA5-1//}</t>
  </si>
  <si>
    <t>{$CA6-1//}</t>
  </si>
  <si>
    <t>{$CA7-1//}</t>
  </si>
  <si>
    <t>{$CA8-1//}</t>
  </si>
  <si>
    <t>{$CA9-1//}</t>
  </si>
  <si>
    <t>{$CA10-1//}</t>
  </si>
  <si>
    <t>{$CA11-1//}</t>
  </si>
  <si>
    <t>{$CA12-1//}</t>
  </si>
  <si>
    <t>{$CA13-1//}</t>
  </si>
  <si>
    <t>{$CA14-1//}</t>
  </si>
  <si>
    <t>{$CA-1//}</t>
  </si>
  <si>
    <t>{$NCA1-1//}</t>
  </si>
  <si>
    <t>{$NCA2-1//}</t>
  </si>
  <si>
    <t>{$NCA3-1//}</t>
  </si>
  <si>
    <t>{$NCA4-1//}</t>
  </si>
  <si>
    <t>{$NCA5-1//}</t>
  </si>
  <si>
    <t>{$NCA6-1//}</t>
  </si>
  <si>
    <t>{$NCA7-1//}</t>
  </si>
  <si>
    <t>{$NCA8-1//}</t>
  </si>
  <si>
    <t>{$NCA9-1//}</t>
  </si>
  <si>
    <t>{$NCA10-1//}</t>
  </si>
  <si>
    <t>{$NCA11-1//}</t>
  </si>
  <si>
    <t>{$NCA12-1//}</t>
  </si>
  <si>
    <t>{$NCA13-1//}</t>
  </si>
  <si>
    <t>{$NCA14-1//}</t>
  </si>
  <si>
    <t>{$NCA15-1//}</t>
  </si>
  <si>
    <t>{$NCA-1//}</t>
  </si>
  <si>
    <t>{$A-1//}</t>
  </si>
  <si>
    <t>{$CL1-1//}</t>
  </si>
  <si>
    <t>{$CL2-1//}</t>
  </si>
  <si>
    <t>{$CL3-1//}</t>
  </si>
  <si>
    <t>{$CL4-1//}</t>
  </si>
  <si>
    <t>{$CL5-1//}</t>
  </si>
  <si>
    <t>{$CL6-1//}</t>
  </si>
  <si>
    <t>{$CL7-1//}</t>
  </si>
  <si>
    <t>{$CL8-1//}</t>
  </si>
  <si>
    <t>{$CL10-1//}</t>
  </si>
  <si>
    <t>{$CL11-1//}</t>
  </si>
  <si>
    <t>{$CL12-1//}</t>
  </si>
  <si>
    <t>{$CL13-1//}</t>
  </si>
  <si>
    <t>{$CL14-1//}</t>
  </si>
  <si>
    <t>{$CL15-1//}</t>
  </si>
  <si>
    <t>{$CL-1//}</t>
  </si>
  <si>
    <t>{$NCL1-1//}</t>
  </si>
  <si>
    <t>{$NCL2-1//}</t>
  </si>
  <si>
    <t>{$NCL3-1//}</t>
  </si>
  <si>
    <t>{$NCL4-1//}</t>
  </si>
  <si>
    <t>{$NCL5-1//}</t>
  </si>
  <si>
    <t>{$NCL6-1//}</t>
  </si>
  <si>
    <t>{$NCL7-1//}</t>
  </si>
  <si>
    <t>{$NCL8-1//}</t>
  </si>
  <si>
    <t>{$NCL9-1//}</t>
  </si>
  <si>
    <t>{$NCL10-1//}</t>
  </si>
  <si>
    <t>{$NCL11-1//}</t>
  </si>
  <si>
    <t>{$NCL-1//}</t>
  </si>
  <si>
    <t>{$L-1//}</t>
  </si>
  <si>
    <t>合并资产负债表</t>
    <phoneticPr fontId="1" type="noConversion"/>
  </si>
  <si>
    <t>{$MCA1-4}</t>
  </si>
  <si>
    <t>{$MCA2-4}</t>
  </si>
  <si>
    <t>{$MCA3-4}</t>
  </si>
  <si>
    <t>{$MCA4-4}</t>
  </si>
  <si>
    <t>{$MCA5-4}</t>
  </si>
  <si>
    <t>{$MCA6-4}</t>
  </si>
  <si>
    <t>{$MCA7-4}</t>
  </si>
  <si>
    <t>{$MCA8-4}</t>
  </si>
  <si>
    <t>{$MCA9-4}</t>
  </si>
  <si>
    <t>{$MCA10-4}</t>
  </si>
  <si>
    <t>{$MCA11-4}</t>
  </si>
  <si>
    <t>{$MCA12-4}</t>
  </si>
  <si>
    <t>{$MCA13-4}</t>
  </si>
  <si>
    <t>{$MCA14-4}</t>
  </si>
  <si>
    <t>{$MCA-4}</t>
  </si>
  <si>
    <t>{$MNCA1-4}</t>
  </si>
  <si>
    <t>{$MNCA2-4}</t>
  </si>
  <si>
    <t>母公司资产负债表</t>
    <phoneticPr fontId="1" type="noConversion"/>
  </si>
  <si>
    <t>{$MIN22-4}</t>
  </si>
  <si>
    <t>{$MIN26-4}</t>
  </si>
  <si>
    <t>{$MIN29-4}</t>
  </si>
  <si>
    <t>合并利润表</t>
    <phoneticPr fontId="1" type="noConversion"/>
  </si>
  <si>
    <t>{$MIN22-3}</t>
  </si>
  <si>
    <t>{$MIN26-3}</t>
  </si>
  <si>
    <t>{$MIN29-3}</t>
  </si>
  <si>
    <t>{$MIN22-2}</t>
  </si>
  <si>
    <t>{$MIN26-2}</t>
  </si>
  <si>
    <t>{$MIN29-2}</t>
  </si>
  <si>
    <t>{$MIN22-1}</t>
  </si>
  <si>
    <t>{$MIN26-1}</t>
  </si>
  <si>
    <t>{$MIN29-1}</t>
  </si>
  <si>
    <t>归属于母公司所有者的其他综合收益的税后净额</t>
    <phoneticPr fontId="1" type="noConversion"/>
  </si>
  <si>
    <t>归属于少数所有者的其他综合收益的税后净额</t>
    <phoneticPr fontId="1" type="noConversion"/>
  </si>
  <si>
    <t>母公司利润表</t>
    <phoneticPr fontId="1" type="noConversion"/>
  </si>
  <si>
    <t>合并现金流量表</t>
    <phoneticPr fontId="1" type="noConversion"/>
  </si>
  <si>
    <t>母公司现金流量表</t>
    <phoneticPr fontId="1" type="noConversion"/>
  </si>
  <si>
    <t>{$ZB1-4}</t>
  </si>
  <si>
    <t>{$ZB2-4}</t>
  </si>
  <si>
    <t>{$ZB3-4}</t>
  </si>
  <si>
    <t>{$ZB4-4}</t>
  </si>
  <si>
    <t>{$ZB5-4}</t>
  </si>
  <si>
    <t>{$ZB6-4}</t>
  </si>
  <si>
    <t>{$ZB7-4}</t>
  </si>
  <si>
    <t>{$ZB8-4}</t>
  </si>
  <si>
    <t>{$ZB9-4}</t>
  </si>
  <si>
    <t>{$ZB10-4}</t>
  </si>
  <si>
    <t>{$ZB11-4}</t>
  </si>
  <si>
    <t>{$ZB12-4}</t>
  </si>
  <si>
    <t>{$ZB13-4}</t>
  </si>
  <si>
    <t>{$ZB14-4}</t>
  </si>
  <si>
    <t>{$ZB15-4}</t>
  </si>
  <si>
    <t>{$ZB16-4}</t>
  </si>
  <si>
    <t>{$ZB17-4}</t>
  </si>
  <si>
    <t>{$ZB18-4}</t>
  </si>
  <si>
    <t>{$ZB19-4}</t>
  </si>
  <si>
    <t>{$ZB1-3}</t>
  </si>
  <si>
    <t>{$ZB2-3}</t>
  </si>
  <si>
    <t>{$ZB3-3}</t>
  </si>
  <si>
    <t>{$ZB4-3}</t>
  </si>
  <si>
    <t>{$ZB5-3}</t>
  </si>
  <si>
    <t>{$ZB6-3}</t>
  </si>
  <si>
    <t>{$ZB7-3}</t>
  </si>
  <si>
    <t>{$ZB8-3}</t>
  </si>
  <si>
    <t>{$ZB9-3}</t>
  </si>
  <si>
    <t>{$ZB10-3}</t>
  </si>
  <si>
    <t>{$ZB11-3}</t>
  </si>
  <si>
    <t>{$ZB12-3}</t>
  </si>
  <si>
    <t>{$ZB13-3}</t>
  </si>
  <si>
    <t>{$ZB14-3}</t>
  </si>
  <si>
    <t>{$ZB15-3}</t>
  </si>
  <si>
    <t>{$ZB16-3}</t>
  </si>
  <si>
    <t>{$ZB17-3}</t>
  </si>
  <si>
    <t>{$ZB18-3}</t>
  </si>
  <si>
    <t>{$ZB19-3}</t>
  </si>
  <si>
    <t>{$ZB1-2}</t>
  </si>
  <si>
    <t>{$ZB2-2}</t>
  </si>
  <si>
    <t>{$ZB3-2}</t>
  </si>
  <si>
    <t>{$ZB4-2}</t>
  </si>
  <si>
    <t>{$ZB5-2}</t>
  </si>
  <si>
    <t>{$ZB6-2}</t>
  </si>
  <si>
    <t>{$ZB7-2}</t>
  </si>
  <si>
    <t>{$ZB8-2}</t>
  </si>
  <si>
    <t>{$ZB9-2}</t>
  </si>
  <si>
    <t>{$ZB10-2}</t>
  </si>
  <si>
    <t>{$ZB11-2}</t>
  </si>
  <si>
    <t>{$ZB12-2}</t>
  </si>
  <si>
    <t>{$ZB13-2}</t>
  </si>
  <si>
    <t>{$ZB14-2}</t>
  </si>
  <si>
    <t>{$ZB15-2}</t>
  </si>
  <si>
    <t>{$ZB16-2}</t>
  </si>
  <si>
    <t>{$ZB17-2}</t>
  </si>
  <si>
    <t>{$ZB18-2}</t>
  </si>
  <si>
    <t>{$ZB19-2}</t>
  </si>
  <si>
    <t>{$ZB1-1}</t>
  </si>
  <si>
    <t>{$ZB2-1}</t>
  </si>
  <si>
    <t>{$ZB3-1}</t>
  </si>
  <si>
    <t>{$ZB4-1}</t>
  </si>
  <si>
    <t>{$ZB5-1}</t>
  </si>
  <si>
    <t>{$ZB6-1}</t>
  </si>
  <si>
    <t>{$ZB7-1}</t>
  </si>
  <si>
    <t>{$ZB8-1}</t>
  </si>
  <si>
    <t>{$ZB9-1}</t>
  </si>
  <si>
    <t>{$ZB10-1}</t>
  </si>
  <si>
    <t>{$ZB11-1}</t>
  </si>
  <si>
    <t>{$ZB12-1}</t>
  </si>
  <si>
    <t>{$ZB13-1}</t>
  </si>
  <si>
    <t>{$ZB14-1}</t>
  </si>
  <si>
    <t>{$ZB15-1}</t>
  </si>
  <si>
    <t>{$ZB16-1}</t>
  </si>
  <si>
    <t>{$ZB17-1}</t>
  </si>
  <si>
    <t>{$ZB18-1}</t>
  </si>
  <si>
    <t>{$ZB19-1}</t>
  </si>
  <si>
    <t>{$ZB1-2-2}</t>
  </si>
  <si>
    <t>{$ZB2-2-2}</t>
  </si>
  <si>
    <t>{$ZB3-2-2}</t>
  </si>
  <si>
    <t>{$ZB4-2-2}</t>
  </si>
  <si>
    <t>{$ZB5-2-2}</t>
  </si>
  <si>
    <t>{$ZB6-2-2}</t>
  </si>
  <si>
    <t>{$ZB7-2-2}</t>
  </si>
  <si>
    <t>{$ZB8-2-2}</t>
  </si>
  <si>
    <t>{$ZB9-2-2}</t>
  </si>
  <si>
    <t>{$ZB10-2-2}</t>
  </si>
  <si>
    <t>{$ZB11-2-2}</t>
  </si>
  <si>
    <t>{$ZB12-2-2}</t>
  </si>
  <si>
    <t>{$ZB13-2-2}</t>
  </si>
  <si>
    <t>{$ZB14-2-2}</t>
  </si>
  <si>
    <t>{$ZB15-2-2}</t>
  </si>
  <si>
    <t>{$ZB16-2-2}</t>
  </si>
  <si>
    <t>{$ZB17-2-2}</t>
  </si>
  <si>
    <t>{$ZB18-2-2}</t>
  </si>
  <si>
    <t>{$ZB19-2-2}</t>
  </si>
  <si>
    <t>财务指标</t>
    <phoneticPr fontId="1" type="noConversion"/>
  </si>
  <si>
    <t>占资产总额</t>
    <phoneticPr fontId="1" type="noConversion"/>
  </si>
  <si>
    <t>占资产部分</t>
    <phoneticPr fontId="1" type="noConversion"/>
  </si>
  <si>
    <t>占负债总额</t>
    <phoneticPr fontId="1" type="noConversion"/>
  </si>
  <si>
    <t>占负债部分</t>
    <phoneticPr fontId="1" type="noConversion"/>
  </si>
  <si>
    <t>幅度</t>
    <phoneticPr fontId="1" type="noConversion"/>
  </si>
  <si>
    <t>性质</t>
    <phoneticPr fontId="1" type="noConversion"/>
  </si>
  <si>
    <t>数值</t>
    <phoneticPr fontId="1" type="noConversion"/>
  </si>
  <si>
    <t>{$CA1-43x}</t>
  </si>
  <si>
    <t>{$CA2-43x}</t>
  </si>
  <si>
    <t>{$CA3-43x}</t>
  </si>
  <si>
    <t>{$CA4-43x}</t>
  </si>
  <si>
    <t>{$CA5-43x}</t>
  </si>
  <si>
    <t>{$CA6-43x}</t>
  </si>
  <si>
    <t>{$CA7-43x}</t>
  </si>
  <si>
    <t>{$CA8-43x}</t>
  </si>
  <si>
    <t>{$CA9-43x}</t>
  </si>
  <si>
    <t>{$CA10-43x}</t>
  </si>
  <si>
    <t>{$CA11-43x}</t>
  </si>
  <si>
    <t>{$CA12-43x}</t>
  </si>
  <si>
    <t>{$CA13-43x}</t>
  </si>
  <si>
    <t>{$CA14-43x}</t>
  </si>
  <si>
    <t>{$CA-43x}</t>
  </si>
  <si>
    <t>{$NCA1-43x}</t>
  </si>
  <si>
    <t>{$NCA2-43x}</t>
  </si>
  <si>
    <t>{$NCA3-43x}</t>
  </si>
  <si>
    <t>{$NCA4-43x}</t>
  </si>
  <si>
    <t>{$NCA5-43x}</t>
  </si>
  <si>
    <t>{$NCA6-43x}</t>
  </si>
  <si>
    <t>{$NCA7-43x}</t>
  </si>
  <si>
    <t>{$NCA8-43x}</t>
  </si>
  <si>
    <t>{$NCA9-43x}</t>
  </si>
  <si>
    <t>{$NCA10-43x}</t>
  </si>
  <si>
    <t>{$NCA11-43x}</t>
  </si>
  <si>
    <t>{$NCA12-43x}</t>
  </si>
  <si>
    <t>{$NCA13-43x}</t>
  </si>
  <si>
    <t>{$NCA14-43x}</t>
  </si>
  <si>
    <t>{$NCA15-43x}</t>
  </si>
  <si>
    <t>{$NCA-43x}</t>
  </si>
  <si>
    <t>{$A-43x}</t>
  </si>
  <si>
    <t>{$CL1-43x}</t>
  </si>
  <si>
    <t>{$CL2-43x}</t>
  </si>
  <si>
    <t>{$CL3-43x}</t>
  </si>
  <si>
    <t>{$CL4-43x}</t>
  </si>
  <si>
    <t>{$CL5-43x}</t>
  </si>
  <si>
    <t>{$CL6-43x}</t>
  </si>
  <si>
    <t>{$CL7-43x}</t>
  </si>
  <si>
    <t>{$CL8-43x}</t>
  </si>
  <si>
    <t>{$CL9-43x}</t>
  </si>
  <si>
    <t>{$CL10-43x}</t>
  </si>
  <si>
    <t>{$CL11-43x}</t>
  </si>
  <si>
    <t>{$CL12-43x}</t>
  </si>
  <si>
    <t>{$CL13-43x}</t>
  </si>
  <si>
    <t>{$CL14-43x}</t>
  </si>
  <si>
    <t>{$CL15-43x}</t>
  </si>
  <si>
    <t>{$CL-43x}</t>
  </si>
  <si>
    <t>{$NCL1-43x}</t>
  </si>
  <si>
    <t>{$NCL2-43x}</t>
  </si>
  <si>
    <t>{$NCL3-43x}</t>
  </si>
  <si>
    <t>{$NCL4-43x}</t>
  </si>
  <si>
    <t>{$NCL5-43x}</t>
  </si>
  <si>
    <t>{$NCL6-43x}</t>
  </si>
  <si>
    <t>{$NCL7-43x}</t>
  </si>
  <si>
    <t>{$NCL8-43x}</t>
  </si>
  <si>
    <t>{$NCL9-43x}</t>
  </si>
  <si>
    <t>{$NCL10-43x}</t>
  </si>
  <si>
    <t>{$NCL11-43x}</t>
  </si>
  <si>
    <t>{$NCL-43x}</t>
  </si>
  <si>
    <t>{$L-43x}</t>
  </si>
  <si>
    <t>{$CA1-43}</t>
  </si>
  <si>
    <t>{$CA2-43}</t>
  </si>
  <si>
    <t>{$CA3-43}</t>
  </si>
  <si>
    <t>{$CA4-43}</t>
  </si>
  <si>
    <t>{$CA5-43}</t>
  </si>
  <si>
    <t>{$CA6-43}</t>
  </si>
  <si>
    <t>{$CA7-43}</t>
  </si>
  <si>
    <t>{$CA8-43}</t>
  </si>
  <si>
    <t>{$CA9-43}</t>
  </si>
  <si>
    <t>{$CA10-43}</t>
  </si>
  <si>
    <t>{$CA11-43}</t>
  </si>
  <si>
    <t>{$CA12-43}</t>
  </si>
  <si>
    <t>{$CA13-43}</t>
  </si>
  <si>
    <t>{$CA14-43}</t>
  </si>
  <si>
    <t>{$CA-43}</t>
  </si>
  <si>
    <t>{$NCA1-43}</t>
  </si>
  <si>
    <t>{$NCA2-43}</t>
  </si>
  <si>
    <t>{$NCA3-43}</t>
  </si>
  <si>
    <t>{$NCA4-43}</t>
  </si>
  <si>
    <t>{$NCA5-43}</t>
  </si>
  <si>
    <t>{$NCA6-43}</t>
  </si>
  <si>
    <t>{$NCA7-43}</t>
  </si>
  <si>
    <t>{$NCA8-43}</t>
  </si>
  <si>
    <t>{$NCA9-43}</t>
  </si>
  <si>
    <t>{$NCA10-43}</t>
  </si>
  <si>
    <t>{$NCA11-43}</t>
  </si>
  <si>
    <t>{$NCA12-43}</t>
  </si>
  <si>
    <t>{$NCA13-43}</t>
  </si>
  <si>
    <t>{$NCA14-43}</t>
  </si>
  <si>
    <t>{$NCA15-43}</t>
  </si>
  <si>
    <t>{$NCA-43}</t>
  </si>
  <si>
    <t>{$A-43}</t>
  </si>
  <si>
    <t>{$CL1-43}</t>
  </si>
  <si>
    <t>{$CL2-43}</t>
  </si>
  <si>
    <t>{$CL3-43}</t>
  </si>
  <si>
    <t>{$CL4-43}</t>
  </si>
  <si>
    <t>{$CL5-43}</t>
  </si>
  <si>
    <t>{$CL6-43}</t>
  </si>
  <si>
    <t>{$CL7-43}</t>
  </si>
  <si>
    <t>{$CL8-43}</t>
  </si>
  <si>
    <t>{$CL9-43}</t>
  </si>
  <si>
    <t>{$CL10-43}</t>
  </si>
  <si>
    <t>{$CL11-43}</t>
  </si>
  <si>
    <t>{$CL12-43}</t>
  </si>
  <si>
    <t>{$CL13-43}</t>
  </si>
  <si>
    <t>{$CL14-43}</t>
  </si>
  <si>
    <t>{$CL15-43}</t>
  </si>
  <si>
    <t>{$CL-43}</t>
  </si>
  <si>
    <t>{$NCL1-43}</t>
  </si>
  <si>
    <t>{$NCL2-43}</t>
  </si>
  <si>
    <t>{$NCL3-43}</t>
  </si>
  <si>
    <t>{$NCL4-43}</t>
  </si>
  <si>
    <t>{$NCL5-43}</t>
  </si>
  <si>
    <t>{$NCL6-43}</t>
  </si>
  <si>
    <t>{$NCL7-43}</t>
  </si>
  <si>
    <t>{$NCL8-43}</t>
  </si>
  <si>
    <t>{$NCL9-43}</t>
  </si>
  <si>
    <t>{$NCL10-43}</t>
  </si>
  <si>
    <t>{$NCL11-43}</t>
  </si>
  <si>
    <t>{$NCL-43}</t>
  </si>
  <si>
    <t>{$L-43}</t>
  </si>
  <si>
    <t>最近一期比第三年变动</t>
    <phoneticPr fontId="1" type="noConversion"/>
  </si>
  <si>
    <t>{$CA1-4/3}</t>
  </si>
  <si>
    <t>{$CA2-4/3}</t>
  </si>
  <si>
    <t>{$CA3-4/3}</t>
  </si>
  <si>
    <t>{$CA4-4/3}</t>
  </si>
  <si>
    <t>{$CA5-4/3}</t>
  </si>
  <si>
    <t>{$CA6-4/3}</t>
  </si>
  <si>
    <t>{$CA7-4/3}</t>
  </si>
  <si>
    <t>{$CA8-4/3}</t>
  </si>
  <si>
    <t>{$CA9-4/3}</t>
  </si>
  <si>
    <t>{$CA10-4/3}</t>
  </si>
  <si>
    <t>{$CA11-4/3}</t>
  </si>
  <si>
    <t>{$CA12-4/3}</t>
  </si>
  <si>
    <t>{$CA13-4/3}</t>
  </si>
  <si>
    <t>{$CA14-4/3}</t>
  </si>
  <si>
    <t>{$CA-4/3}</t>
  </si>
  <si>
    <t>{$NCA1-4/3}</t>
  </si>
  <si>
    <t>{$NCA2-4/3}</t>
  </si>
  <si>
    <t>{$NCA3-4/3}</t>
  </si>
  <si>
    <t>{$NCA4-4/3}</t>
  </si>
  <si>
    <t>{$NCA5-4/3}</t>
  </si>
  <si>
    <t>{$NCA6-4/3}</t>
  </si>
  <si>
    <t>{$NCA7-4/3}</t>
  </si>
  <si>
    <t>{$NCA8-4/3}</t>
  </si>
  <si>
    <t>{$NCA9-4/3}</t>
  </si>
  <si>
    <t>{$NCA10-4/3}</t>
  </si>
  <si>
    <t>{$NCA11-4/3}</t>
  </si>
  <si>
    <t>{$NCA12-4/3}</t>
  </si>
  <si>
    <t>{$NCA13-4/3}</t>
  </si>
  <si>
    <t>{$NCA14-4/3}</t>
  </si>
  <si>
    <t>{$NCA15-4/3}</t>
  </si>
  <si>
    <t>{$NCA-4/3}</t>
  </si>
  <si>
    <t>{$A-4/3}</t>
  </si>
  <si>
    <t>{$CL1-4/3}</t>
  </si>
  <si>
    <t>{$CL2-4/3}</t>
  </si>
  <si>
    <t>{$CL3-4/3}</t>
  </si>
  <si>
    <t>{$CL4-4/3}</t>
  </si>
  <si>
    <t>{$CL5-4/3}</t>
  </si>
  <si>
    <t>{$CL6-4/3}</t>
  </si>
  <si>
    <t>{$CL7-4/3}</t>
  </si>
  <si>
    <t>{$CL8-4/3}</t>
  </si>
  <si>
    <t>{$CL9-4/3}</t>
  </si>
  <si>
    <t>{$CL10-4/3}</t>
  </si>
  <si>
    <t>{$CL11-4/3}</t>
  </si>
  <si>
    <t>{$CL12-4/3}</t>
  </si>
  <si>
    <t>{$CL13-4/3}</t>
  </si>
  <si>
    <t>{$CL14-4/3}</t>
  </si>
  <si>
    <t>{$CL15-4/3}</t>
  </si>
  <si>
    <t>{$CL-4/3}</t>
  </si>
  <si>
    <t>{$NCL1-4/3}</t>
  </si>
  <si>
    <t>{$NCL2-4/3}</t>
  </si>
  <si>
    <t>{$NCL3-4/3}</t>
  </si>
  <si>
    <t>{$NCL4-4/3}</t>
  </si>
  <si>
    <t>{$NCL5-4/3}</t>
  </si>
  <si>
    <t>{$NCL6-4/3}</t>
  </si>
  <si>
    <t>{$NCL7-4/3}</t>
  </si>
  <si>
    <t>{$NCL8-4/3}</t>
  </si>
  <si>
    <t>{$NCL9-4/3}</t>
  </si>
  <si>
    <t>{$NCL10-4/3}</t>
  </si>
  <si>
    <t>{$NCL11-4/3}</t>
  </si>
  <si>
    <t>{$NCL-4/3}</t>
  </si>
  <si>
    <t>{$L-4/3}</t>
  </si>
  <si>
    <t>{$CA1-4/3x}</t>
  </si>
  <si>
    <t>{$CA2-4/3x}</t>
  </si>
  <si>
    <t>{$CA3-4/3x}</t>
  </si>
  <si>
    <t>{$CA4-4/3x}</t>
  </si>
  <si>
    <t>{$CA5-4/3x}</t>
  </si>
  <si>
    <t>{$CA6-4/3x}</t>
  </si>
  <si>
    <t>{$CA7-4/3x}</t>
  </si>
  <si>
    <t>{$CA8-4/3x}</t>
  </si>
  <si>
    <t>{$CA9-4/3x}</t>
  </si>
  <si>
    <t>{$CA10-4/3x}</t>
  </si>
  <si>
    <t>{$CA11-4/3x}</t>
  </si>
  <si>
    <t>{$CA12-4/3x}</t>
  </si>
  <si>
    <t>{$CA13-4/3x}</t>
  </si>
  <si>
    <t>{$CA14-4/3x}</t>
  </si>
  <si>
    <t>{$CA-4/3x}</t>
  </si>
  <si>
    <t>{$NCA1-4/3x}</t>
  </si>
  <si>
    <t>{$NCA2-4/3x}</t>
  </si>
  <si>
    <t>{$NCA3-4/3x}</t>
  </si>
  <si>
    <t>{$NCA4-4/3x}</t>
  </si>
  <si>
    <t>{$NCA5-4/3x}</t>
  </si>
  <si>
    <t>{$NCA6-4/3x}</t>
  </si>
  <si>
    <t>{$NCA7-4/3x}</t>
  </si>
  <si>
    <t>{$NCA8-4/3x}</t>
  </si>
  <si>
    <t>{$NCA9-4/3x}</t>
  </si>
  <si>
    <t>{$NCA10-4/3x}</t>
  </si>
  <si>
    <t>{$NCA11-4/3x}</t>
  </si>
  <si>
    <t>{$NCA12-4/3x}</t>
  </si>
  <si>
    <t>{$NCA13-4/3x}</t>
  </si>
  <si>
    <t>{$NCA14-4/3x}</t>
  </si>
  <si>
    <t>{$NCA15-4/3x}</t>
  </si>
  <si>
    <t>{$NCA-4/3x}</t>
  </si>
  <si>
    <t>{$A-4/3x}</t>
  </si>
  <si>
    <t>{$CL1-4/3x}</t>
  </si>
  <si>
    <t>{$CL2-4/3x}</t>
  </si>
  <si>
    <t>{$CL3-4/3x}</t>
  </si>
  <si>
    <t>{$CL4-4/3x}</t>
  </si>
  <si>
    <t>{$CL5-4/3x}</t>
  </si>
  <si>
    <t>{$CL6-4/3x}</t>
  </si>
  <si>
    <t>{$CL7-4/3x}</t>
  </si>
  <si>
    <t>{$CL8-4/3x}</t>
  </si>
  <si>
    <t>{$CL9-4/3x}</t>
  </si>
  <si>
    <t>{$CL10-4/3x}</t>
  </si>
  <si>
    <t>{$CL11-4/3x}</t>
  </si>
  <si>
    <t>{$CL12-4/3x}</t>
  </si>
  <si>
    <t>{$CL13-4/3x}</t>
  </si>
  <si>
    <t>{$CL14-4/3x}</t>
  </si>
  <si>
    <t>{$CL15-4/3x}</t>
  </si>
  <si>
    <t>{$CL-4/3x}</t>
  </si>
  <si>
    <t>{$NCL1-4/3x}</t>
  </si>
  <si>
    <t>{$NCL2-4/3x}</t>
  </si>
  <si>
    <t>{$NCL3-4/3x}</t>
  </si>
  <si>
    <t>{$NCL4-4/3x}</t>
  </si>
  <si>
    <t>{$NCL5-4/3x}</t>
  </si>
  <si>
    <t>{$NCL6-4/3x}</t>
  </si>
  <si>
    <t>{$NCL7-4/3x}</t>
  </si>
  <si>
    <t>{$NCL8-4/3x}</t>
  </si>
  <si>
    <t>{$NCL9-4/3x}</t>
  </si>
  <si>
    <t>{$NCL10-4/3x}</t>
  </si>
  <si>
    <t>{$NCL11-4/3x}</t>
  </si>
  <si>
    <t>{$NCL-4/3x}</t>
  </si>
  <si>
    <t>{$L-4/3x}</t>
  </si>
  <si>
    <t>{$CA1-32}</t>
  </si>
  <si>
    <t>{$CA2-32}</t>
  </si>
  <si>
    <t>{$CA3-32}</t>
  </si>
  <si>
    <t>{$CA4-32}</t>
  </si>
  <si>
    <t>{$CA5-32}</t>
  </si>
  <si>
    <t>{$CA6-32}</t>
  </si>
  <si>
    <t>{$CA7-32}</t>
  </si>
  <si>
    <t>{$CA8-32}</t>
  </si>
  <si>
    <t>{$CA9-32}</t>
  </si>
  <si>
    <t>{$CA10-32}</t>
  </si>
  <si>
    <t>{$CA11-32}</t>
  </si>
  <si>
    <t>{$CA12-32}</t>
  </si>
  <si>
    <t>{$CA13-32}</t>
  </si>
  <si>
    <t>{$CA14-32}</t>
  </si>
  <si>
    <t>{$CA-32}</t>
  </si>
  <si>
    <t>{$NCA1-32}</t>
  </si>
  <si>
    <t>{$NCA2-32}</t>
  </si>
  <si>
    <t>{$NCA3-32}</t>
  </si>
  <si>
    <t>{$NCA4-32}</t>
  </si>
  <si>
    <t>{$NCA5-32}</t>
  </si>
  <si>
    <t>{$NCA6-32}</t>
  </si>
  <si>
    <t>{$NCA7-32}</t>
  </si>
  <si>
    <t>{$NCA8-32}</t>
  </si>
  <si>
    <t>{$NCA9-32}</t>
  </si>
  <si>
    <t>{$NCA10-32}</t>
  </si>
  <si>
    <t>{$NCA11-32}</t>
  </si>
  <si>
    <t>{$NCA12-32}</t>
  </si>
  <si>
    <t>{$NCA13-32}</t>
  </si>
  <si>
    <t>{$NCA14-32}</t>
  </si>
  <si>
    <t>{$NCA15-32}</t>
  </si>
  <si>
    <t>{$NCA-32}</t>
  </si>
  <si>
    <t>{$A-32}</t>
  </si>
  <si>
    <t>{$CL1-32}</t>
  </si>
  <si>
    <t>{$CL2-32}</t>
  </si>
  <si>
    <t>{$CL3-32}</t>
  </si>
  <si>
    <t>{$CL4-32}</t>
  </si>
  <si>
    <t>{$CL5-32}</t>
  </si>
  <si>
    <t>{$CL6-32}</t>
  </si>
  <si>
    <t>{$CL7-32}</t>
  </si>
  <si>
    <t>{$CL8-32}</t>
  </si>
  <si>
    <t>{$CL9-32}</t>
  </si>
  <si>
    <t>{$CL10-32}</t>
  </si>
  <si>
    <t>{$CL11-32}</t>
  </si>
  <si>
    <t>{$CL12-32}</t>
  </si>
  <si>
    <t>{$CL13-32}</t>
  </si>
  <si>
    <t>{$CL14-32}</t>
  </si>
  <si>
    <t>{$CL15-32}</t>
  </si>
  <si>
    <t>{$CL-32}</t>
  </si>
  <si>
    <t>{$NCL1-32}</t>
  </si>
  <si>
    <t>{$NCL2-32}</t>
  </si>
  <si>
    <t>{$NCL3-32}</t>
  </si>
  <si>
    <t>{$NCL4-32}</t>
  </si>
  <si>
    <t>{$NCL5-32}</t>
  </si>
  <si>
    <t>{$NCL6-32}</t>
  </si>
  <si>
    <t>{$NCL7-32}</t>
  </si>
  <si>
    <t>{$NCL8-32}</t>
  </si>
  <si>
    <t>{$NCL9-32}</t>
  </si>
  <si>
    <t>{$NCL10-32}</t>
  </si>
  <si>
    <t>{$NCL11-32}</t>
  </si>
  <si>
    <t>{$NCL-32}</t>
  </si>
  <si>
    <t>{$L-32}</t>
  </si>
  <si>
    <t>{$CA1-32x}</t>
  </si>
  <si>
    <t>{$CA2-32x}</t>
  </si>
  <si>
    <t>{$CA3-32x}</t>
  </si>
  <si>
    <t>{$CA4-32x}</t>
  </si>
  <si>
    <t>{$CA5-32x}</t>
  </si>
  <si>
    <t>{$CA6-32x}</t>
  </si>
  <si>
    <t>{$CA7-32x}</t>
  </si>
  <si>
    <t>{$CA8-32x}</t>
  </si>
  <si>
    <t>{$CA9-32x}</t>
  </si>
  <si>
    <t>{$CA10-32x}</t>
  </si>
  <si>
    <t>{$CA11-32x}</t>
  </si>
  <si>
    <t>{$CA12-32x}</t>
  </si>
  <si>
    <t>{$CA13-32x}</t>
  </si>
  <si>
    <t>{$CA14-32x}</t>
  </si>
  <si>
    <t>{$CA-32x}</t>
  </si>
  <si>
    <t>{$NCA1-32x}</t>
  </si>
  <si>
    <t>{$NCA2-32x}</t>
  </si>
  <si>
    <t>{$NCA3-32x}</t>
  </si>
  <si>
    <t>{$NCA4-32x}</t>
  </si>
  <si>
    <t>{$NCA5-32x}</t>
  </si>
  <si>
    <t>{$NCA6-32x}</t>
  </si>
  <si>
    <t>{$NCA7-32x}</t>
  </si>
  <si>
    <t>{$NCA8-32x}</t>
  </si>
  <si>
    <t>{$NCA9-32x}</t>
  </si>
  <si>
    <t>{$NCA10-32x}</t>
  </si>
  <si>
    <t>{$NCA11-32x}</t>
  </si>
  <si>
    <t>{$NCA12-32x}</t>
  </si>
  <si>
    <t>{$NCA13-32x}</t>
  </si>
  <si>
    <t>{$NCA14-32x}</t>
  </si>
  <si>
    <t>{$NCA15-32x}</t>
  </si>
  <si>
    <t>{$NCA-32x}</t>
  </si>
  <si>
    <t>{$A-32x}</t>
  </si>
  <si>
    <t>{$CL1-32x}</t>
  </si>
  <si>
    <t>{$CL2-32x}</t>
  </si>
  <si>
    <t>{$CL3-32x}</t>
  </si>
  <si>
    <t>{$CL4-32x}</t>
  </si>
  <si>
    <t>{$CL5-32x}</t>
  </si>
  <si>
    <t>{$CL6-32x}</t>
  </si>
  <si>
    <t>{$CL7-32x}</t>
  </si>
  <si>
    <t>{$CL8-32x}</t>
  </si>
  <si>
    <t>{$CL9-32x}</t>
  </si>
  <si>
    <t>{$CL10-32x}</t>
  </si>
  <si>
    <t>{$CL11-32x}</t>
  </si>
  <si>
    <t>{$CL12-32x}</t>
  </si>
  <si>
    <t>{$CL13-32x}</t>
  </si>
  <si>
    <t>{$CL14-32x}</t>
  </si>
  <si>
    <t>{$CL15-32x}</t>
  </si>
  <si>
    <t>{$CL-32x}</t>
  </si>
  <si>
    <t>{$NCL1-32x}</t>
  </si>
  <si>
    <t>{$NCL2-32x}</t>
  </si>
  <si>
    <t>{$NCL3-32x}</t>
  </si>
  <si>
    <t>{$NCL4-32x}</t>
  </si>
  <si>
    <t>{$NCL5-32x}</t>
  </si>
  <si>
    <t>{$NCL6-32x}</t>
  </si>
  <si>
    <t>{$NCL7-32x}</t>
  </si>
  <si>
    <t>{$NCL8-32x}</t>
  </si>
  <si>
    <t>{$NCL9-32x}</t>
  </si>
  <si>
    <t>{$NCL10-32x}</t>
  </si>
  <si>
    <t>{$NCL11-32x}</t>
  </si>
  <si>
    <t>{$NCL-32x}</t>
  </si>
  <si>
    <t>{$L-32x}</t>
  </si>
  <si>
    <t>{$CA1-3/2}</t>
  </si>
  <si>
    <t>{$CA2-3/2}</t>
  </si>
  <si>
    <t>{$CA3-3/2}</t>
  </si>
  <si>
    <t>{$CA4-3/2}</t>
  </si>
  <si>
    <t>{$CA5-3/2}</t>
  </si>
  <si>
    <t>{$CA6-3/2}</t>
  </si>
  <si>
    <t>{$CA7-3/2}</t>
  </si>
  <si>
    <t>{$CA8-3/2}</t>
  </si>
  <si>
    <t>{$CA9-3/2}</t>
  </si>
  <si>
    <t>{$CA10-3/2}</t>
  </si>
  <si>
    <t>{$CA11-3/2}</t>
  </si>
  <si>
    <t>{$CA12-3/2}</t>
  </si>
  <si>
    <t>{$CA13-3/2}</t>
  </si>
  <si>
    <t>{$CA14-3/2}</t>
  </si>
  <si>
    <t>{$CA-3/2}</t>
  </si>
  <si>
    <t>{$NCA1-3/2}</t>
  </si>
  <si>
    <t>{$NCA2-3/2}</t>
  </si>
  <si>
    <t>{$NCA3-3/2}</t>
  </si>
  <si>
    <t>{$NCA4-3/2}</t>
  </si>
  <si>
    <t>{$NCA5-3/2}</t>
  </si>
  <si>
    <t>{$NCA6-3/2}</t>
  </si>
  <si>
    <t>{$NCA7-3/2}</t>
  </si>
  <si>
    <t>{$NCA8-3/2}</t>
  </si>
  <si>
    <t>{$NCA9-3/2}</t>
  </si>
  <si>
    <t>{$NCA10-3/2}</t>
  </si>
  <si>
    <t>{$NCA11-3/2}</t>
  </si>
  <si>
    <t>{$NCA12-3/2}</t>
  </si>
  <si>
    <t>{$NCA13-3/2}</t>
  </si>
  <si>
    <t>{$NCA14-3/2}</t>
  </si>
  <si>
    <t>{$NCA15-3/2}</t>
  </si>
  <si>
    <t>{$NCA-3/2}</t>
  </si>
  <si>
    <t>{$A-3/2}</t>
  </si>
  <si>
    <t>{$CL1-3/2}</t>
  </si>
  <si>
    <t>{$CL2-3/2}</t>
  </si>
  <si>
    <t>{$CL3-3/2}</t>
  </si>
  <si>
    <t>{$CL4-3/2}</t>
  </si>
  <si>
    <t>{$CL5-3/2}</t>
  </si>
  <si>
    <t>{$CL6-3/2}</t>
  </si>
  <si>
    <t>{$CL7-3/2}</t>
  </si>
  <si>
    <t>{$CL8-3/2}</t>
  </si>
  <si>
    <t>{$CL9-3/2}</t>
  </si>
  <si>
    <t>{$CL10-3/2}</t>
  </si>
  <si>
    <t>{$CL11-3/2}</t>
  </si>
  <si>
    <t>{$CL12-3/2}</t>
  </si>
  <si>
    <t>{$CL13-3/2}</t>
  </si>
  <si>
    <t>{$CL14-3/2}</t>
  </si>
  <si>
    <t>{$CL15-3/2}</t>
  </si>
  <si>
    <t>{$CL-3/2}</t>
  </si>
  <si>
    <t>{$NCL1-3/2}</t>
  </si>
  <si>
    <t>{$NCL2-3/2}</t>
  </si>
  <si>
    <t>{$NCL3-3/2}</t>
  </si>
  <si>
    <t>{$NCL4-3/2}</t>
  </si>
  <si>
    <t>{$NCL5-3/2}</t>
  </si>
  <si>
    <t>{$NCL6-3/2}</t>
  </si>
  <si>
    <t>{$NCL7-3/2}</t>
  </si>
  <si>
    <t>{$NCL8-3/2}</t>
  </si>
  <si>
    <t>{$NCL9-3/2}</t>
  </si>
  <si>
    <t>{$NCL10-3/2}</t>
  </si>
  <si>
    <t>{$NCL11-3/2}</t>
  </si>
  <si>
    <t>{$NCL-3/2}</t>
  </si>
  <si>
    <t>{$L-3/2}</t>
  </si>
  <si>
    <t>{$CA1-3/2x}</t>
  </si>
  <si>
    <t>{$CA2-3/2x}</t>
  </si>
  <si>
    <t>{$CA3-3/2x}</t>
  </si>
  <si>
    <t>{$CA4-3/2x}</t>
  </si>
  <si>
    <t>{$CA5-3/2x}</t>
  </si>
  <si>
    <t>{$CA6-3/2x}</t>
  </si>
  <si>
    <t>{$CA7-3/2x}</t>
  </si>
  <si>
    <t>{$CA8-3/2x}</t>
  </si>
  <si>
    <t>{$CA9-3/2x}</t>
  </si>
  <si>
    <t>{$CA10-3/2x}</t>
  </si>
  <si>
    <t>{$CA11-3/2x}</t>
  </si>
  <si>
    <t>{$CA12-3/2x}</t>
  </si>
  <si>
    <t>{$CA13-3/2x}</t>
  </si>
  <si>
    <t>{$CA14-3/2x}</t>
  </si>
  <si>
    <t>{$CA-3/2x}</t>
  </si>
  <si>
    <t>{$NCA1-3/2x}</t>
  </si>
  <si>
    <t>{$NCA2-3/2x}</t>
  </si>
  <si>
    <t>{$NCA3-3/2x}</t>
  </si>
  <si>
    <t>{$NCA4-3/2x}</t>
  </si>
  <si>
    <t>{$NCA5-3/2x}</t>
  </si>
  <si>
    <t>{$NCA6-3/2x}</t>
  </si>
  <si>
    <t>{$NCA7-3/2x}</t>
  </si>
  <si>
    <t>{$NCA8-3/2x}</t>
  </si>
  <si>
    <t>{$NCA9-3/2x}</t>
  </si>
  <si>
    <t>{$NCA10-3/2x}</t>
  </si>
  <si>
    <t>{$NCA11-3/2x}</t>
  </si>
  <si>
    <t>{$NCA12-3/2x}</t>
  </si>
  <si>
    <t>{$NCA13-3/2x}</t>
  </si>
  <si>
    <t>{$NCA14-3/2x}</t>
  </si>
  <si>
    <t>{$NCA15-3/2x}</t>
  </si>
  <si>
    <t>{$NCA-3/2x}</t>
  </si>
  <si>
    <t>{$A-3/2x}</t>
  </si>
  <si>
    <t>{$CL1-3/2x}</t>
  </si>
  <si>
    <t>{$CL2-3/2x}</t>
  </si>
  <si>
    <t>{$CL3-3/2x}</t>
  </si>
  <si>
    <t>{$CL4-3/2x}</t>
  </si>
  <si>
    <t>{$CL5-3/2x}</t>
  </si>
  <si>
    <t>{$CL6-3/2x}</t>
  </si>
  <si>
    <t>{$CL7-3/2x}</t>
  </si>
  <si>
    <t>{$CL8-3/2x}</t>
  </si>
  <si>
    <t>{$CL9-3/2x}</t>
  </si>
  <si>
    <t>{$CL10-3/2x}</t>
  </si>
  <si>
    <t>{$CL11-3/2x}</t>
  </si>
  <si>
    <t>{$CL12-3/2x}</t>
  </si>
  <si>
    <t>{$CL13-3/2x}</t>
  </si>
  <si>
    <t>{$CL14-3/2x}</t>
  </si>
  <si>
    <t>{$CL15-3/2x}</t>
  </si>
  <si>
    <t>{$CL-3/2x}</t>
  </si>
  <si>
    <t>{$NCL1-3/2x}</t>
  </si>
  <si>
    <t>{$NCL2-3/2x}</t>
  </si>
  <si>
    <t>{$NCL3-3/2x}</t>
  </si>
  <si>
    <t>{$NCL4-3/2x}</t>
  </si>
  <si>
    <t>{$NCL5-3/2x}</t>
  </si>
  <si>
    <t>{$NCL6-3/2x}</t>
  </si>
  <si>
    <t>{$NCL7-3/2x}</t>
  </si>
  <si>
    <t>{$NCL8-3/2x}</t>
  </si>
  <si>
    <t>{$NCL9-3/2x}</t>
  </si>
  <si>
    <t>{$NCL10-3/2x}</t>
  </si>
  <si>
    <t>{$NCL11-3/2x}</t>
  </si>
  <si>
    <t>{$NCL-3/2x}</t>
  </si>
  <si>
    <t>{$L-3/2x}</t>
  </si>
  <si>
    <t>{$CA1-21}</t>
  </si>
  <si>
    <t>{$CA2-21}</t>
  </si>
  <si>
    <t>{$CA3-21}</t>
  </si>
  <si>
    <t>{$CA4-21}</t>
  </si>
  <si>
    <t>{$CA5-21}</t>
  </si>
  <si>
    <t>{$CA6-21}</t>
  </si>
  <si>
    <t>{$CA7-21}</t>
  </si>
  <si>
    <t>{$CA8-21}</t>
  </si>
  <si>
    <t>{$CA9-21}</t>
  </si>
  <si>
    <t>{$CA10-21}</t>
  </si>
  <si>
    <t>{$CA11-21}</t>
  </si>
  <si>
    <t>{$CA12-21}</t>
  </si>
  <si>
    <t>{$CA13-21}</t>
  </si>
  <si>
    <t>{$CA14-21}</t>
  </si>
  <si>
    <t>{$CA-21}</t>
  </si>
  <si>
    <t>{$NCA1-21}</t>
  </si>
  <si>
    <t>{$NCA2-21}</t>
  </si>
  <si>
    <t>{$NCA3-21}</t>
  </si>
  <si>
    <t>{$NCA4-21}</t>
  </si>
  <si>
    <t>{$NCA5-21}</t>
  </si>
  <si>
    <t>{$NCA6-21}</t>
  </si>
  <si>
    <t>{$NCA7-21}</t>
  </si>
  <si>
    <t>{$NCA8-21}</t>
  </si>
  <si>
    <t>{$NCA9-21}</t>
  </si>
  <si>
    <t>{$NCA10-21}</t>
  </si>
  <si>
    <t>{$NCA11-21}</t>
  </si>
  <si>
    <t>{$NCA12-21}</t>
  </si>
  <si>
    <t>{$NCA13-21}</t>
  </si>
  <si>
    <t>{$NCA14-21}</t>
  </si>
  <si>
    <t>{$NCA15-21}</t>
  </si>
  <si>
    <t>{$NCA-21}</t>
  </si>
  <si>
    <t>{$A-21}</t>
  </si>
  <si>
    <t>{$CL1-21}</t>
  </si>
  <si>
    <t>{$CL2-21}</t>
  </si>
  <si>
    <t>{$CL3-21}</t>
  </si>
  <si>
    <t>{$CL4-21}</t>
  </si>
  <si>
    <t>{$CL5-21}</t>
  </si>
  <si>
    <t>{$CL6-21}</t>
  </si>
  <si>
    <t>{$CL7-21}</t>
  </si>
  <si>
    <t>{$CL8-21}</t>
  </si>
  <si>
    <t>{$CL9-21}</t>
  </si>
  <si>
    <t>{$CL10-21}</t>
  </si>
  <si>
    <t>{$CL11-21}</t>
  </si>
  <si>
    <t>{$CL12-21}</t>
  </si>
  <si>
    <t>{$CL13-21}</t>
  </si>
  <si>
    <t>{$CL14-21}</t>
  </si>
  <si>
    <t>{$CL15-21}</t>
  </si>
  <si>
    <t>{$CL-21}</t>
  </si>
  <si>
    <t>{$NCL1-21}</t>
  </si>
  <si>
    <t>{$NCL2-21}</t>
  </si>
  <si>
    <t>{$NCL3-21}</t>
  </si>
  <si>
    <t>{$NCL4-21}</t>
  </si>
  <si>
    <t>{$NCL5-21}</t>
  </si>
  <si>
    <t>{$NCL6-21}</t>
  </si>
  <si>
    <t>{$NCL7-21}</t>
  </si>
  <si>
    <t>{$NCL8-21}</t>
  </si>
  <si>
    <t>{$NCL9-21}</t>
  </si>
  <si>
    <t>{$NCL10-21}</t>
  </si>
  <si>
    <t>{$NCL11-21}</t>
  </si>
  <si>
    <t>{$NCL-21}</t>
  </si>
  <si>
    <t>{$L-21}</t>
  </si>
  <si>
    <t>{$CA1-21x}</t>
  </si>
  <si>
    <t>{$CA2-21x}</t>
  </si>
  <si>
    <t>{$CA3-21x}</t>
  </si>
  <si>
    <t>{$CA4-21x}</t>
  </si>
  <si>
    <t>{$CA5-21x}</t>
  </si>
  <si>
    <t>{$CA6-21x}</t>
  </si>
  <si>
    <t>{$CA7-21x}</t>
  </si>
  <si>
    <t>{$CA8-21x}</t>
  </si>
  <si>
    <t>{$CA9-21x}</t>
  </si>
  <si>
    <t>{$CA10-21x}</t>
  </si>
  <si>
    <t>{$CA11-21x}</t>
  </si>
  <si>
    <t>{$CA12-21x}</t>
  </si>
  <si>
    <t>{$CA13-21x}</t>
  </si>
  <si>
    <t>{$CA14-21x}</t>
  </si>
  <si>
    <t>{$CA-21x}</t>
  </si>
  <si>
    <t>{$NCA1-21x}</t>
  </si>
  <si>
    <t>{$NCA2-21x}</t>
  </si>
  <si>
    <t>{$NCA3-21x}</t>
  </si>
  <si>
    <t>{$NCA4-21x}</t>
  </si>
  <si>
    <t>{$NCA5-21x}</t>
  </si>
  <si>
    <t>{$NCA6-21x}</t>
  </si>
  <si>
    <t>{$NCA7-21x}</t>
  </si>
  <si>
    <t>{$NCA8-21x}</t>
  </si>
  <si>
    <t>{$NCA9-21x}</t>
  </si>
  <si>
    <t>{$NCA10-21x}</t>
  </si>
  <si>
    <t>{$NCA11-21x}</t>
  </si>
  <si>
    <t>{$NCA12-21x}</t>
  </si>
  <si>
    <t>{$NCA13-21x}</t>
  </si>
  <si>
    <t>{$NCA14-21x}</t>
  </si>
  <si>
    <t>{$NCA15-21x}</t>
  </si>
  <si>
    <t>{$NCA-21x}</t>
  </si>
  <si>
    <t>{$A-21x}</t>
  </si>
  <si>
    <t>{$CL1-21x}</t>
  </si>
  <si>
    <t>{$CL2-21x}</t>
  </si>
  <si>
    <t>{$CL3-21x}</t>
  </si>
  <si>
    <t>{$CL4-21x}</t>
  </si>
  <si>
    <t>{$CL5-21x}</t>
  </si>
  <si>
    <t>{$CL6-21x}</t>
  </si>
  <si>
    <t>{$CL7-21x}</t>
  </si>
  <si>
    <t>{$CL8-21x}</t>
  </si>
  <si>
    <t>{$CL9-21x}</t>
  </si>
  <si>
    <t>{$CL10-21x}</t>
  </si>
  <si>
    <t>{$CL11-21x}</t>
  </si>
  <si>
    <t>{$CL12-21x}</t>
  </si>
  <si>
    <t>{$CL13-21x}</t>
  </si>
  <si>
    <t>{$CL14-21x}</t>
  </si>
  <si>
    <t>{$CL15-21x}</t>
  </si>
  <si>
    <t>{$CL-21x}</t>
  </si>
  <si>
    <t>{$NCL1-21x}</t>
  </si>
  <si>
    <t>{$NCL2-21x}</t>
  </si>
  <si>
    <t>{$NCL3-21x}</t>
  </si>
  <si>
    <t>{$NCL4-21x}</t>
  </si>
  <si>
    <t>{$NCL5-21x}</t>
  </si>
  <si>
    <t>{$NCL6-21x}</t>
  </si>
  <si>
    <t>{$NCL7-21x}</t>
  </si>
  <si>
    <t>{$NCL8-21x}</t>
  </si>
  <si>
    <t>{$NCL9-21x}</t>
  </si>
  <si>
    <t>{$NCL10-21x}</t>
  </si>
  <si>
    <t>{$NCL11-21x}</t>
  </si>
  <si>
    <t>{$NCL-21x}</t>
  </si>
  <si>
    <t>{$L-21x}</t>
  </si>
  <si>
    <t>{$CA1-2/1}</t>
  </si>
  <si>
    <t>{$CA2-2/1}</t>
  </si>
  <si>
    <t>{$CA3-2/1}</t>
  </si>
  <si>
    <t>{$CA4-2/1}</t>
  </si>
  <si>
    <t>{$CA5-2/1}</t>
  </si>
  <si>
    <t>{$CA6-2/1}</t>
  </si>
  <si>
    <t>{$CA7-2/1}</t>
  </si>
  <si>
    <t>{$CA8-2/1}</t>
  </si>
  <si>
    <t>{$CA9-2/1}</t>
  </si>
  <si>
    <t>{$CA10-2/1}</t>
  </si>
  <si>
    <t>{$CA11-2/1}</t>
  </si>
  <si>
    <t>{$CA12-2/1}</t>
  </si>
  <si>
    <t>{$CA13-2/1}</t>
  </si>
  <si>
    <t>{$CA14-2/1}</t>
  </si>
  <si>
    <t>{$CA-2/1}</t>
  </si>
  <si>
    <t>{$NCA1-2/1}</t>
  </si>
  <si>
    <t>{$NCA2-2/1}</t>
  </si>
  <si>
    <t>{$NCA3-2/1}</t>
  </si>
  <si>
    <t>{$NCA4-2/1}</t>
  </si>
  <si>
    <t>{$NCA5-2/1}</t>
  </si>
  <si>
    <t>{$NCA6-2/1}</t>
  </si>
  <si>
    <t>{$NCA7-2/1}</t>
  </si>
  <si>
    <t>{$NCA8-2/1}</t>
  </si>
  <si>
    <t>{$NCA9-2/1}</t>
  </si>
  <si>
    <t>{$NCA10-2/1}</t>
  </si>
  <si>
    <t>{$NCA11-2/1}</t>
  </si>
  <si>
    <t>{$NCA12-2/1}</t>
  </si>
  <si>
    <t>{$NCA13-2/1}</t>
  </si>
  <si>
    <t>{$NCA14-2/1}</t>
  </si>
  <si>
    <t>{$NCA15-2/1}</t>
  </si>
  <si>
    <t>{$NCA-2/1}</t>
  </si>
  <si>
    <t>{$A-2/1}</t>
  </si>
  <si>
    <t>{$CL1-2/1}</t>
  </si>
  <si>
    <t>{$CL2-2/1}</t>
  </si>
  <si>
    <t>{$CL3-2/1}</t>
  </si>
  <si>
    <t>{$CL4-2/1}</t>
  </si>
  <si>
    <t>{$CL5-2/1}</t>
  </si>
  <si>
    <t>{$CL6-2/1}</t>
  </si>
  <si>
    <t>{$CL7-2/1}</t>
  </si>
  <si>
    <t>{$CL8-2/1}</t>
  </si>
  <si>
    <t>{$CL9-2/1}</t>
  </si>
  <si>
    <t>{$CL10-2/1}</t>
  </si>
  <si>
    <t>{$CL11-2/1}</t>
  </si>
  <si>
    <t>{$CL12-2/1}</t>
  </si>
  <si>
    <t>{$CL13-2/1}</t>
  </si>
  <si>
    <t>{$CL14-2/1}</t>
  </si>
  <si>
    <t>{$CL15-2/1}</t>
  </si>
  <si>
    <t>{$CL-2/1}</t>
  </si>
  <si>
    <t>{$NCL1-2/1}</t>
  </si>
  <si>
    <t>{$NCL2-2/1}</t>
  </si>
  <si>
    <t>{$NCL3-2/1}</t>
  </si>
  <si>
    <t>{$NCL4-2/1}</t>
  </si>
  <si>
    <t>{$NCL5-2/1}</t>
  </si>
  <si>
    <t>{$NCL6-2/1}</t>
  </si>
  <si>
    <t>{$NCL7-2/1}</t>
  </si>
  <si>
    <t>{$NCL8-2/1}</t>
  </si>
  <si>
    <t>{$NCL9-2/1}</t>
  </si>
  <si>
    <t>{$NCL10-2/1}</t>
  </si>
  <si>
    <t>{$NCL11-2/1}</t>
  </si>
  <si>
    <t>{$NCL-2/1}</t>
  </si>
  <si>
    <t>{$L-2/1}</t>
  </si>
  <si>
    <t>{$CA1-2/1x}</t>
  </si>
  <si>
    <t>{$CA2-2/1x}</t>
  </si>
  <si>
    <t>{$CA3-2/1x}</t>
  </si>
  <si>
    <t>{$CA4-2/1x}</t>
  </si>
  <si>
    <t>{$CA5-2/1x}</t>
  </si>
  <si>
    <t>{$CA6-2/1x}</t>
  </si>
  <si>
    <t>{$CA7-2/1x}</t>
  </si>
  <si>
    <t>{$CA8-2/1x}</t>
  </si>
  <si>
    <t>{$CA9-2/1x}</t>
  </si>
  <si>
    <t>{$CA10-2/1x}</t>
  </si>
  <si>
    <t>{$CA11-2/1x}</t>
  </si>
  <si>
    <t>{$CA12-2/1x}</t>
  </si>
  <si>
    <t>{$CA13-2/1x}</t>
  </si>
  <si>
    <t>{$CA14-2/1x}</t>
  </si>
  <si>
    <t>{$CA-2/1x}</t>
  </si>
  <si>
    <t>{$NCA1-2/1x}</t>
  </si>
  <si>
    <t>{$NCA2-2/1x}</t>
  </si>
  <si>
    <t>{$NCA3-2/1x}</t>
  </si>
  <si>
    <t>{$NCA4-2/1x}</t>
  </si>
  <si>
    <t>{$NCA5-2/1x}</t>
  </si>
  <si>
    <t>{$NCA6-2/1x}</t>
  </si>
  <si>
    <t>{$NCA7-2/1x}</t>
  </si>
  <si>
    <t>{$NCA8-2/1x}</t>
  </si>
  <si>
    <t>{$NCA9-2/1x}</t>
  </si>
  <si>
    <t>{$NCA10-2/1x}</t>
  </si>
  <si>
    <t>{$NCA11-2/1x}</t>
  </si>
  <si>
    <t>{$NCA12-2/1x}</t>
  </si>
  <si>
    <t>{$NCA13-2/1x}</t>
  </si>
  <si>
    <t>{$NCA14-2/1x}</t>
  </si>
  <si>
    <t>{$NCA15-2/1x}</t>
  </si>
  <si>
    <t>{$NCA-2/1x}</t>
  </si>
  <si>
    <t>{$A-2/1x}</t>
  </si>
  <si>
    <t>{$CL1-2/1x}</t>
  </si>
  <si>
    <t>{$CL2-2/1x}</t>
  </si>
  <si>
    <t>{$CL3-2/1x}</t>
  </si>
  <si>
    <t>{$CL4-2/1x}</t>
  </si>
  <si>
    <t>{$CL5-2/1x}</t>
  </si>
  <si>
    <t>{$CL6-2/1x}</t>
  </si>
  <si>
    <t>{$CL7-2/1x}</t>
  </si>
  <si>
    <t>{$CL8-2/1x}</t>
  </si>
  <si>
    <t>{$CL9-2/1x}</t>
  </si>
  <si>
    <t>{$CL10-2/1x}</t>
  </si>
  <si>
    <t>{$CL11-2/1x}</t>
  </si>
  <si>
    <t>{$CL12-2/1x}</t>
  </si>
  <si>
    <t>{$CL13-2/1x}</t>
  </si>
  <si>
    <t>{$CL14-2/1x}</t>
  </si>
  <si>
    <t>{$CL15-2/1x}</t>
  </si>
  <si>
    <t>{$CL-2/1x}</t>
  </si>
  <si>
    <t>{$NCL1-2/1x}</t>
  </si>
  <si>
    <t>{$NCL2-2/1x}</t>
  </si>
  <si>
    <t>{$NCL3-2/1x}</t>
  </si>
  <si>
    <t>{$NCL4-2/1x}</t>
  </si>
  <si>
    <t>{$NCL5-2/1x}</t>
  </si>
  <si>
    <t>{$NCL6-2/1x}</t>
  </si>
  <si>
    <t>{$NCL7-2/1x}</t>
  </si>
  <si>
    <t>{$NCL8-2/1x}</t>
  </si>
  <si>
    <t>{$NCL9-2/1x}</t>
  </si>
  <si>
    <t>{$NCL10-2/1x}</t>
  </si>
  <si>
    <t>{$NCL11-2/1x}</t>
  </si>
  <si>
    <t>{$NCL-2/1x}</t>
  </si>
  <si>
    <t>{$L-2/1x}</t>
  </si>
  <si>
    <t>注释</t>
    <phoneticPr fontId="1" type="noConversion"/>
  </si>
  <si>
    <t>{$N1-4}</t>
  </si>
  <si>
    <t>{$N1-4}</t>
    <phoneticPr fontId="1" type="noConversion"/>
  </si>
  <si>
    <t>{$N2-4}</t>
  </si>
  <si>
    <t>{$N2-4}</t>
    <phoneticPr fontId="1" type="noConversion"/>
  </si>
  <si>
    <t>{$N3-4}</t>
  </si>
  <si>
    <t>{$N3-4}</t>
    <phoneticPr fontId="1" type="noConversion"/>
  </si>
  <si>
    <t>{$N4-4}</t>
  </si>
  <si>
    <t>{$N4-4}</t>
    <phoneticPr fontId="1" type="noConversion"/>
  </si>
  <si>
    <t>{$N5-4}</t>
  </si>
  <si>
    <t>{$N5-4}</t>
    <phoneticPr fontId="1" type="noConversion"/>
  </si>
  <si>
    <t>{$N6-4}</t>
  </si>
  <si>
    <t>{$N6-4}</t>
    <phoneticPr fontId="1" type="noConversion"/>
  </si>
  <si>
    <t>{$N7-4}</t>
  </si>
  <si>
    <t>{$N7-4}</t>
    <phoneticPr fontId="1" type="noConversion"/>
  </si>
  <si>
    <t>{$N8-4}</t>
  </si>
  <si>
    <t>{$N8-4}</t>
    <phoneticPr fontId="1" type="noConversion"/>
  </si>
  <si>
    <t>{$N9-4}</t>
  </si>
  <si>
    <t>{$N9-4}</t>
    <phoneticPr fontId="1" type="noConversion"/>
  </si>
  <si>
    <t>{$N1-4/}</t>
  </si>
  <si>
    <t>{$N1-4/}</t>
    <phoneticPr fontId="1" type="noConversion"/>
  </si>
  <si>
    <t>{$N2-4/}</t>
  </si>
  <si>
    <t>{$N2-4/}</t>
    <phoneticPr fontId="1" type="noConversion"/>
  </si>
  <si>
    <t>{$N3-4/}</t>
  </si>
  <si>
    <t>{$N3-4/}</t>
    <phoneticPr fontId="1" type="noConversion"/>
  </si>
  <si>
    <t>{$N4-4/}</t>
  </si>
  <si>
    <t>{$N4-4/}</t>
    <phoneticPr fontId="1" type="noConversion"/>
  </si>
  <si>
    <t>{$N5-4/}</t>
  </si>
  <si>
    <t>{$N5-4/}</t>
    <phoneticPr fontId="1" type="noConversion"/>
  </si>
  <si>
    <t>{$N6-4/}</t>
  </si>
  <si>
    <t>{$N6-4/}</t>
    <phoneticPr fontId="1" type="noConversion"/>
  </si>
  <si>
    <t>{$N7-4/}</t>
  </si>
  <si>
    <t>{$N7-4/}</t>
    <phoneticPr fontId="1" type="noConversion"/>
  </si>
  <si>
    <t>{$N8-4/}</t>
  </si>
  <si>
    <t>{$N8-4/}</t>
    <phoneticPr fontId="1" type="noConversion"/>
  </si>
  <si>
    <t>{$N9-4/}</t>
  </si>
  <si>
    <t>{$N9-4/}</t>
    <phoneticPr fontId="1" type="noConversion"/>
  </si>
  <si>
    <t>BS结构变动</t>
    <phoneticPr fontId="1" type="noConversion"/>
  </si>
  <si>
    <t>{$A-21x}</t>
    <phoneticPr fontId="1" type="noConversion"/>
  </si>
  <si>
    <t>{$A-2/1x}</t>
    <phoneticPr fontId="1" type="noConversion"/>
  </si>
  <si>
    <r>
      <t>{$</t>
    </r>
    <r>
      <rPr>
        <sz val="9"/>
        <color theme="1"/>
        <rFont val="宋体"/>
        <family val="3"/>
        <charset val="134"/>
      </rPr>
      <t>资产构成</t>
    </r>
    <r>
      <rPr>
        <sz val="9"/>
        <color theme="1"/>
        <rFont val="Times New Roman"/>
        <family val="1"/>
      </rPr>
      <t>}</t>
    </r>
    <phoneticPr fontId="1" type="noConversion"/>
  </si>
  <si>
    <t>{$CA-1//}</t>
    <phoneticPr fontId="1" type="noConversion"/>
  </si>
  <si>
    <t>{$N1-3}</t>
  </si>
  <si>
    <t>{$N1-3/}</t>
  </si>
  <si>
    <t>{$N2-3}</t>
  </si>
  <si>
    <t>{$N2-3/}</t>
  </si>
  <si>
    <t>{$N3-3}</t>
  </si>
  <si>
    <t>{$N3-3/}</t>
  </si>
  <si>
    <t>{$N5-3}</t>
  </si>
  <si>
    <t>{$N5-3/}</t>
  </si>
  <si>
    <t>{$N6-3}</t>
  </si>
  <si>
    <t>{$N6-3/}</t>
  </si>
  <si>
    <t>{$N7-3}</t>
  </si>
  <si>
    <t>{$N7-3/}</t>
  </si>
  <si>
    <t>{$N8-3}</t>
  </si>
  <si>
    <t>{$N8-3/}</t>
  </si>
  <si>
    <t>{$N9-3}</t>
  </si>
  <si>
    <t>{$N9-3/}</t>
  </si>
  <si>
    <t>{$N1-3}</t>
    <phoneticPr fontId="1" type="noConversion"/>
  </si>
  <si>
    <t>{$N2-3}</t>
    <phoneticPr fontId="1" type="noConversion"/>
  </si>
  <si>
    <t>{$N3-3}</t>
    <phoneticPr fontId="1" type="noConversion"/>
  </si>
  <si>
    <t>{$N4-3}</t>
  </si>
  <si>
    <t>{$N4-3}</t>
    <phoneticPr fontId="1" type="noConversion"/>
  </si>
  <si>
    <t>{$N5-3}</t>
    <phoneticPr fontId="1" type="noConversion"/>
  </si>
  <si>
    <t>{$N6-3}</t>
    <phoneticPr fontId="1" type="noConversion"/>
  </si>
  <si>
    <t>{$N7-3}</t>
    <phoneticPr fontId="1" type="noConversion"/>
  </si>
  <si>
    <t>{$N8-3}</t>
    <phoneticPr fontId="1" type="noConversion"/>
  </si>
  <si>
    <t>{$N9-3}</t>
    <phoneticPr fontId="1" type="noConversion"/>
  </si>
  <si>
    <t>{$N1-3/}</t>
    <phoneticPr fontId="1" type="noConversion"/>
  </si>
  <si>
    <t>{$N2-3/}</t>
    <phoneticPr fontId="1" type="noConversion"/>
  </si>
  <si>
    <t>{$N3-3/}</t>
    <phoneticPr fontId="1" type="noConversion"/>
  </si>
  <si>
    <t>{$N4-3/}</t>
  </si>
  <si>
    <t>{$N4-3/}</t>
    <phoneticPr fontId="1" type="noConversion"/>
  </si>
  <si>
    <t>{$N5-3/}</t>
    <phoneticPr fontId="1" type="noConversion"/>
  </si>
  <si>
    <t>{$N6-3/}</t>
    <phoneticPr fontId="1" type="noConversion"/>
  </si>
  <si>
    <t>{$N7-3/}</t>
    <phoneticPr fontId="1" type="noConversion"/>
  </si>
  <si>
    <t>{$N8-3/}</t>
    <phoneticPr fontId="1" type="noConversion"/>
  </si>
  <si>
    <t>{$N9-3/}</t>
    <phoneticPr fontId="1" type="noConversion"/>
  </si>
  <si>
    <t>分析</t>
    <phoneticPr fontId="1" type="noConversion"/>
  </si>
  <si>
    <r>
      <t xml:space="preserve">           </t>
    </r>
    <r>
      <rPr>
        <sz val="10"/>
        <rFont val="宋体"/>
        <family val="3"/>
        <charset val="134"/>
      </rPr>
      <t>专项应付款</t>
    </r>
    <phoneticPr fontId="1" type="noConversion"/>
  </si>
  <si>
    <r>
      <t xml:space="preserve">           </t>
    </r>
    <r>
      <rPr>
        <sz val="10"/>
        <rFont val="宋体"/>
        <family val="3"/>
        <charset val="134"/>
      </rPr>
      <t>永续债</t>
    </r>
    <phoneticPr fontId="1" type="noConversion"/>
  </si>
  <si>
    <t>{$CA3-3}</t>
    <phoneticPr fontId="1" type="noConversion"/>
  </si>
  <si>
    <t>{$CA4-3}</t>
    <phoneticPr fontId="1" type="noConversion"/>
  </si>
  <si>
    <t>{$MCA3-3}</t>
    <phoneticPr fontId="1" type="noConversion"/>
  </si>
  <si>
    <t>{$MCA4-3}</t>
    <phoneticPr fontId="1" type="noConversion"/>
  </si>
  <si>
    <t>{$CA3-3//}</t>
    <phoneticPr fontId="1" type="noConversion"/>
  </si>
  <si>
    <t>{$CA4-3//}</t>
    <phoneticPr fontId="1" type="noConversion"/>
  </si>
  <si>
    <t>{$CA2-3//}</t>
    <phoneticPr fontId="1" type="noConversion"/>
  </si>
  <si>
    <t>{$CA3-3/}</t>
    <phoneticPr fontId="1" type="noConversion"/>
  </si>
  <si>
    <t>{$CA4-3/}</t>
    <phoneticPr fontId="1" type="noConversion"/>
  </si>
  <si>
    <t>经营活动</t>
    <phoneticPr fontId="1" type="noConversion"/>
  </si>
  <si>
    <t>投资活动</t>
    <phoneticPr fontId="1" type="noConversion"/>
  </si>
  <si>
    <t>筹资活动</t>
    <phoneticPr fontId="1" type="noConversion"/>
  </si>
  <si>
    <t>现金净增加</t>
    <phoneticPr fontId="1" type="noConversion"/>
  </si>
  <si>
    <t>O4-32</t>
    <phoneticPr fontId="1" type="noConversion"/>
  </si>
  <si>
    <t>O9-32</t>
    <phoneticPr fontId="1" type="noConversion"/>
  </si>
  <si>
    <t>O-32</t>
    <phoneticPr fontId="1" type="noConversion"/>
  </si>
  <si>
    <t>I6-32</t>
    <phoneticPr fontId="1" type="noConversion"/>
  </si>
  <si>
    <t>I11-32</t>
    <phoneticPr fontId="1" type="noConversion"/>
  </si>
  <si>
    <t>I-32</t>
    <phoneticPr fontId="1" type="noConversion"/>
  </si>
  <si>
    <t>F5-32</t>
    <phoneticPr fontId="1" type="noConversion"/>
  </si>
  <si>
    <t>F9-32</t>
    <phoneticPr fontId="1" type="noConversion"/>
  </si>
  <si>
    <t>F-32</t>
    <phoneticPr fontId="1" type="noConversion"/>
  </si>
  <si>
    <t>O4-32x</t>
  </si>
  <si>
    <t>O9-32x</t>
  </si>
  <si>
    <t>O-32x</t>
  </si>
  <si>
    <t>I6-32x</t>
  </si>
  <si>
    <t>I11-32x</t>
  </si>
  <si>
    <t>I-32x</t>
  </si>
  <si>
    <t>F5-32x</t>
  </si>
  <si>
    <t>F9-32x</t>
  </si>
  <si>
    <t>F-32x</t>
  </si>
  <si>
    <t>O4-3/2x</t>
  </si>
  <si>
    <t>O9-3/2x</t>
  </si>
  <si>
    <t>O-3/2x</t>
  </si>
  <si>
    <t>I6-3/2x</t>
  </si>
  <si>
    <t>I11-3/2x</t>
  </si>
  <si>
    <t>I-3/2x</t>
  </si>
  <si>
    <t>F5-3/2x</t>
  </si>
  <si>
    <t>F9-3/2x</t>
  </si>
  <si>
    <t>F-3/2x</t>
  </si>
  <si>
    <t>O4-21x</t>
  </si>
  <si>
    <t>O9-21x</t>
  </si>
  <si>
    <t>I6-21x</t>
  </si>
  <si>
    <t>I11-21x</t>
  </si>
  <si>
    <t>I-21x</t>
  </si>
  <si>
    <t>F5-21x</t>
  </si>
  <si>
    <t>F9-21x</t>
  </si>
  <si>
    <t>F-21x</t>
  </si>
  <si>
    <t>O4-2/1x</t>
  </si>
  <si>
    <t>O9-2/1x</t>
  </si>
  <si>
    <t>O-2/1x</t>
  </si>
  <si>
    <t>I6-2/1x</t>
  </si>
  <si>
    <t>I11-2/1x</t>
  </si>
  <si>
    <t>I-2/1x</t>
  </si>
  <si>
    <t>F5-2/1x</t>
  </si>
  <si>
    <t>F9-2/1x</t>
  </si>
  <si>
    <t>F-2/1x</t>
  </si>
  <si>
    <t>经营活动产生的现金流量</t>
  </si>
  <si>
    <t>流入</t>
  </si>
  <si>
    <t>流出</t>
  </si>
  <si>
    <t>净额</t>
  </si>
  <si>
    <t>投资活动产生的现金流量</t>
  </si>
  <si>
    <t>筹资活动产生的现金流量</t>
  </si>
  <si>
    <t>现金及现金等价物净增加额</t>
  </si>
  <si>
    <t>增幅</t>
    <phoneticPr fontId="1" type="noConversion"/>
  </si>
  <si>
    <t>降幅</t>
    <phoneticPr fontId="1" type="noConversion"/>
  </si>
  <si>
    <t>×</t>
    <phoneticPr fontId="1" type="noConversion"/>
  </si>
  <si>
    <t>O-21x</t>
    <phoneticPr fontId="1" type="noConversion"/>
  </si>
  <si>
    <t>由流出变为流入</t>
    <phoneticPr fontId="1" type="noConversion"/>
  </si>
  <si>
    <t>由流入变为流出</t>
    <phoneticPr fontId="1" type="noConversion"/>
  </si>
  <si>
    <r>
      <t>{$</t>
    </r>
    <r>
      <rPr>
        <sz val="9"/>
        <color theme="1"/>
        <rFont val="宋体"/>
        <family val="3"/>
        <charset val="134"/>
      </rPr>
      <t>模拟变动基准日</t>
    </r>
    <r>
      <rPr>
        <sz val="9"/>
        <color theme="1"/>
        <rFont val="Times New Roman"/>
        <family val="1"/>
      </rPr>
      <t>}</t>
    </r>
    <phoneticPr fontId="1" type="noConversion"/>
  </si>
  <si>
    <t>期间费用合计</t>
    <phoneticPr fontId="1" type="noConversion"/>
  </si>
  <si>
    <t>期间费用占比</t>
    <phoneticPr fontId="1" type="noConversion"/>
  </si>
  <si>
    <t>{IN4-4}</t>
  </si>
  <si>
    <t>{IN4-4/}</t>
  </si>
  <si>
    <t>{IN4-3}</t>
  </si>
  <si>
    <t>{IN4-3/}</t>
  </si>
  <si>
    <t>{IN4-2}</t>
  </si>
  <si>
    <t>{IN4-2/}</t>
  </si>
  <si>
    <t>{IN4-1}</t>
  </si>
  <si>
    <t>{IN4-1/}</t>
  </si>
  <si>
    <t>{IN5-4}</t>
  </si>
  <si>
    <t>{IN5-4/}</t>
  </si>
  <si>
    <t>{IN5-3}</t>
  </si>
  <si>
    <t>{IN5-3/}</t>
  </si>
  <si>
    <t>{IN5-2}</t>
  </si>
  <si>
    <t>{IN5-2/}</t>
  </si>
  <si>
    <t>{IN5-1}</t>
  </si>
  <si>
    <t>{IN5-1/}</t>
  </si>
  <si>
    <t>{IN6-4}</t>
  </si>
  <si>
    <t>{IN6-4/}</t>
  </si>
  <si>
    <t>{IN6-3}</t>
  </si>
  <si>
    <t>{IN6-3/}</t>
  </si>
  <si>
    <t>{IN6-2}</t>
  </si>
  <si>
    <t>{IN6-2/}</t>
  </si>
  <si>
    <t>{IN6-1}</t>
  </si>
  <si>
    <t>{IN6-1/}</t>
  </si>
  <si>
    <t>{IN7-4}</t>
  </si>
  <si>
    <t>{IN7-4/}</t>
  </si>
  <si>
    <t>{IN7-3}</t>
  </si>
  <si>
    <t>{IN7-3/}</t>
  </si>
  <si>
    <t>{IN7-2}</t>
  </si>
  <si>
    <t>{IN7-2/}</t>
  </si>
  <si>
    <t>{IN7-1}</t>
  </si>
  <si>
    <t>{IN7-1/}</t>
  </si>
  <si>
    <t>替换要素</t>
    <phoneticPr fontId="1" type="noConversion"/>
  </si>
  <si>
    <t>{$CL9-1}</t>
    <phoneticPr fontId="1" type="noConversion"/>
  </si>
  <si>
    <t>{$MCL9-1}</t>
    <phoneticPr fontId="1" type="noConversion"/>
  </si>
  <si>
    <t>{$CL9-1//}</t>
    <phoneticPr fontId="1" type="noConversion"/>
  </si>
  <si>
    <t>{$CL9-1/}</t>
    <phoneticPr fontId="1" type="noConversion"/>
  </si>
  <si>
    <t>{$O4-32x}</t>
  </si>
  <si>
    <t>{$O9-32x}</t>
  </si>
  <si>
    <t>{$O-32x}</t>
  </si>
  <si>
    <t>{$I6-32x}</t>
  </si>
  <si>
    <t>{$I11-32x}</t>
  </si>
  <si>
    <t>{$I-32x}</t>
  </si>
  <si>
    <t>{$F5-32x}</t>
  </si>
  <si>
    <t>{$F9-32x}</t>
  </si>
  <si>
    <t>{$F-32x}</t>
  </si>
  <si>
    <t>{$O4-32}</t>
  </si>
  <si>
    <t>{$O9-32}</t>
  </si>
  <si>
    <t>{$O-32}</t>
  </si>
  <si>
    <t>{$I6-32}</t>
  </si>
  <si>
    <t>{$I11-32}</t>
  </si>
  <si>
    <t>{$I-32}</t>
  </si>
  <si>
    <t>{$F5-32}</t>
  </si>
  <si>
    <t>{$F9-32}</t>
  </si>
  <si>
    <t>{$F-32}</t>
  </si>
  <si>
    <t>{$O4-3/2x}</t>
  </si>
  <si>
    <t>{$O9-3/2x}</t>
  </si>
  <si>
    <t>{$O-3/2x}</t>
  </si>
  <si>
    <t>{$I6-3/2x}</t>
  </si>
  <si>
    <t>{$I11-3/2x}</t>
  </si>
  <si>
    <t>{$I-3/2x}</t>
  </si>
  <si>
    <t>{$F5-3/2x}</t>
  </si>
  <si>
    <t>{$F9-3/2x}</t>
  </si>
  <si>
    <t>{$F-3/2x}</t>
  </si>
  <si>
    <t>{$O4-3/2}</t>
  </si>
  <si>
    <t>{$O9-3/2}</t>
  </si>
  <si>
    <t>{$O-3/2}</t>
  </si>
  <si>
    <t>{$I6-3/2}</t>
  </si>
  <si>
    <t>{$I11-3/2}</t>
  </si>
  <si>
    <t>{$I-3/2}</t>
  </si>
  <si>
    <t>{$F5-3/2}</t>
  </si>
  <si>
    <t>{$F9-3/2}</t>
  </si>
  <si>
    <t>{$F-3/2}</t>
  </si>
  <si>
    <t>{$O4-21x}</t>
  </si>
  <si>
    <t>{$O9-21x}</t>
  </si>
  <si>
    <t>{$O-21x}</t>
  </si>
  <si>
    <t>{$I6-21x}</t>
  </si>
  <si>
    <t>{$I11-21x}</t>
  </si>
  <si>
    <t>{$I-21x}</t>
  </si>
  <si>
    <t>{$F5-21x}</t>
  </si>
  <si>
    <t>{$F9-21x}</t>
  </si>
  <si>
    <t>{$F-21x}</t>
  </si>
  <si>
    <t>{$O4-21}</t>
  </si>
  <si>
    <t>{$O9-21}</t>
  </si>
  <si>
    <t>{$O-21}</t>
  </si>
  <si>
    <t>{$I6-21}</t>
  </si>
  <si>
    <t>{$I11-21}</t>
  </si>
  <si>
    <t>{$I-21}</t>
  </si>
  <si>
    <t>{$F5-21}</t>
  </si>
  <si>
    <t>{$F9-21}</t>
  </si>
  <si>
    <t>{$F-21}</t>
  </si>
  <si>
    <t>{$O4-2/1x}</t>
  </si>
  <si>
    <t>{$O9-2/1x}</t>
  </si>
  <si>
    <t>{$O-2/1x}</t>
  </si>
  <si>
    <t>{$I6-2/1x}</t>
  </si>
  <si>
    <t>{$I11-2/1x}</t>
  </si>
  <si>
    <t>{$I-2/1x}</t>
  </si>
  <si>
    <t>{$F5-2/1x}</t>
  </si>
  <si>
    <t>{$F9-2/1x}</t>
  </si>
  <si>
    <t>{$F-2/1x}</t>
  </si>
  <si>
    <t>{$O4-2/1}</t>
  </si>
  <si>
    <t>{$O9-2/1}</t>
  </si>
  <si>
    <t>{$O-2/1}</t>
  </si>
  <si>
    <t>{$I6-2/1}</t>
  </si>
  <si>
    <t>{$I11-2/1}</t>
  </si>
  <si>
    <t>{$I-2/1}</t>
  </si>
  <si>
    <t>{$F5-2/1}</t>
  </si>
  <si>
    <t>{$F9-2/1}</t>
  </si>
  <si>
    <t>{$F-2/1}</t>
  </si>
  <si>
    <t>{$IN1-32x}</t>
  </si>
  <si>
    <t>{$IN2-32x}</t>
  </si>
  <si>
    <t>{$IN4-32x}</t>
  </si>
  <si>
    <t>{$IN5-32x}</t>
  </si>
  <si>
    <t>{$IN7-32x}</t>
  </si>
  <si>
    <t>{$IN10-32x}</t>
  </si>
  <si>
    <t>{$IN11-32x}</t>
  </si>
  <si>
    <t>{$IN17-32x}</t>
  </si>
  <si>
    <t>{$IN18-32x}</t>
  </si>
  <si>
    <t>{$IN1-32}</t>
  </si>
  <si>
    <t>{$IN2-32}</t>
  </si>
  <si>
    <t>{$IN4-32}</t>
  </si>
  <si>
    <t>{$IN5-32}</t>
  </si>
  <si>
    <t>{$IN7-32}</t>
  </si>
  <si>
    <t>{$IN10-32}</t>
  </si>
  <si>
    <t>{$IN11-32}</t>
  </si>
  <si>
    <t>{$IN17-32}</t>
  </si>
  <si>
    <t>{$IN18-32}</t>
  </si>
  <si>
    <t>{$IN1-3/2x}</t>
  </si>
  <si>
    <t>{$IN2-3/2x}</t>
  </si>
  <si>
    <t>{$IN4-3/2x}</t>
  </si>
  <si>
    <t>{$IN5-3/2x}</t>
  </si>
  <si>
    <t>{$IN7-3/2x}</t>
  </si>
  <si>
    <t>{$IN10-3/2x}</t>
  </si>
  <si>
    <t>{$IN11-3/2x}</t>
  </si>
  <si>
    <t>{$IN17-3/2x}</t>
  </si>
  <si>
    <t>{$IN18-3/2x}</t>
  </si>
  <si>
    <t>{$IN1-3/2}</t>
  </si>
  <si>
    <t>{$IN2-3/2}</t>
  </si>
  <si>
    <t>{$IN4-3/2}</t>
  </si>
  <si>
    <t>{$IN5-3/2}</t>
  </si>
  <si>
    <t>{$IN7-3/2}</t>
  </si>
  <si>
    <t>{$IN10-3/2}</t>
  </si>
  <si>
    <t>{$IN11-3/2}</t>
  </si>
  <si>
    <t>{$IN17-3/2}</t>
  </si>
  <si>
    <t>{$IN18-3/2}</t>
  </si>
  <si>
    <t>{$IN1-21x}</t>
  </si>
  <si>
    <t>{$IN2-21x}</t>
  </si>
  <si>
    <t>{$IN4-21x}</t>
  </si>
  <si>
    <t>{$IN5-21x}</t>
  </si>
  <si>
    <t>{$IN7-21x}</t>
  </si>
  <si>
    <t>{$IN10-21x}</t>
  </si>
  <si>
    <t>{$IN11-21x}</t>
  </si>
  <si>
    <t>{$IN17-21x}</t>
  </si>
  <si>
    <t>{$IN18-21x}</t>
  </si>
  <si>
    <t>{$IN1-21}</t>
  </si>
  <si>
    <t>{$IN2-21}</t>
  </si>
  <si>
    <t>{$IN4-21}</t>
  </si>
  <si>
    <t>{$IN5-21}</t>
  </si>
  <si>
    <t>{$IN7-21}</t>
  </si>
  <si>
    <t>{$IN10-21}</t>
  </si>
  <si>
    <t>{$IN11-21}</t>
  </si>
  <si>
    <t>{$IN17-21}</t>
  </si>
  <si>
    <t>{$IN18-21}</t>
  </si>
  <si>
    <t>{$IN1-2/1x}</t>
  </si>
  <si>
    <t>{$IN2-2/1x}</t>
  </si>
  <si>
    <t>{$IN4-2/1x}</t>
  </si>
  <si>
    <t>{$IN5-2/1x}</t>
  </si>
  <si>
    <t>{$IN7-2/1x}</t>
  </si>
  <si>
    <t>{$IN10-2/1x}</t>
  </si>
  <si>
    <t>{$IN11-2/1x}</t>
  </si>
  <si>
    <t>{$IN17-2/1x}</t>
  </si>
  <si>
    <t>{$IN18-2/1x}</t>
  </si>
  <si>
    <t>{$IN1-2/1}</t>
  </si>
  <si>
    <t>{$IN2-2/1}</t>
  </si>
  <si>
    <t>{$IN4-2/1}</t>
  </si>
  <si>
    <t>{$IN5-2/1}</t>
  </si>
  <si>
    <t>{$IN7-2/1}</t>
  </si>
  <si>
    <t>{$IN10-2/1}</t>
  </si>
  <si>
    <t>{$IN11-2/1}</t>
  </si>
  <si>
    <t>{$IN17-2/1}</t>
  </si>
  <si>
    <t>{$IN18-2/1}</t>
  </si>
  <si>
    <t>{$INQ4}</t>
  </si>
  <si>
    <t>{$INQ3}</t>
  </si>
  <si>
    <t>{$INQ2}</t>
  </si>
  <si>
    <t>{$INQ1}</t>
  </si>
  <si>
    <t>{$INQ4/}</t>
  </si>
  <si>
    <t>{$INQ3/}</t>
  </si>
  <si>
    <t>{$INQ2/}</t>
  </si>
  <si>
    <t>{$INQ1/}</t>
  </si>
  <si>
    <t>{$IN4-4/}</t>
  </si>
  <si>
    <t>{$IN5-4/}</t>
  </si>
  <si>
    <t>{$IN6-4/}</t>
  </si>
  <si>
    <t>{$IN7-4/}</t>
  </si>
  <si>
    <t>{$IN4-3/}</t>
  </si>
  <si>
    <t>{$IN5-3/}</t>
  </si>
  <si>
    <t>{$IN6-3/}</t>
  </si>
  <si>
    <t>{$IN7-3/}</t>
  </si>
  <si>
    <t>{$IN4-2/}</t>
  </si>
  <si>
    <t>{$IN5-2/}</t>
  </si>
  <si>
    <t>{$IN6-2/}</t>
  </si>
  <si>
    <t>{$IN7-2/}</t>
  </si>
  <si>
    <t>{$IN4-1/}</t>
  </si>
  <si>
    <t>{$IN5-1/}</t>
  </si>
  <si>
    <t>{$IN6-1/}</t>
  </si>
  <si>
    <t>{$IN7-1/}</t>
  </si>
  <si>
    <t>{$IN6-32x}</t>
    <phoneticPr fontId="1" type="noConversion"/>
  </si>
  <si>
    <t>{$IN6-32}</t>
    <phoneticPr fontId="1" type="noConversion"/>
  </si>
  <si>
    <t>{$IN6-3/2x}</t>
    <phoneticPr fontId="1" type="noConversion"/>
  </si>
  <si>
    <t>{$IN6-3/2}</t>
    <phoneticPr fontId="1" type="noConversion"/>
  </si>
  <si>
    <t>{$IN6-21x}</t>
    <phoneticPr fontId="1" type="noConversion"/>
  </si>
  <si>
    <t>{$IN6-21}</t>
    <phoneticPr fontId="1" type="noConversion"/>
  </si>
  <si>
    <t>{$IN6-2/1x}</t>
    <phoneticPr fontId="1" type="noConversion"/>
  </si>
  <si>
    <t>{$IN6-2/1}</t>
    <phoneticPr fontId="1" type="noConversion"/>
  </si>
  <si>
    <r>
      <t>{$</t>
    </r>
    <r>
      <rPr>
        <sz val="9"/>
        <color theme="1"/>
        <rFont val="宋体"/>
        <family val="3"/>
        <charset val="134"/>
      </rPr>
      <t>负债构成}</t>
    </r>
    <phoneticPr fontId="1" type="noConversion"/>
  </si>
  <si>
    <t>流动比率</t>
  </si>
  <si>
    <t>速动比率</t>
  </si>
  <si>
    <t>速动比率</t>
    <phoneticPr fontId="1" type="noConversion"/>
  </si>
  <si>
    <t>应收账款周转率</t>
  </si>
  <si>
    <t>应收账款周转率</t>
    <phoneticPr fontId="1" type="noConversion"/>
  </si>
  <si>
    <t>存货周转率</t>
  </si>
  <si>
    <t>存货周转率</t>
    <phoneticPr fontId="1" type="noConversion"/>
  </si>
  <si>
    <t>此两项非公开必填</t>
    <phoneticPr fontId="1" type="noConversion"/>
  </si>
  <si>
    <t>资产负债率（%）</t>
  </si>
  <si>
    <t>债务资本比率（%）</t>
  </si>
  <si>
    <t>营业毛利率（%）</t>
  </si>
  <si>
    <t>平均总资产回报率（%）</t>
  </si>
  <si>
    <t>加权平均净资产收益率（%）</t>
  </si>
  <si>
    <t>扣除非经常性损益后加权平均净资产收益率（%）</t>
  </si>
  <si>
    <t>EBITDA全部债务比</t>
  </si>
  <si>
    <t>EBITDA利息倍数</t>
  </si>
  <si>
    <t>S1</t>
    <phoneticPr fontId="1" type="noConversion"/>
  </si>
  <si>
    <t>S2</t>
    <phoneticPr fontId="1" type="noConversion"/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</si>
  <si>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</si>
  <si>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</si>
  <si>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</si>
  <si>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</si>
  <si>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</si>
  <si>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</si>
  <si>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</si>
  <si>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</si>
  <si>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</si>
  <si>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</si>
  <si>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</si>
  <si>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</si>
  <si>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</si>
  <si>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</si>
  <si>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</si>
  <si>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</si>
  <si>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</si>
  <si>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</si>
  <si>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</si>
  <si>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</si>
  <si>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</si>
  <si>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</si>
  <si>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</si>
  <si>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总资产（亿元）</t>
  </si>
  <si>
    <t>总负债（亿元）</t>
  </si>
  <si>
    <t>全部债务（亿元）</t>
  </si>
  <si>
    <t>所有者权益（亿元）</t>
  </si>
  <si>
    <t>营业总收入（亿元）</t>
  </si>
  <si>
    <t>利润总额（亿元）</t>
  </si>
  <si>
    <t>净利润（亿元）</t>
  </si>
  <si>
    <t>扣除非经常性损益后的净利润（亿元）</t>
  </si>
  <si>
    <t>归属于母公司所有者的净利润（亿元）</t>
  </si>
  <si>
    <t>经营活动产生现金流量净额（亿元）</t>
  </si>
  <si>
    <t>投资活动产生现金流量净额（亿元）</t>
  </si>
  <si>
    <t>筹资活动产生现金流量净额（亿元）</t>
  </si>
  <si>
    <t>EBITDA（亿元）</t>
  </si>
  <si>
    <t>{$S1-4}</t>
  </si>
  <si>
    <t>{$S2-4}</t>
  </si>
  <si>
    <t>{$S3-4}</t>
  </si>
  <si>
    <t>{$S4-4}</t>
  </si>
  <si>
    <t>{$S5-4}</t>
  </si>
  <si>
    <t>{$S6-4}</t>
  </si>
  <si>
    <t>{$S7-4}</t>
  </si>
  <si>
    <t>{$S8-4}</t>
  </si>
  <si>
    <t>{$S9-4}</t>
  </si>
  <si>
    <t>{$S10-4}</t>
  </si>
  <si>
    <t>{$S11-4}</t>
  </si>
  <si>
    <t>{$S12-4}</t>
  </si>
  <si>
    <t>{$S13-4}</t>
  </si>
  <si>
    <t>{$S14-4}</t>
  </si>
  <si>
    <t>{$S15-4}</t>
  </si>
  <si>
    <t>{$S16-4}</t>
  </si>
  <si>
    <t>{$S17-4}</t>
  </si>
  <si>
    <t>{$S18-4}</t>
  </si>
  <si>
    <t>{$S19-4}</t>
  </si>
  <si>
    <t>{$S20-4}</t>
  </si>
  <si>
    <t>{$S21-4}</t>
  </si>
  <si>
    <t>{$S22-4}</t>
  </si>
  <si>
    <t>{$S23-4}</t>
  </si>
  <si>
    <t>{$S24-4}</t>
  </si>
  <si>
    <t>{$S25-4}</t>
  </si>
  <si>
    <t>{$S1-3}</t>
  </si>
  <si>
    <t>{$S2-3}</t>
  </si>
  <si>
    <t>{$S3-3}</t>
  </si>
  <si>
    <t>{$S4-3}</t>
  </si>
  <si>
    <t>{$S5-3}</t>
  </si>
  <si>
    <t>{$S6-3}</t>
  </si>
  <si>
    <t>{$S7-3}</t>
  </si>
  <si>
    <t>{$S8-3}</t>
  </si>
  <si>
    <t>{$S9-3}</t>
  </si>
  <si>
    <t>{$S10-3}</t>
  </si>
  <si>
    <t>{$S11-3}</t>
  </si>
  <si>
    <t>{$S12-3}</t>
  </si>
  <si>
    <t>{$S13-3}</t>
  </si>
  <si>
    <t>{$S14-3}</t>
  </si>
  <si>
    <t>{$S15-3}</t>
  </si>
  <si>
    <t>{$S16-3}</t>
  </si>
  <si>
    <t>{$S17-3}</t>
  </si>
  <si>
    <t>{$S18-3}</t>
  </si>
  <si>
    <t>{$S19-3}</t>
  </si>
  <si>
    <t>{$S20-3}</t>
  </si>
  <si>
    <t>{$S21-3}</t>
  </si>
  <si>
    <t>{$S22-3}</t>
  </si>
  <si>
    <t>{$S23-3}</t>
  </si>
  <si>
    <t>{$S24-3}</t>
  </si>
  <si>
    <t>{$S25-3}</t>
  </si>
  <si>
    <t>{$S1-2}</t>
  </si>
  <si>
    <t>{$S2-2}</t>
  </si>
  <si>
    <t>{$S3-2}</t>
  </si>
  <si>
    <t>{$S4-2}</t>
  </si>
  <si>
    <t>{$S5-2}</t>
  </si>
  <si>
    <t>{$S6-2}</t>
  </si>
  <si>
    <t>{$S7-2}</t>
  </si>
  <si>
    <t>{$S8-2}</t>
  </si>
  <si>
    <t>{$S9-2}</t>
  </si>
  <si>
    <t>{$S10-2}</t>
  </si>
  <si>
    <t>{$S11-2}</t>
  </si>
  <si>
    <t>{$S12-2}</t>
  </si>
  <si>
    <t>{$S13-2}</t>
  </si>
  <si>
    <t>{$S14-2}</t>
  </si>
  <si>
    <t>{$S15-2}</t>
  </si>
  <si>
    <t>{$S16-2}</t>
  </si>
  <si>
    <t>{$S17-2}</t>
  </si>
  <si>
    <t>{$S18-2}</t>
  </si>
  <si>
    <t>{$S19-2}</t>
  </si>
  <si>
    <t>{$S20-2}</t>
  </si>
  <si>
    <t>{$S21-2}</t>
  </si>
  <si>
    <t>{$S22-2}</t>
  </si>
  <si>
    <t>{$S23-2}</t>
  </si>
  <si>
    <t>{$S24-2}</t>
  </si>
  <si>
    <t>{$S25-2}</t>
  </si>
  <si>
    <t>{$S1-1}</t>
  </si>
  <si>
    <t>{$S2-1}</t>
  </si>
  <si>
    <t>{$S3-1}</t>
  </si>
  <si>
    <t>{$S4-1}</t>
  </si>
  <si>
    <t>{$S5-1}</t>
  </si>
  <si>
    <t>{$S6-1}</t>
  </si>
  <si>
    <t>{$S7-1}</t>
  </si>
  <si>
    <t>{$S8-1}</t>
  </si>
  <si>
    <t>{$S9-1}</t>
  </si>
  <si>
    <t>{$S10-1}</t>
  </si>
  <si>
    <t>{$S11-1}</t>
  </si>
  <si>
    <t>{$S12-1}</t>
  </si>
  <si>
    <t>{$S13-1}</t>
  </si>
  <si>
    <t>{$S14-1}</t>
  </si>
  <si>
    <t>{$S15-1}</t>
  </si>
  <si>
    <t>{$S16-1}</t>
  </si>
  <si>
    <t>{$S17-1}</t>
  </si>
  <si>
    <t>{$S18-1}</t>
  </si>
  <si>
    <t>{$S19-1}</t>
  </si>
  <si>
    <t>{$S20-1}</t>
  </si>
  <si>
    <t>{$S21-1}</t>
  </si>
  <si>
    <t>{$S22-1}</t>
  </si>
  <si>
    <t>{$S23-1}</t>
  </si>
  <si>
    <t>{$S24-1}</t>
  </si>
  <si>
    <t>{$S25-1}</t>
  </si>
  <si>
    <t>{$S18-2-2}</t>
  </si>
  <si>
    <t>{$S18-2-2}</t>
    <phoneticPr fontId="1" type="noConversion"/>
  </si>
  <si>
    <t>{$S19-2-2}</t>
  </si>
  <si>
    <t>{$S19-2-2}</t>
    <phoneticPr fontId="1" type="noConversion"/>
  </si>
  <si>
    <t>{$S20-2-2}</t>
  </si>
  <si>
    <t>{$S20-2-2}</t>
    <phoneticPr fontId="1" type="noConversion"/>
  </si>
  <si>
    <t>{$S24-2-2}</t>
  </si>
  <si>
    <t>{$S24-2-2}</t>
    <phoneticPr fontId="1" type="noConversion"/>
  </si>
  <si>
    <t>{$S25-2-2}</t>
  </si>
  <si>
    <t>{$S25-2-2}</t>
    <phoneticPr fontId="1" type="noConversion"/>
  </si>
  <si>
    <t>应收账款（亿元）</t>
  </si>
  <si>
    <t>其他应收款（亿元）</t>
  </si>
  <si>
    <t>对外担保（亿元）</t>
  </si>
  <si>
    <t>资产抵押、质押或其他受限金额（亿元）</t>
  </si>
  <si>
    <t>S26</t>
  </si>
  <si>
    <t>S27</t>
  </si>
  <si>
    <t>S28</t>
  </si>
  <si>
    <t>S29</t>
  </si>
  <si>
    <t>{$S26-4}</t>
  </si>
  <si>
    <t>{$S27-4}</t>
  </si>
  <si>
    <t>{$S28-4}</t>
  </si>
  <si>
    <t>{$S29-4}</t>
  </si>
  <si>
    <t>{$S26-3}</t>
  </si>
  <si>
    <t>{$S27-3}</t>
  </si>
  <si>
    <t>{$S28-3}</t>
  </si>
  <si>
    <t>{$S29-3}</t>
  </si>
  <si>
    <t>{$S26-2}</t>
  </si>
  <si>
    <t>{$S27-2}</t>
  </si>
  <si>
    <t>{$S28-2}</t>
  </si>
  <si>
    <t>{$S29-2}</t>
  </si>
  <si>
    <t>用于项目建设</t>
    <phoneticPr fontId="1" type="noConversion"/>
  </si>
  <si>
    <t>{$CA3-3}</t>
  </si>
  <si>
    <t>{$CA4-3}</t>
  </si>
  <si>
    <t>申报文件4-11</t>
    <phoneticPr fontId="1" type="noConversion"/>
  </si>
  <si>
    <t>（单位：万元）</t>
    <phoneticPr fontId="1" type="noConversion"/>
  </si>
  <si>
    <t>募集资金</t>
    <phoneticPr fontId="1" type="noConversion"/>
  </si>
  <si>
    <t>以一期数为基准（适用于三年一期、两年一期）</t>
    <phoneticPr fontId="1" type="noConversion"/>
  </si>
  <si>
    <t>以最近一年数为准（适用于三年、两年）</t>
    <phoneticPr fontId="1" type="noConversion"/>
  </si>
  <si>
    <t>{$E1-43}</t>
  </si>
  <si>
    <t>{$E2-43}</t>
  </si>
  <si>
    <t>{$E3-43}</t>
  </si>
  <si>
    <t>{$E4-43}</t>
  </si>
  <si>
    <t>{$E5-43}</t>
  </si>
  <si>
    <t>{$E6-43}</t>
  </si>
  <si>
    <t>{$E7-43}</t>
  </si>
  <si>
    <t>{$E8-43}</t>
  </si>
  <si>
    <t>{$E9-43}</t>
  </si>
  <si>
    <t>{$E10-43}</t>
  </si>
  <si>
    <t>{$E11-43}</t>
  </si>
  <si>
    <t>{$E12-43}</t>
  </si>
  <si>
    <t>{$E-43}</t>
  </si>
  <si>
    <t>{$E1-4/3}</t>
  </si>
  <si>
    <t>{$E2-4/3}</t>
  </si>
  <si>
    <t>{$E3-4/3}</t>
  </si>
  <si>
    <t>{$E4-4/3}</t>
  </si>
  <si>
    <t>{$E5-4/3}</t>
  </si>
  <si>
    <t>{$E6-4/3}</t>
  </si>
  <si>
    <t>{$E7-4/3}</t>
  </si>
  <si>
    <t>{$E8-4/3}</t>
  </si>
  <si>
    <t>{$E9-4/3}</t>
  </si>
  <si>
    <t>{$E10-4/3}</t>
  </si>
  <si>
    <t>{$E11-4/3}</t>
  </si>
  <si>
    <t>{$E12-4/3}</t>
  </si>
  <si>
    <t>{$E-4/3}</t>
  </si>
  <si>
    <t>{$E1-2/1}</t>
  </si>
  <si>
    <t>{$E2-2/1}</t>
  </si>
  <si>
    <t>{$E3-2/1}</t>
  </si>
  <si>
    <t>{$E4-2/1}</t>
  </si>
  <si>
    <t>{$E5-2/1}</t>
  </si>
  <si>
    <t>{$E6-2/1}</t>
  </si>
  <si>
    <t>{$E7-2/1}</t>
  </si>
  <si>
    <t>{$E8-2/1}</t>
  </si>
  <si>
    <t>{$E9-2/1}</t>
  </si>
  <si>
    <t>{$E10-2/1}</t>
  </si>
  <si>
    <t>{$E11-2/1}</t>
  </si>
  <si>
    <t>{$E12-2/1}</t>
  </si>
  <si>
    <t>{$E-2/1}</t>
  </si>
  <si>
    <t>{$E1-21}</t>
  </si>
  <si>
    <t>{$E2-21}</t>
  </si>
  <si>
    <t>{$E3-21}</t>
  </si>
  <si>
    <t>{$E4-21}</t>
  </si>
  <si>
    <t>{$E5-21}</t>
  </si>
  <si>
    <t>{$E6-21}</t>
  </si>
  <si>
    <t>{$E7-21}</t>
  </si>
  <si>
    <t>{$E8-21}</t>
  </si>
  <si>
    <t>{$E9-21}</t>
  </si>
  <si>
    <t>{$E10-21}</t>
  </si>
  <si>
    <t>{$E11-21}</t>
  </si>
  <si>
    <t>{$E12-21}</t>
  </si>
  <si>
    <t>{$E-21}</t>
  </si>
  <si>
    <t>{$E1-3/2}</t>
  </si>
  <si>
    <t>{$E2-3/2}</t>
  </si>
  <si>
    <t>{$E3-3/2}</t>
  </si>
  <si>
    <t>{$E4-3/2}</t>
  </si>
  <si>
    <t>{$E5-3/2}</t>
  </si>
  <si>
    <t>{$E6-3/2}</t>
  </si>
  <si>
    <t>{$E7-3/2}</t>
  </si>
  <si>
    <t>{$E8-3/2}</t>
  </si>
  <si>
    <t>{$E9-3/2}</t>
  </si>
  <si>
    <t>{$E10-3/2}</t>
  </si>
  <si>
    <t>{$E11-3/2}</t>
  </si>
  <si>
    <t>{$E12-3/2}</t>
  </si>
  <si>
    <t>{$E-3/2}</t>
  </si>
  <si>
    <t>{$E1-32}</t>
  </si>
  <si>
    <t>{$E2-32}</t>
  </si>
  <si>
    <t>{$E3-32}</t>
  </si>
  <si>
    <t>{$E4-32}</t>
  </si>
  <si>
    <t>{$E5-32}</t>
  </si>
  <si>
    <t>{$E6-32}</t>
  </si>
  <si>
    <t>{$E7-32}</t>
  </si>
  <si>
    <t>{$E8-32}</t>
  </si>
  <si>
    <t>{$E9-32}</t>
  </si>
  <si>
    <t>{$E10-32}</t>
  </si>
  <si>
    <t>{$E11-32}</t>
  </si>
  <si>
    <t>{$E12-32}</t>
  </si>
  <si>
    <t>{$E-32}</t>
  </si>
  <si>
    <t>模拟变动基准日（即报告期末）</t>
    <phoneticPr fontId="1" type="noConversion"/>
  </si>
  <si>
    <t>{$IN3-32x}</t>
  </si>
  <si>
    <t>{$IN6-32x}</t>
  </si>
  <si>
    <t>{$IN8-32x}</t>
  </si>
  <si>
    <t>{$IN9-32x}</t>
  </si>
  <si>
    <t>{$IN12-32x}</t>
  </si>
  <si>
    <t>{$IN13-32x}</t>
  </si>
  <si>
    <t>{$IN14-32x}</t>
  </si>
  <si>
    <t>{$IN15-32x}</t>
  </si>
  <si>
    <t>{$IN16-32x}</t>
  </si>
  <si>
    <t>{$IN19-32x}</t>
  </si>
  <si>
    <t>{$IN20-32x}</t>
  </si>
  <si>
    <t>{$IN21-32x}</t>
  </si>
  <si>
    <t>{$IN22-32x}</t>
  </si>
  <si>
    <t>{$IN23-32x}</t>
  </si>
  <si>
    <t>{$IN24-32x}</t>
  </si>
  <si>
    <t>{$IN25-32x}</t>
  </si>
  <si>
    <t>{$IN26-32x}</t>
  </si>
  <si>
    <t>{$IN27-32x}</t>
  </si>
  <si>
    <t>{$IN28-32x}</t>
  </si>
  <si>
    <t>{$IN29-32x}</t>
  </si>
  <si>
    <t>{$IN30-32x}</t>
  </si>
  <si>
    <t>{$IN31-32x}</t>
  </si>
  <si>
    <t>{$IN32-32x}</t>
  </si>
  <si>
    <t>{$IN33-32x}</t>
  </si>
  <si>
    <t>{$IN34-32x}</t>
  </si>
  <si>
    <t>{$IN35-32x}</t>
  </si>
  <si>
    <t>{$IN36-32x}</t>
  </si>
  <si>
    <t>{$IN37-32x}</t>
  </si>
  <si>
    <t>{$IN38-32x}</t>
  </si>
  <si>
    <t>{$IN39-32x}</t>
  </si>
  <si>
    <t>{$IN40-32x}</t>
  </si>
  <si>
    <t>{$IN41-32x}</t>
  </si>
  <si>
    <t>{$IN3-32}</t>
  </si>
  <si>
    <t>{$IN6-32}</t>
  </si>
  <si>
    <t>{$IN8-32}</t>
  </si>
  <si>
    <t>{$IN9-32}</t>
  </si>
  <si>
    <t>{$IN12-32}</t>
  </si>
  <si>
    <t>{$IN13-32}</t>
  </si>
  <si>
    <t>{$IN14-32}</t>
  </si>
  <si>
    <t>{$IN15-32}</t>
  </si>
  <si>
    <t>{$IN16-32}</t>
  </si>
  <si>
    <t>{$IN19-32}</t>
  </si>
  <si>
    <t>{$IN20-32}</t>
  </si>
  <si>
    <t>{$IN21-32}</t>
  </si>
  <si>
    <t>{$IN22-32}</t>
  </si>
  <si>
    <t>{$IN23-32}</t>
  </si>
  <si>
    <t>{$IN24-32}</t>
  </si>
  <si>
    <t>{$IN25-32}</t>
  </si>
  <si>
    <t>{$IN26-32}</t>
  </si>
  <si>
    <t>{$IN27-32}</t>
  </si>
  <si>
    <t>{$IN28-32}</t>
  </si>
  <si>
    <t>{$IN29-32}</t>
  </si>
  <si>
    <t>{$IN30-32}</t>
  </si>
  <si>
    <t>{$IN31-32}</t>
  </si>
  <si>
    <t>{$IN32-32}</t>
  </si>
  <si>
    <t>{$IN33-32}</t>
  </si>
  <si>
    <t>{$IN34-32}</t>
  </si>
  <si>
    <t>{$IN35-32}</t>
  </si>
  <si>
    <t>{$IN36-32}</t>
  </si>
  <si>
    <t>{$IN37-32}</t>
  </si>
  <si>
    <t>{$IN38-32}</t>
  </si>
  <si>
    <t>{$IN39-32}</t>
  </si>
  <si>
    <t>{$IN40-32}</t>
  </si>
  <si>
    <t>{$IN41-32}</t>
  </si>
  <si>
    <t>{$IN3-3/2x}</t>
  </si>
  <si>
    <t>{$IN6-3/2x}</t>
  </si>
  <si>
    <t>{$IN8-3/2x}</t>
  </si>
  <si>
    <t>{$IN9-3/2x}</t>
  </si>
  <si>
    <t>{$IN12-3/2x}</t>
  </si>
  <si>
    <t>{$IN13-3/2x}</t>
  </si>
  <si>
    <t>{$IN14-3/2x}</t>
  </si>
  <si>
    <t>{$IN15-3/2x}</t>
  </si>
  <si>
    <t>{$IN16-3/2x}</t>
  </si>
  <si>
    <t>{$IN19-3/2x}</t>
  </si>
  <si>
    <t>{$IN20-3/2x}</t>
  </si>
  <si>
    <t>{$IN21-3/2x}</t>
  </si>
  <si>
    <t>{$IN22-3/2x}</t>
  </si>
  <si>
    <t>{$IN23-3/2x}</t>
  </si>
  <si>
    <t>{$IN24-3/2x}</t>
  </si>
  <si>
    <t>{$IN25-3/2x}</t>
  </si>
  <si>
    <t>{$IN26-3/2x}</t>
  </si>
  <si>
    <t>{$IN27-3/2x}</t>
  </si>
  <si>
    <t>{$IN28-3/2x}</t>
  </si>
  <si>
    <t>{$IN29-3/2x}</t>
  </si>
  <si>
    <t>{$IN30-3/2x}</t>
  </si>
  <si>
    <t>{$IN31-3/2x}</t>
  </si>
  <si>
    <t>{$IN32-3/2x}</t>
  </si>
  <si>
    <t>{$IN33-3/2x}</t>
  </si>
  <si>
    <t>{$IN34-3/2x}</t>
  </si>
  <si>
    <t>{$IN35-3/2x}</t>
  </si>
  <si>
    <t>{$IN36-3/2x}</t>
  </si>
  <si>
    <t>{$IN37-3/2x}</t>
  </si>
  <si>
    <t>{$IN38-3/2x}</t>
  </si>
  <si>
    <t>{$IN39-3/2x}</t>
  </si>
  <si>
    <t>{$IN40-3/2x}</t>
  </si>
  <si>
    <t>{$IN41-3/2x}</t>
  </si>
  <si>
    <t>{$IN3-3/2}</t>
  </si>
  <si>
    <t>{$IN6-3/2}</t>
  </si>
  <si>
    <t>{$IN8-3/2}</t>
  </si>
  <si>
    <t>{$IN9-3/2}</t>
  </si>
  <si>
    <t>{$IN12-3/2}</t>
  </si>
  <si>
    <t>{$IN13-3/2}</t>
  </si>
  <si>
    <t>{$IN14-3/2}</t>
  </si>
  <si>
    <t>{$IN15-3/2}</t>
  </si>
  <si>
    <t>{$IN16-3/2}</t>
  </si>
  <si>
    <t>{$IN19-3/2}</t>
  </si>
  <si>
    <t>{$IN20-3/2}</t>
  </si>
  <si>
    <t>{$IN21-3/2}</t>
  </si>
  <si>
    <t>{$IN22-3/2}</t>
  </si>
  <si>
    <t>{$IN23-3/2}</t>
  </si>
  <si>
    <t>{$IN24-3/2}</t>
  </si>
  <si>
    <t>{$IN25-3/2}</t>
  </si>
  <si>
    <t>{$IN26-3/2}</t>
  </si>
  <si>
    <t>{$IN27-3/2}</t>
  </si>
  <si>
    <t>{$IN28-3/2}</t>
  </si>
  <si>
    <t>{$IN29-3/2}</t>
  </si>
  <si>
    <t>{$IN30-3/2}</t>
  </si>
  <si>
    <t>{$IN31-3/2}</t>
  </si>
  <si>
    <t>{$IN32-3/2}</t>
  </si>
  <si>
    <t>{$IN33-3/2}</t>
  </si>
  <si>
    <t>{$IN34-3/2}</t>
  </si>
  <si>
    <t>{$IN35-3/2}</t>
  </si>
  <si>
    <t>{$IN36-3/2}</t>
  </si>
  <si>
    <t>{$IN37-3/2}</t>
  </si>
  <si>
    <t>{$IN38-3/2}</t>
  </si>
  <si>
    <t>{$IN39-3/2}</t>
  </si>
  <si>
    <t>{$IN40-3/2}</t>
  </si>
  <si>
    <t>{$IN41-3/2}</t>
  </si>
  <si>
    <t>{$IN3-21x}</t>
  </si>
  <si>
    <t>{$IN6-21x}</t>
  </si>
  <si>
    <t>{$IN8-21x}</t>
  </si>
  <si>
    <t>{$IN9-21x}</t>
  </si>
  <si>
    <t>{$IN12-21x}</t>
  </si>
  <si>
    <t>{$IN13-21x}</t>
  </si>
  <si>
    <t>{$IN14-21x}</t>
  </si>
  <si>
    <t>{$IN15-21x}</t>
  </si>
  <si>
    <t>{$IN16-21x}</t>
  </si>
  <si>
    <t>{$IN19-21x}</t>
  </si>
  <si>
    <t>{$IN20-21x}</t>
  </si>
  <si>
    <t>{$IN21-21x}</t>
  </si>
  <si>
    <t>{$IN22-21x}</t>
  </si>
  <si>
    <t>{$IN23-21x}</t>
  </si>
  <si>
    <t>{$IN24-21x}</t>
  </si>
  <si>
    <t>{$IN25-21x}</t>
  </si>
  <si>
    <t>{$IN26-21x}</t>
  </si>
  <si>
    <t>{$IN27-21x}</t>
  </si>
  <si>
    <t>{$IN28-21x}</t>
  </si>
  <si>
    <t>{$IN29-21x}</t>
  </si>
  <si>
    <t>{$IN30-21x}</t>
  </si>
  <si>
    <t>{$IN31-21x}</t>
  </si>
  <si>
    <t>{$IN32-21x}</t>
  </si>
  <si>
    <t>{$IN33-21x}</t>
  </si>
  <si>
    <t>{$IN34-21x}</t>
  </si>
  <si>
    <t>{$IN35-21x}</t>
  </si>
  <si>
    <t>{$IN36-21x}</t>
  </si>
  <si>
    <t>{$IN37-21x}</t>
  </si>
  <si>
    <t>{$IN38-21x}</t>
  </si>
  <si>
    <t>{$IN39-21x}</t>
  </si>
  <si>
    <t>{$IN40-21x}</t>
  </si>
  <si>
    <t>{$IN41-21x}</t>
  </si>
  <si>
    <t>{$IN3-21}</t>
  </si>
  <si>
    <t>{$IN6-21}</t>
  </si>
  <si>
    <t>{$IN8-21}</t>
  </si>
  <si>
    <t>{$IN9-21}</t>
  </si>
  <si>
    <t>{$IN12-21}</t>
  </si>
  <si>
    <t>{$IN13-21}</t>
  </si>
  <si>
    <t>{$IN14-21}</t>
  </si>
  <si>
    <t>{$IN15-21}</t>
  </si>
  <si>
    <t>{$IN16-21}</t>
  </si>
  <si>
    <t>{$IN19-21}</t>
  </si>
  <si>
    <t>{$IN20-21}</t>
  </si>
  <si>
    <t>{$IN21-21}</t>
  </si>
  <si>
    <t>{$IN22-21}</t>
  </si>
  <si>
    <t>{$IN23-21}</t>
  </si>
  <si>
    <t>{$IN24-21}</t>
  </si>
  <si>
    <t>{$IN25-21}</t>
  </si>
  <si>
    <t>{$IN26-21}</t>
  </si>
  <si>
    <t>{$IN27-21}</t>
  </si>
  <si>
    <t>{$IN28-21}</t>
  </si>
  <si>
    <t>{$IN29-21}</t>
  </si>
  <si>
    <t>{$IN30-21}</t>
  </si>
  <si>
    <t>{$IN31-21}</t>
  </si>
  <si>
    <t>{$IN32-21}</t>
  </si>
  <si>
    <t>{$IN33-21}</t>
  </si>
  <si>
    <t>{$IN34-21}</t>
  </si>
  <si>
    <t>{$IN35-21}</t>
  </si>
  <si>
    <t>{$IN36-21}</t>
  </si>
  <si>
    <t>{$IN37-21}</t>
  </si>
  <si>
    <t>{$IN38-21}</t>
  </si>
  <si>
    <t>{$IN39-21}</t>
  </si>
  <si>
    <t>{$IN40-21}</t>
  </si>
  <si>
    <t>{$IN41-21}</t>
  </si>
  <si>
    <t>{$IN3-2/1x}</t>
  </si>
  <si>
    <t>{$IN6-2/1x}</t>
  </si>
  <si>
    <t>{$IN8-2/1x}</t>
  </si>
  <si>
    <t>{$IN9-2/1x}</t>
  </si>
  <si>
    <t>{$IN12-2/1x}</t>
  </si>
  <si>
    <t>{$IN13-2/1x}</t>
  </si>
  <si>
    <t>{$IN14-2/1x}</t>
  </si>
  <si>
    <t>{$IN15-2/1x}</t>
  </si>
  <si>
    <t>{$IN16-2/1x}</t>
  </si>
  <si>
    <t>{$IN19-2/1x}</t>
  </si>
  <si>
    <t>{$IN20-2/1x}</t>
  </si>
  <si>
    <t>{$IN21-2/1x}</t>
  </si>
  <si>
    <t>{$IN22-2/1x}</t>
  </si>
  <si>
    <t>{$IN23-2/1x}</t>
  </si>
  <si>
    <t>{$IN24-2/1x}</t>
  </si>
  <si>
    <t>{$IN25-2/1x}</t>
  </si>
  <si>
    <t>{$IN26-2/1x}</t>
  </si>
  <si>
    <t>{$IN27-2/1x}</t>
  </si>
  <si>
    <t>{$IN28-2/1x}</t>
  </si>
  <si>
    <t>{$IN29-2/1x}</t>
  </si>
  <si>
    <t>{$IN30-2/1x}</t>
  </si>
  <si>
    <t>{$IN31-2/1x}</t>
  </si>
  <si>
    <t>{$IN32-2/1x}</t>
  </si>
  <si>
    <t>{$IN33-2/1x}</t>
  </si>
  <si>
    <t>{$IN34-2/1x}</t>
  </si>
  <si>
    <t>{$IN35-2/1x}</t>
  </si>
  <si>
    <t>{$IN36-2/1x}</t>
  </si>
  <si>
    <t>{$IN37-2/1x}</t>
  </si>
  <si>
    <t>{$IN38-2/1x}</t>
  </si>
  <si>
    <t>{$IN39-2/1x}</t>
  </si>
  <si>
    <t>{$IN40-2/1x}</t>
  </si>
  <si>
    <t>{$IN41-2/1x}</t>
  </si>
  <si>
    <t>{$IN3-2/1}</t>
  </si>
  <si>
    <t>{$IN6-2/1}</t>
  </si>
  <si>
    <t>{$IN8-2/1}</t>
  </si>
  <si>
    <t>{$IN9-2/1}</t>
  </si>
  <si>
    <t>{$IN12-2/1}</t>
  </si>
  <si>
    <t>{$IN13-2/1}</t>
  </si>
  <si>
    <t>{$IN14-2/1}</t>
  </si>
  <si>
    <t>{$IN15-2/1}</t>
  </si>
  <si>
    <t>{$IN16-2/1}</t>
  </si>
  <si>
    <t>{$IN19-2/1}</t>
  </si>
  <si>
    <t>{$IN20-2/1}</t>
  </si>
  <si>
    <t>{$IN21-2/1}</t>
  </si>
  <si>
    <t>{$IN22-2/1}</t>
  </si>
  <si>
    <t>{$IN23-2/1}</t>
  </si>
  <si>
    <t>{$IN24-2/1}</t>
  </si>
  <si>
    <t>{$IN25-2/1}</t>
  </si>
  <si>
    <t>{$IN26-2/1}</t>
  </si>
  <si>
    <t>{$IN27-2/1}</t>
  </si>
  <si>
    <t>{$IN28-2/1}</t>
  </si>
  <si>
    <t>{$IN29-2/1}</t>
  </si>
  <si>
    <t>{$IN30-2/1}</t>
  </si>
  <si>
    <t>{$IN31-2/1}</t>
  </si>
  <si>
    <t>{$IN32-2/1}</t>
  </si>
  <si>
    <t>{$IN33-2/1}</t>
  </si>
  <si>
    <t>{$IN34-2/1}</t>
  </si>
  <si>
    <t>{$IN35-2/1}</t>
  </si>
  <si>
    <t>{$IN36-2/1}</t>
  </si>
  <si>
    <t>{$IN37-2/1}</t>
  </si>
  <si>
    <t>{$IN38-2/1}</t>
  </si>
  <si>
    <t>{$IN39-2/1}</t>
  </si>
  <si>
    <t>{$IN40-2/1}</t>
  </si>
  <si>
    <t>{$IN41-2/1}</t>
  </si>
  <si>
    <t>销售费用占比</t>
    <phoneticPr fontId="1" type="noConversion"/>
  </si>
  <si>
    <t>管理费用占比</t>
    <phoneticPr fontId="1" type="noConversion"/>
  </si>
  <si>
    <t>研发费用占比</t>
    <phoneticPr fontId="1" type="noConversion"/>
  </si>
  <si>
    <t>财务费用占比</t>
    <phoneticPr fontId="1" type="noConversion"/>
  </si>
  <si>
    <r>
      <t xml:space="preserve">         </t>
    </r>
    <r>
      <rPr>
        <sz val="10"/>
        <color rgb="FFFF0000"/>
        <rFont val="宋体"/>
        <family val="3"/>
        <charset val="134"/>
      </rPr>
      <t>销售费用</t>
    </r>
    <phoneticPr fontId="1" type="noConversion"/>
  </si>
  <si>
    <r>
      <t xml:space="preserve">         </t>
    </r>
    <r>
      <rPr>
        <sz val="10"/>
        <color rgb="FFFF0000"/>
        <rFont val="宋体"/>
        <family val="3"/>
        <charset val="134"/>
      </rPr>
      <t>管理费用</t>
    </r>
    <phoneticPr fontId="1" type="noConversion"/>
  </si>
  <si>
    <r>
      <t xml:space="preserve">         </t>
    </r>
    <r>
      <rPr>
        <sz val="10"/>
        <color rgb="FFFF0000"/>
        <rFont val="宋体"/>
        <family val="3"/>
        <charset val="134"/>
      </rPr>
      <t>研发费用</t>
    </r>
    <phoneticPr fontId="2" type="noConversion"/>
  </si>
  <si>
    <r>
      <t xml:space="preserve">         </t>
    </r>
    <r>
      <rPr>
        <sz val="10"/>
        <color rgb="FFFF0000"/>
        <rFont val="宋体"/>
        <family val="3"/>
        <charset val="134"/>
      </rPr>
      <t>财务费用</t>
    </r>
    <phoneticPr fontId="1" type="noConversion"/>
  </si>
  <si>
    <r>
      <t>{$</t>
    </r>
    <r>
      <rPr>
        <sz val="9"/>
        <color theme="1"/>
        <rFont val="宋体"/>
        <family val="3"/>
        <charset val="134"/>
      </rPr>
      <t>报告期末}</t>
    </r>
    <phoneticPr fontId="1" type="noConversion"/>
  </si>
  <si>
    <t>{$CL-3//}</t>
    <phoneticPr fontId="1" type="noConversion"/>
  </si>
  <si>
    <t>流动负债占总负债的比重</t>
    <phoneticPr fontId="1" type="noConversion"/>
  </si>
  <si>
    <t>{$N10-4}</t>
    <phoneticPr fontId="1" type="noConversion"/>
  </si>
  <si>
    <t>{$N10-4}</t>
    <phoneticPr fontId="1" type="noConversion"/>
  </si>
  <si>
    <t>{$N10-3}</t>
    <phoneticPr fontId="1" type="noConversion"/>
  </si>
  <si>
    <t>{$N10-3}</t>
    <phoneticPr fontId="1" type="noConversion"/>
  </si>
  <si>
    <t>营业收入</t>
  </si>
  <si>
    <t>利润总额</t>
  </si>
  <si>
    <t>净利润</t>
  </si>
  <si>
    <r>
      <t>净资产收益率（</t>
    </r>
    <r>
      <rPr>
        <sz val="10.5"/>
        <color theme="1"/>
        <rFont val="Times New Roman"/>
        <family val="1"/>
      </rPr>
      <t>%</t>
    </r>
    <r>
      <rPr>
        <sz val="10.5"/>
        <color theme="1"/>
        <rFont val="宋体"/>
        <family val="3"/>
        <charset val="134"/>
      </rPr>
      <t>）</t>
    </r>
  </si>
  <si>
    <r>
      <t>资产负债率（</t>
    </r>
    <r>
      <rPr>
        <sz val="10.5"/>
        <color theme="1"/>
        <rFont val="Times New Roman"/>
        <family val="1"/>
      </rPr>
      <t>%</t>
    </r>
    <r>
      <rPr>
        <sz val="10.5"/>
        <color theme="1"/>
        <rFont val="宋体"/>
        <family val="3"/>
        <charset val="134"/>
      </rPr>
      <t>）</t>
    </r>
  </si>
  <si>
    <t>流动比率（倍）</t>
  </si>
  <si>
    <t>速动比率（倍）</t>
  </si>
  <si>
    <t>{$DB1-4}</t>
  </si>
  <si>
    <t>{$DB1-3}</t>
  </si>
  <si>
    <t>{$DB2-4}</t>
  </si>
  <si>
    <t>{$DB2-3}</t>
  </si>
  <si>
    <t>{$DB3-4}</t>
  </si>
  <si>
    <t>{$DB3-3}</t>
  </si>
  <si>
    <t>{$DB4-4}</t>
  </si>
  <si>
    <t>{$DB4-3}</t>
  </si>
  <si>
    <t>{$DB5-4}</t>
  </si>
  <si>
    <t>{$DB5-3}</t>
  </si>
  <si>
    <t>{$DB6-4}</t>
  </si>
  <si>
    <t>{$DB6-3}</t>
  </si>
  <si>
    <t>{$DB7-4}</t>
  </si>
  <si>
    <t>{$DB7-3}</t>
  </si>
  <si>
    <t>{$DB8-4}</t>
  </si>
  <si>
    <t>{$DB8-3}</t>
  </si>
  <si>
    <t>{$DB9-4}</t>
  </si>
  <si>
    <t>{$DB9-3}</t>
  </si>
  <si>
    <t>{$DB10-4}</t>
  </si>
  <si>
    <t>{$DB10-3}</t>
  </si>
  <si>
    <t>担保方数据</t>
    <phoneticPr fontId="1" type="noConversion"/>
  </si>
  <si>
    <t>存货</t>
    <phoneticPr fontId="1" type="noConversion"/>
  </si>
  <si>
    <t>根据银监会2010年发布的《流动资金贷款管理暂行办法》，营运资金量=2018年度营业总收入×（1－2018年度利润率）×（1＋2019年度预计销售收入增长率）/营运资金周转次数。营运资金周转次数＝360/（存货周转天数+应收账款周转天数－应付账款周转天数＋预付账款周转天数－预收账款周转天数）。新增流动资金贷款额度（营运资金缺口）=营运资金量-借款人自有资金-现有流动资金贷款-其他渠道提供的营运资金。计算过程如下：</t>
    <phoneticPr fontId="1" type="noConversion"/>
  </si>
  <si>
    <t>主要计算指标</t>
    <phoneticPr fontId="1" type="noConversion"/>
  </si>
  <si>
    <t>应收账款周转次数=销售收入/平均应收账款余额</t>
    <phoneticPr fontId="1" type="noConversion"/>
  </si>
  <si>
    <t>预收账款周转次数=销售收入/平均预收账款余额</t>
    <phoneticPr fontId="1" type="noConversion"/>
  </si>
  <si>
    <t>存货周转次数=销售成本/平均存货余额</t>
    <phoneticPr fontId="1" type="noConversion"/>
  </si>
  <si>
    <t>预付账款周转次数=销售成本/平均预付账款余额</t>
    <phoneticPr fontId="1" type="noConversion"/>
  </si>
  <si>
    <t>应付账款周转次数=销售成本/平均应付账款余额</t>
    <phoneticPr fontId="1" type="noConversion"/>
  </si>
  <si>
    <t>应收账款周转天数</t>
    <phoneticPr fontId="1" type="noConversion"/>
  </si>
  <si>
    <t>预收账款周转天数</t>
    <phoneticPr fontId="1" type="noConversion"/>
  </si>
  <si>
    <t>存货周转天数</t>
    <phoneticPr fontId="1" type="noConversion"/>
  </si>
  <si>
    <t>预付账款周转天数</t>
    <phoneticPr fontId="1" type="noConversion"/>
  </si>
  <si>
    <t>应付账款周转天数</t>
    <phoneticPr fontId="1" type="noConversion"/>
  </si>
  <si>
    <t>营运资金周转次数=360/（存货周转天数+应收账款周转天数-应付账款周转天数+预付账款周转天数-预收账款周转天数）</t>
    <phoneticPr fontId="1" type="noConversion"/>
  </si>
  <si>
    <t>最近一年销售利润率</t>
    <phoneticPr fontId="1" type="noConversion"/>
  </si>
  <si>
    <t>下一年预计销售收入增长率</t>
    <phoneticPr fontId="1" type="noConversion"/>
  </si>
  <si>
    <t>营运资金量（亿元）=上年度营业总收入×（1－上年度销售利润率）×（1＋下一年度预计销售收入增长率）/营运资金周转次数</t>
    <phoneticPr fontId="1" type="noConversion"/>
  </si>
  <si>
    <t>营运资金缺口</t>
    <phoneticPr fontId="1" type="noConversion"/>
  </si>
  <si>
    <t>最近一年营业总收入（万元）</t>
    <phoneticPr fontId="1" type="noConversion"/>
  </si>
  <si>
    <t>发行人自有资金</t>
    <phoneticPr fontId="1" type="noConversion"/>
  </si>
  <si>
    <t>现有流动资金贷款</t>
    <phoneticPr fontId="1" type="noConversion"/>
  </si>
  <si>
    <t>其他渠道提供的营运资金</t>
    <phoneticPr fontId="1" type="noConversion"/>
  </si>
  <si>
    <t>非公开：</t>
    <phoneticPr fontId="1" type="noConversion"/>
  </si>
  <si>
    <t>公开：</t>
    <phoneticPr fontId="1" type="noConversion"/>
  </si>
  <si>
    <t>{$IN24-3}</t>
    <phoneticPr fontId="1" type="noConversion"/>
  </si>
  <si>
    <t>{$NCA4-3}</t>
    <phoneticPr fontId="1" type="noConversion"/>
  </si>
  <si>
    <t>二、营业总成本</t>
    <phoneticPr fontId="1" type="noConversion"/>
  </si>
  <si>
    <t>一、营业总收入</t>
    <phoneticPr fontId="1" type="noConversion"/>
  </si>
  <si>
    <t>其中：营业成本</t>
    <phoneticPr fontId="1" type="noConversion"/>
  </si>
  <si>
    <r>
      <t xml:space="preserve">            </t>
    </r>
    <r>
      <rPr>
        <sz val="10"/>
        <rFont val="宋体"/>
        <family val="3"/>
        <charset val="134"/>
      </rPr>
      <t>税金及附加</t>
    </r>
    <phoneticPr fontId="2" type="noConversion"/>
  </si>
  <si>
    <r>
      <t xml:space="preserve">            </t>
    </r>
    <r>
      <rPr>
        <sz val="10"/>
        <rFont val="宋体"/>
        <family val="3"/>
        <charset val="134"/>
      </rPr>
      <t>销售费用</t>
    </r>
    <phoneticPr fontId="1" type="noConversion"/>
  </si>
  <si>
    <r>
      <t xml:space="preserve">            </t>
    </r>
    <r>
      <rPr>
        <sz val="10"/>
        <rFont val="宋体"/>
        <family val="3"/>
        <charset val="134"/>
      </rPr>
      <t>管理费用</t>
    </r>
    <phoneticPr fontId="1" type="noConversion"/>
  </si>
  <si>
    <r>
      <t xml:space="preserve">            </t>
    </r>
    <r>
      <rPr>
        <sz val="10"/>
        <rFont val="宋体"/>
        <family val="3"/>
        <charset val="134"/>
      </rPr>
      <t>研发费用</t>
    </r>
    <phoneticPr fontId="2" type="noConversion"/>
  </si>
  <si>
    <r>
      <t xml:space="preserve">            </t>
    </r>
    <r>
      <rPr>
        <sz val="10"/>
        <rFont val="宋体"/>
        <family val="3"/>
        <charset val="134"/>
      </rPr>
      <t>财务费用</t>
    </r>
    <phoneticPr fontId="1" type="noConversion"/>
  </si>
  <si>
    <t>其中：营业收入</t>
    <phoneticPr fontId="1" type="noConversion"/>
  </si>
  <si>
    <r>
      <t xml:space="preserve">              </t>
    </r>
    <r>
      <rPr>
        <sz val="10"/>
        <rFont val="宋体"/>
        <family val="3"/>
        <charset val="134"/>
      </rPr>
      <t>其中：利息费用</t>
    </r>
    <phoneticPr fontId="2" type="noConversion"/>
  </si>
  <si>
    <r>
      <t xml:space="preserve">                          </t>
    </r>
    <r>
      <rPr>
        <sz val="10"/>
        <rFont val="宋体"/>
        <family val="3"/>
        <charset val="134"/>
      </rPr>
      <t>利息收入</t>
    </r>
    <phoneticPr fontId="2" type="noConversion"/>
  </si>
  <si>
    <t>营业总成本</t>
    <phoneticPr fontId="1" type="noConversion"/>
  </si>
  <si>
    <t>{$IN-4}</t>
    <phoneticPr fontId="1" type="noConversion"/>
  </si>
  <si>
    <t>{$IN-3}</t>
    <phoneticPr fontId="1" type="noConversion"/>
  </si>
  <si>
    <t>IN</t>
    <phoneticPr fontId="1" type="noConversion"/>
  </si>
  <si>
    <t>{$IN-2}</t>
    <phoneticPr fontId="1" type="noConversion"/>
  </si>
  <si>
    <t>{$IN-1}</t>
    <phoneticPr fontId="1" type="noConversion"/>
  </si>
  <si>
    <r>
      <rPr>
        <b/>
        <sz val="10"/>
        <rFont val="宋体"/>
        <family val="3"/>
        <charset val="134"/>
      </rPr>
      <t>三、营业利润</t>
    </r>
    <r>
      <rPr>
        <b/>
        <sz val="10"/>
        <rFont val="Times New Roman"/>
        <family val="1"/>
      </rPr>
      <t>(</t>
    </r>
    <r>
      <rPr>
        <b/>
        <sz val="10"/>
        <rFont val="宋体"/>
        <family val="3"/>
        <charset val="134"/>
      </rPr>
      <t>亏损以</t>
    </r>
    <r>
      <rPr>
        <b/>
        <sz val="10"/>
        <rFont val="Times New Roman"/>
        <family val="1"/>
      </rPr>
      <t>“-”</t>
    </r>
    <r>
      <rPr>
        <b/>
        <sz val="10"/>
        <rFont val="宋体"/>
        <family val="3"/>
        <charset val="134"/>
      </rPr>
      <t>号填列）</t>
    </r>
    <phoneticPr fontId="2" type="noConversion"/>
  </si>
  <si>
    <r>
      <rPr>
        <b/>
        <sz val="10"/>
        <rFont val="宋体"/>
        <family val="3"/>
        <charset val="134"/>
      </rPr>
      <t>四、利润总额</t>
    </r>
    <r>
      <rPr>
        <b/>
        <sz val="10"/>
        <rFont val="Times New Roman"/>
        <family val="1"/>
      </rPr>
      <t>(</t>
    </r>
    <r>
      <rPr>
        <b/>
        <sz val="10"/>
        <rFont val="宋体"/>
        <family val="3"/>
        <charset val="134"/>
      </rPr>
      <t>亏损总额以</t>
    </r>
    <r>
      <rPr>
        <b/>
        <sz val="10"/>
        <rFont val="Times New Roman"/>
        <family val="1"/>
      </rPr>
      <t>“-”</t>
    </r>
    <r>
      <rPr>
        <b/>
        <sz val="10"/>
        <rFont val="宋体"/>
        <family val="3"/>
        <charset val="134"/>
      </rPr>
      <t>号填列）</t>
    </r>
    <phoneticPr fontId="2" type="noConversion"/>
  </si>
  <si>
    <r>
      <rPr>
        <b/>
        <sz val="10"/>
        <rFont val="宋体"/>
        <family val="3"/>
        <charset val="134"/>
      </rPr>
      <t>五、净利润</t>
    </r>
    <r>
      <rPr>
        <b/>
        <sz val="10"/>
        <rFont val="Times New Roman"/>
        <family val="1"/>
      </rPr>
      <t>(</t>
    </r>
    <r>
      <rPr>
        <b/>
        <sz val="10"/>
        <rFont val="宋体"/>
        <family val="3"/>
        <charset val="134"/>
      </rPr>
      <t>净亏损以</t>
    </r>
    <r>
      <rPr>
        <b/>
        <sz val="10"/>
        <rFont val="Times New Roman"/>
        <family val="1"/>
      </rPr>
      <t>“-”</t>
    </r>
    <r>
      <rPr>
        <b/>
        <sz val="10"/>
        <rFont val="宋体"/>
        <family val="3"/>
        <charset val="134"/>
      </rPr>
      <t>号填列）</t>
    </r>
    <phoneticPr fontId="2" type="noConversion"/>
  </si>
  <si>
    <t>六、其他综合收益的税后净额</t>
    <phoneticPr fontId="2" type="noConversion"/>
  </si>
  <si>
    <t>七、综合收益总额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</si>
</sst>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#,##0.00_ "/>
    <numFmt numFmtId="177" formatCode="0.00_);[Red]\(0.00\)"/>
    <numFmt numFmtId="178" formatCode="_(* #,##0.00_);_(* \(#,##0.00\);_(* &quot;-&quot;??_);_(@_)"/>
    <numFmt numFmtId="179" formatCode="_ * #,##0_ ;_ * \-#,##0_ ;_ * &quot;-&quot;??_ ;_ @_ "/>
    <numFmt numFmtId="180" formatCode="0.00_ "/>
  </numFmts>
  <fonts count="73">
    <font>
      <sz val="12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charset val="134"/>
      <scheme val="minor"/>
    </font>
    <font>
      <sz val="10.5"/>
      <color theme="1"/>
      <name val="Times New Roman"/>
      <family val="1"/>
    </font>
    <font>
      <sz val="10"/>
      <color rgb="FF000000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theme="1"/>
      <name val="宋体"/>
      <family val="2"/>
      <charset val="134"/>
    </font>
    <font>
      <b/>
      <sz val="12"/>
      <color rgb="FFFF0000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color rgb="FFFF0000"/>
      <name val="Times New Roman"/>
      <family val="1"/>
    </font>
    <font>
      <b/>
      <sz val="10"/>
      <color rgb="FFFF0000"/>
      <name val="宋体"/>
      <family val="3"/>
      <charset val="134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name val="Times New Roman"/>
      <family val="1"/>
    </font>
    <font>
      <b/>
      <sz val="10"/>
      <name val="宋体"/>
      <family val="3"/>
      <charset val="134"/>
    </font>
    <font>
      <b/>
      <sz val="10"/>
      <color rgb="FF000000"/>
      <name val="Times New Roman"/>
      <family val="1"/>
    </font>
    <font>
      <sz val="10"/>
      <name val="Times New Roman"/>
      <family val="1"/>
    </font>
    <font>
      <sz val="10"/>
      <name val="宋体"/>
      <family val="3"/>
      <charset val="134"/>
    </font>
    <font>
      <b/>
      <sz val="10"/>
      <color theme="1"/>
      <name val="宋体"/>
      <family val="2"/>
      <charset val="134"/>
    </font>
    <font>
      <b/>
      <sz val="10"/>
      <name val="仿宋_GB2312"/>
      <family val="1"/>
      <charset val="134"/>
    </font>
    <font>
      <sz val="10"/>
      <name val="仿宋_GB2312"/>
      <family val="1"/>
      <charset val="134"/>
    </font>
    <font>
      <b/>
      <sz val="10"/>
      <name val="仿宋_GB2312"/>
      <family val="3"/>
      <charset val="134"/>
    </font>
    <font>
      <sz val="10"/>
      <name val="仿宋_GB2312"/>
      <family val="3"/>
      <charset val="134"/>
    </font>
    <font>
      <sz val="10"/>
      <name val="Times New Roman"/>
      <family val="1"/>
      <charset val="134"/>
    </font>
    <font>
      <sz val="10"/>
      <name val="Times New Roman"/>
      <family val="3"/>
      <charset val="134"/>
    </font>
    <font>
      <b/>
      <sz val="10"/>
      <name val="Times New Roman"/>
      <family val="3"/>
      <charset val="134"/>
    </font>
    <font>
      <sz val="9"/>
      <color theme="1"/>
      <name val="Times New Roman"/>
      <family val="1"/>
    </font>
    <font>
      <sz val="9"/>
      <color theme="1"/>
      <name val="宋体"/>
      <family val="2"/>
      <charset val="134"/>
    </font>
    <font>
      <sz val="9"/>
      <color rgb="FF000000"/>
      <name val="Times New Roman"/>
      <family val="1"/>
    </font>
    <font>
      <sz val="10"/>
      <name val="宋体"/>
      <family val="3"/>
      <charset val="134"/>
      <scheme val="minor"/>
    </font>
    <font>
      <b/>
      <sz val="10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name val="Times New Roman"/>
      <family val="1"/>
    </font>
    <font>
      <b/>
      <sz val="11"/>
      <color rgb="FFFF0000"/>
      <name val="Times New Roman"/>
      <family val="1"/>
    </font>
    <font>
      <b/>
      <sz val="11"/>
      <color rgb="FFFF0000"/>
      <name val="宋体"/>
      <family val="3"/>
      <charset val="134"/>
    </font>
    <font>
      <b/>
      <sz val="11"/>
      <name val="Times New Roman"/>
      <family val="1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2"/>
      <name val="Times New Roman"/>
      <family val="1"/>
    </font>
    <font>
      <sz val="12"/>
      <name val="宋体"/>
      <family val="3"/>
      <charset val="134"/>
    </font>
    <font>
      <b/>
      <sz val="12"/>
      <color rgb="FFFF0000"/>
      <name val="Times New Roman"/>
      <family val="1"/>
    </font>
    <font>
      <sz val="9"/>
      <color theme="1"/>
      <name val="宋体"/>
      <family val="3"/>
      <charset val="134"/>
    </font>
    <font>
      <b/>
      <sz val="10.5"/>
      <color rgb="FF000000"/>
      <name val="宋体"/>
      <family val="3"/>
      <charset val="134"/>
    </font>
    <font>
      <b/>
      <sz val="10.5"/>
      <color rgb="FF000000"/>
      <name val="Times New Roman"/>
      <family val="1"/>
    </font>
    <font>
      <sz val="10.5"/>
      <color rgb="FF000000"/>
      <name val="宋体"/>
      <family val="3"/>
      <charset val="134"/>
    </font>
    <font>
      <sz val="10.5"/>
      <color rgb="FF000000"/>
      <name val="Times New Roman"/>
      <family val="1"/>
    </font>
    <font>
      <b/>
      <sz val="12"/>
      <color rgb="FFFF0000"/>
      <name val="宋体"/>
      <family val="3"/>
      <charset val="134"/>
      <scheme val="minor"/>
    </font>
    <font>
      <sz val="10"/>
      <color rgb="FFFF0000"/>
      <name val="Times New Roman"/>
      <family val="1"/>
    </font>
    <font>
      <b/>
      <sz val="10.5"/>
      <color theme="1"/>
      <name val="宋体"/>
      <family val="3"/>
      <charset val="134"/>
    </font>
    <font>
      <sz val="10.5"/>
      <color theme="1"/>
      <name val="宋体"/>
      <family val="3"/>
      <charset val="134"/>
    </font>
    <font>
      <b/>
      <sz val="10.5"/>
      <name val="宋体"/>
      <family val="3"/>
      <charset val="134"/>
    </font>
    <font>
      <sz val="10.5"/>
      <name val="Times New Roman"/>
      <family val="1"/>
    </font>
    <font>
      <b/>
      <sz val="10.5"/>
      <name val="Times New Roman"/>
      <family val="1"/>
    </font>
    <font>
      <b/>
      <sz val="9"/>
      <color theme="1"/>
      <name val="宋体"/>
      <family val="3"/>
      <charset val="134"/>
    </font>
    <font>
      <sz val="10"/>
      <color rgb="FFFF0000"/>
      <name val="宋体"/>
      <family val="2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1"/>
      <name val="Times New Roman"/>
      <family val="3"/>
      <charset val="134"/>
    </font>
    <font>
      <b/>
      <sz val="10.5"/>
      <color rgb="FFFF0000"/>
      <name val="Times New Roman"/>
      <family val="1"/>
    </font>
    <font>
      <b/>
      <sz val="12"/>
      <color theme="1"/>
      <name val="宋体"/>
      <family val="3"/>
      <charset val="134"/>
      <scheme val="minor"/>
    </font>
    <font>
      <sz val="10"/>
      <color theme="1"/>
      <name val="仿宋"/>
      <family val="3"/>
      <charset val="134"/>
    </font>
    <font>
      <b/>
      <sz val="10"/>
      <color theme="1"/>
      <name val="仿宋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8" fontId="3" fillId="0" borderId="0" applyFont="0" applyFill="0" applyBorder="0" applyAlignment="0" applyProtection="0">
      <alignment vertical="center"/>
    </xf>
  </cellStyleXfs>
  <cellXfs count="755">
    <xf numFmtId="0" fontId="0" fillId="0" borderId="0" xfId="0"/>
    <xf numFmtId="0" fontId="6" fillId="0" borderId="0" xfId="0" applyFont="1"/>
    <xf numFmtId="43" fontId="6" fillId="0" borderId="0" xfId="0" applyNumberFormat="1" applyFont="1"/>
    <xf numFmtId="0" fontId="7" fillId="3" borderId="0" xfId="0" applyFont="1" applyFill="1" applyAlignment="1">
      <alignment vertical="center"/>
    </xf>
    <xf numFmtId="43" fontId="6" fillId="3" borderId="0" xfId="1" applyFont="1" applyFill="1" applyAlignment="1">
      <alignment vertical="center"/>
    </xf>
    <xf numFmtId="0" fontId="6" fillId="3" borderId="0" xfId="0" applyFont="1" applyFill="1" applyAlignment="1">
      <alignment vertical="center"/>
    </xf>
    <xf numFmtId="43" fontId="6" fillId="3" borderId="0" xfId="0" applyNumberFormat="1" applyFont="1" applyFill="1" applyAlignment="1">
      <alignment vertical="center"/>
    </xf>
    <xf numFmtId="43" fontId="6" fillId="0" borderId="0" xfId="1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left" vertical="center" indent="2"/>
    </xf>
    <xf numFmtId="0" fontId="9" fillId="3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10" fontId="6" fillId="0" borderId="0" xfId="2" applyNumberFormat="1" applyFont="1" applyFill="1" applyAlignment="1">
      <alignment vertical="center"/>
    </xf>
    <xf numFmtId="4" fontId="6" fillId="0" borderId="0" xfId="0" applyNumberFormat="1" applyFont="1" applyFill="1" applyAlignment="1">
      <alignment vertical="center"/>
    </xf>
    <xf numFmtId="4" fontId="4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0" fontId="7" fillId="3" borderId="0" xfId="0" applyFont="1" applyFill="1" applyAlignment="1">
      <alignment wrapText="1"/>
    </xf>
    <xf numFmtId="0" fontId="6" fillId="3" borderId="0" xfId="0" applyFont="1" applyFill="1" applyAlignment="1">
      <alignment horizontal="left" vertical="center" indent="2"/>
    </xf>
    <xf numFmtId="0" fontId="6" fillId="3" borderId="0" xfId="0" applyFont="1" applyFill="1"/>
    <xf numFmtId="43" fontId="6" fillId="3" borderId="0" xfId="1" applyFont="1" applyFill="1" applyAlignment="1">
      <alignment horizontal="left" vertical="center" indent="2"/>
    </xf>
    <xf numFmtId="0" fontId="6" fillId="3" borderId="0" xfId="0" applyFont="1" applyFill="1" applyAlignment="1">
      <alignment wrapText="1"/>
    </xf>
    <xf numFmtId="43" fontId="6" fillId="3" borderId="0" xfId="1" applyFont="1" applyFill="1" applyAlignment="1"/>
    <xf numFmtId="0" fontId="9" fillId="3" borderId="0" xfId="0" applyFont="1" applyFill="1" applyAlignment="1">
      <alignment wrapText="1"/>
    </xf>
    <xf numFmtId="43" fontId="6" fillId="3" borderId="0" xfId="0" applyNumberFormat="1" applyFont="1" applyFill="1"/>
    <xf numFmtId="0" fontId="6" fillId="0" borderId="0" xfId="0" applyFont="1" applyFill="1"/>
    <xf numFmtId="0" fontId="7" fillId="0" borderId="0" xfId="0" applyFont="1" applyFill="1"/>
    <xf numFmtId="0" fontId="14" fillId="0" borderId="0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6" borderId="4" xfId="0" applyFont="1" applyFill="1" applyBorder="1" applyAlignment="1">
      <alignment vertical="center"/>
    </xf>
    <xf numFmtId="4" fontId="17" fillId="6" borderId="7" xfId="0" applyNumberFormat="1" applyFont="1" applyFill="1" applyBorder="1" applyAlignment="1">
      <alignment horizontal="center" vertical="center" wrapText="1"/>
    </xf>
    <xf numFmtId="4" fontId="17" fillId="6" borderId="1" xfId="0" applyNumberFormat="1" applyFont="1" applyFill="1" applyBorder="1" applyAlignment="1">
      <alignment horizontal="center" vertical="center" wrapText="1"/>
    </xf>
    <xf numFmtId="4" fontId="17" fillId="6" borderId="8" xfId="0" applyNumberFormat="1" applyFont="1" applyFill="1" applyBorder="1" applyAlignment="1">
      <alignment horizontal="center" vertical="center" wrapText="1"/>
    </xf>
    <xf numFmtId="4" fontId="17" fillId="6" borderId="3" xfId="0" applyNumberFormat="1" applyFont="1" applyFill="1" applyBorder="1" applyAlignment="1">
      <alignment horizontal="center" vertical="center" wrapText="1"/>
    </xf>
    <xf numFmtId="0" fontId="15" fillId="6" borderId="8" xfId="0" applyFont="1" applyFill="1" applyBorder="1" applyAlignment="1">
      <alignment horizontal="center" vertical="center" wrapText="1"/>
    </xf>
    <xf numFmtId="4" fontId="17" fillId="6" borderId="7" xfId="0" applyNumberFormat="1" applyFont="1" applyFill="1" applyBorder="1" applyAlignment="1">
      <alignment vertical="center" wrapText="1"/>
    </xf>
    <xf numFmtId="43" fontId="15" fillId="5" borderId="1" xfId="1" applyFont="1" applyFill="1" applyBorder="1" applyAlignment="1">
      <alignment vertical="center"/>
    </xf>
    <xf numFmtId="43" fontId="15" fillId="5" borderId="8" xfId="1" applyFont="1" applyFill="1" applyBorder="1" applyAlignment="1">
      <alignment vertical="center"/>
    </xf>
    <xf numFmtId="43" fontId="19" fillId="6" borderId="3" xfId="1" applyFont="1" applyFill="1" applyBorder="1" applyAlignment="1">
      <alignment vertical="center" wrapText="1"/>
    </xf>
    <xf numFmtId="43" fontId="19" fillId="6" borderId="1" xfId="1" applyFont="1" applyFill="1" applyBorder="1" applyAlignment="1">
      <alignment vertical="center" wrapText="1"/>
    </xf>
    <xf numFmtId="43" fontId="19" fillId="6" borderId="8" xfId="1" applyFont="1" applyFill="1" applyBorder="1" applyAlignment="1">
      <alignment vertical="center" wrapText="1"/>
    </xf>
    <xf numFmtId="4" fontId="20" fillId="0" borderId="7" xfId="0" applyNumberFormat="1" applyFont="1" applyFill="1" applyBorder="1" applyAlignment="1">
      <alignment vertical="center" wrapText="1"/>
    </xf>
    <xf numFmtId="43" fontId="16" fillId="5" borderId="1" xfId="1" applyFont="1" applyFill="1" applyBorder="1" applyAlignment="1">
      <alignment vertical="center"/>
    </xf>
    <xf numFmtId="43" fontId="16" fillId="5" borderId="8" xfId="1" applyFont="1" applyFill="1" applyBorder="1" applyAlignment="1">
      <alignment vertical="center"/>
    </xf>
    <xf numFmtId="43" fontId="5" fillId="0" borderId="3" xfId="1" applyFont="1" applyFill="1" applyBorder="1" applyAlignment="1">
      <alignment vertical="center" wrapText="1"/>
    </xf>
    <xf numFmtId="43" fontId="5" fillId="0" borderId="1" xfId="1" applyFont="1" applyFill="1" applyBorder="1" applyAlignment="1">
      <alignment vertical="center" wrapText="1"/>
    </xf>
    <xf numFmtId="43" fontId="5" fillId="0" borderId="8" xfId="1" applyFont="1" applyFill="1" applyBorder="1" applyAlignment="1">
      <alignment vertical="center" wrapText="1"/>
    </xf>
    <xf numFmtId="43" fontId="15" fillId="5" borderId="1" xfId="1" applyFont="1" applyFill="1" applyBorder="1" applyAlignment="1">
      <alignment horizontal="left" vertical="center"/>
    </xf>
    <xf numFmtId="43" fontId="16" fillId="5" borderId="1" xfId="1" applyFont="1" applyFill="1" applyBorder="1" applyAlignment="1">
      <alignment horizontal="left" vertical="center"/>
    </xf>
    <xf numFmtId="43" fontId="5" fillId="5" borderId="1" xfId="1" applyFont="1" applyFill="1" applyBorder="1" applyAlignment="1">
      <alignment horizontal="left" vertical="center" wrapText="1"/>
    </xf>
    <xf numFmtId="4" fontId="20" fillId="0" borderId="7" xfId="0" applyNumberFormat="1" applyFont="1" applyFill="1" applyBorder="1" applyAlignment="1">
      <alignment horizontal="left" vertical="center" wrapText="1"/>
    </xf>
    <xf numFmtId="43" fontId="19" fillId="5" borderId="1" xfId="1" applyFont="1" applyFill="1" applyBorder="1" applyAlignment="1">
      <alignment horizontal="left" vertical="center" wrapText="1"/>
    </xf>
    <xf numFmtId="43" fontId="16" fillId="5" borderId="10" xfId="1" applyFont="1" applyFill="1" applyBorder="1" applyAlignment="1">
      <alignment vertical="center"/>
    </xf>
    <xf numFmtId="43" fontId="16" fillId="5" borderId="11" xfId="1" applyFont="1" applyFill="1" applyBorder="1" applyAlignment="1">
      <alignment vertical="center"/>
    </xf>
    <xf numFmtId="43" fontId="5" fillId="0" borderId="25" xfId="1" applyFont="1" applyFill="1" applyBorder="1" applyAlignment="1">
      <alignment vertical="center" wrapText="1"/>
    </xf>
    <xf numFmtId="43" fontId="5" fillId="0" borderId="10" xfId="1" applyFont="1" applyFill="1" applyBorder="1" applyAlignment="1">
      <alignment vertical="center" wrapText="1"/>
    </xf>
    <xf numFmtId="0" fontId="14" fillId="0" borderId="14" xfId="0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16" fillId="6" borderId="16" xfId="0" applyFont="1" applyFill="1" applyBorder="1" applyAlignment="1">
      <alignment vertical="center"/>
    </xf>
    <xf numFmtId="43" fontId="17" fillId="6" borderId="7" xfId="0" applyNumberFormat="1" applyFont="1" applyFill="1" applyBorder="1" applyAlignment="1">
      <alignment vertical="center"/>
    </xf>
    <xf numFmtId="43" fontId="17" fillId="6" borderId="1" xfId="1" applyFont="1" applyFill="1" applyBorder="1" applyAlignment="1">
      <alignment horizontal="center" vertical="center"/>
    </xf>
    <xf numFmtId="43" fontId="17" fillId="6" borderId="8" xfId="1" applyFont="1" applyFill="1" applyBorder="1" applyAlignment="1">
      <alignment horizontal="center" vertical="center"/>
    </xf>
    <xf numFmtId="176" fontId="17" fillId="0" borderId="7" xfId="0" applyNumberFormat="1" applyFont="1" applyFill="1" applyBorder="1" applyAlignment="1">
      <alignment vertical="center"/>
    </xf>
    <xf numFmtId="43" fontId="20" fillId="0" borderId="1" xfId="1" applyFont="1" applyFill="1" applyBorder="1" applyAlignment="1">
      <alignment vertical="center"/>
    </xf>
    <xf numFmtId="43" fontId="20" fillId="0" borderId="8" xfId="1" applyFont="1" applyFill="1" applyBorder="1" applyAlignment="1">
      <alignment vertical="center"/>
    </xf>
    <xf numFmtId="43" fontId="5" fillId="0" borderId="7" xfId="1" applyFont="1" applyFill="1" applyBorder="1" applyAlignment="1">
      <alignment vertical="center" wrapText="1"/>
    </xf>
    <xf numFmtId="43" fontId="5" fillId="0" borderId="2" xfId="1" applyFont="1" applyFill="1" applyBorder="1" applyAlignment="1">
      <alignment vertical="center" wrapText="1"/>
    </xf>
    <xf numFmtId="43" fontId="16" fillId="0" borderId="12" xfId="1" applyFont="1" applyFill="1" applyBorder="1" applyAlignment="1">
      <alignment vertical="center"/>
    </xf>
    <xf numFmtId="43" fontId="16" fillId="0" borderId="0" xfId="1" applyFont="1" applyFill="1" applyBorder="1" applyAlignment="1">
      <alignment vertical="center"/>
    </xf>
    <xf numFmtId="43" fontId="16" fillId="0" borderId="21" xfId="1" applyFont="1" applyFill="1" applyBorder="1" applyAlignment="1">
      <alignment vertical="center"/>
    </xf>
    <xf numFmtId="176" fontId="16" fillId="0" borderId="0" xfId="0" applyNumberFormat="1" applyFont="1" applyFill="1" applyBorder="1" applyAlignment="1">
      <alignment vertical="center"/>
    </xf>
    <xf numFmtId="176" fontId="20" fillId="0" borderId="7" xfId="0" applyNumberFormat="1" applyFont="1" applyFill="1" applyBorder="1" applyAlignment="1">
      <alignment vertical="center"/>
    </xf>
    <xf numFmtId="178" fontId="16" fillId="5" borderId="1" xfId="3" applyFont="1" applyFill="1" applyBorder="1" applyAlignment="1">
      <alignment vertical="center" wrapText="1"/>
    </xf>
    <xf numFmtId="178" fontId="16" fillId="5" borderId="8" xfId="3" applyFont="1" applyFill="1" applyBorder="1" applyAlignment="1">
      <alignment vertical="center" wrapText="1"/>
    </xf>
    <xf numFmtId="43" fontId="16" fillId="0" borderId="7" xfId="1" applyFont="1" applyFill="1" applyBorder="1" applyAlignment="1">
      <alignment vertical="center" wrapText="1"/>
    </xf>
    <xf numFmtId="43" fontId="16" fillId="0" borderId="1" xfId="1" applyFont="1" applyFill="1" applyBorder="1" applyAlignment="1">
      <alignment vertical="center" wrapText="1"/>
    </xf>
    <xf numFmtId="176" fontId="17" fillId="6" borderId="7" xfId="0" applyNumberFormat="1" applyFont="1" applyFill="1" applyBorder="1" applyAlignment="1">
      <alignment vertical="center"/>
    </xf>
    <xf numFmtId="178" fontId="15" fillId="5" borderId="1" xfId="3" applyFont="1" applyFill="1" applyBorder="1" applyAlignment="1">
      <alignment vertical="center" wrapText="1"/>
    </xf>
    <xf numFmtId="178" fontId="15" fillId="5" borderId="8" xfId="3" applyFont="1" applyFill="1" applyBorder="1" applyAlignment="1">
      <alignment vertical="center" wrapText="1"/>
    </xf>
    <xf numFmtId="43" fontId="15" fillId="6" borderId="7" xfId="1" applyFont="1" applyFill="1" applyBorder="1" applyAlignment="1">
      <alignment vertical="center" wrapText="1"/>
    </xf>
    <xf numFmtId="43" fontId="15" fillId="6" borderId="1" xfId="1" applyFont="1" applyFill="1" applyBorder="1" applyAlignment="1">
      <alignment vertical="center" wrapText="1"/>
    </xf>
    <xf numFmtId="43" fontId="15" fillId="6" borderId="12" xfId="1" applyFont="1" applyFill="1" applyBorder="1" applyAlignment="1">
      <alignment vertical="center"/>
    </xf>
    <xf numFmtId="43" fontId="15" fillId="6" borderId="0" xfId="1" applyFont="1" applyFill="1" applyBorder="1" applyAlignment="1">
      <alignment vertical="center"/>
    </xf>
    <xf numFmtId="43" fontId="15" fillId="6" borderId="21" xfId="1" applyFont="1" applyFill="1" applyBorder="1" applyAlignment="1">
      <alignment vertical="center"/>
    </xf>
    <xf numFmtId="178" fontId="16" fillId="0" borderId="1" xfId="3" applyFont="1" applyFill="1" applyBorder="1" applyAlignment="1">
      <alignment vertical="center" wrapText="1"/>
    </xf>
    <xf numFmtId="178" fontId="16" fillId="0" borderId="8" xfId="3" applyFont="1" applyFill="1" applyBorder="1" applyAlignment="1">
      <alignment vertical="center" wrapText="1"/>
    </xf>
    <xf numFmtId="176" fontId="17" fillId="6" borderId="7" xfId="0" applyNumberFormat="1" applyFont="1" applyFill="1" applyBorder="1" applyAlignment="1">
      <alignment horizontal="left" vertical="center"/>
    </xf>
    <xf numFmtId="0" fontId="15" fillId="6" borderId="12" xfId="0" applyFont="1" applyFill="1" applyBorder="1" applyAlignment="1">
      <alignment vertical="center"/>
    </xf>
    <xf numFmtId="0" fontId="15" fillId="6" borderId="0" xfId="0" applyFont="1" applyFill="1" applyBorder="1" applyAlignment="1">
      <alignment vertical="center"/>
    </xf>
    <xf numFmtId="0" fontId="15" fillId="6" borderId="21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0" borderId="21" xfId="0" applyFont="1" applyFill="1" applyBorder="1" applyAlignment="1">
      <alignment vertical="center"/>
    </xf>
    <xf numFmtId="176" fontId="17" fillId="8" borderId="7" xfId="0" applyNumberFormat="1" applyFont="1" applyFill="1" applyBorder="1" applyAlignment="1">
      <alignment vertical="center"/>
    </xf>
    <xf numFmtId="43" fontId="15" fillId="8" borderId="7" xfId="1" applyFont="1" applyFill="1" applyBorder="1" applyAlignment="1">
      <alignment vertical="center" wrapText="1"/>
    </xf>
    <xf numFmtId="43" fontId="15" fillId="8" borderId="1" xfId="1" applyFont="1" applyFill="1" applyBorder="1" applyAlignment="1">
      <alignment vertical="center" wrapText="1"/>
    </xf>
    <xf numFmtId="176" fontId="17" fillId="8" borderId="9" xfId="0" applyNumberFormat="1" applyFont="1" applyFill="1" applyBorder="1" applyAlignment="1">
      <alignment horizontal="center" vertical="center"/>
    </xf>
    <xf numFmtId="178" fontId="15" fillId="5" borderId="10" xfId="3" applyFont="1" applyFill="1" applyBorder="1" applyAlignment="1">
      <alignment vertical="center" wrapText="1"/>
    </xf>
    <xf numFmtId="178" fontId="15" fillId="5" borderId="11" xfId="3" applyFont="1" applyFill="1" applyBorder="1" applyAlignment="1">
      <alignment vertical="center" wrapText="1"/>
    </xf>
    <xf numFmtId="43" fontId="15" fillId="8" borderId="9" xfId="1" applyFont="1" applyFill="1" applyBorder="1" applyAlignment="1">
      <alignment vertical="center" wrapText="1"/>
    </xf>
    <xf numFmtId="43" fontId="15" fillId="8" borderId="10" xfId="1" applyFont="1" applyFill="1" applyBorder="1" applyAlignment="1">
      <alignment vertical="center" wrapText="1"/>
    </xf>
    <xf numFmtId="0" fontId="16" fillId="0" borderId="0" xfId="0" applyFont="1"/>
    <xf numFmtId="4" fontId="17" fillId="0" borderId="7" xfId="0" applyNumberFormat="1" applyFont="1" applyFill="1" applyBorder="1" applyAlignment="1">
      <alignment vertical="center" wrapText="1"/>
    </xf>
    <xf numFmtId="43" fontId="5" fillId="0" borderId="1" xfId="1" applyFont="1" applyFill="1" applyBorder="1" applyAlignment="1">
      <alignment horizontal="left" vertical="center" wrapText="1"/>
    </xf>
    <xf numFmtId="43" fontId="5" fillId="0" borderId="8" xfId="1" applyFont="1" applyFill="1" applyBorder="1" applyAlignment="1">
      <alignment horizontal="left" vertical="center" wrapText="1"/>
    </xf>
    <xf numFmtId="43" fontId="19" fillId="0" borderId="3" xfId="1" applyFont="1" applyFill="1" applyBorder="1" applyAlignment="1">
      <alignment horizontal="right" vertical="center" wrapText="1"/>
    </xf>
    <xf numFmtId="43" fontId="19" fillId="0" borderId="1" xfId="1" applyFont="1" applyFill="1" applyBorder="1" applyAlignment="1">
      <alignment horizontal="left" vertical="center" wrapText="1" indent="2"/>
    </xf>
    <xf numFmtId="43" fontId="5" fillId="0" borderId="1" xfId="1" applyFont="1" applyFill="1" applyBorder="1" applyAlignment="1">
      <alignment horizontal="left" vertical="center" wrapText="1" indent="2"/>
    </xf>
    <xf numFmtId="43" fontId="5" fillId="5" borderId="8" xfId="1" applyFont="1" applyFill="1" applyBorder="1" applyAlignment="1">
      <alignment horizontal="left" vertical="center" wrapText="1"/>
    </xf>
    <xf numFmtId="43" fontId="5" fillId="0" borderId="3" xfId="1" applyFont="1" applyFill="1" applyBorder="1" applyAlignment="1">
      <alignment horizontal="right" vertical="center" wrapText="1"/>
    </xf>
    <xf numFmtId="43" fontId="5" fillId="0" borderId="1" xfId="1" applyFont="1" applyFill="1" applyBorder="1" applyAlignment="1">
      <alignment horizontal="right" vertical="center" wrapText="1"/>
    </xf>
    <xf numFmtId="43" fontId="19" fillId="5" borderId="8" xfId="1" applyFont="1" applyFill="1" applyBorder="1" applyAlignment="1">
      <alignment horizontal="left" vertical="center" wrapText="1"/>
    </xf>
    <xf numFmtId="43" fontId="19" fillId="6" borderId="3" xfId="1" applyFont="1" applyFill="1" applyBorder="1" applyAlignment="1">
      <alignment horizontal="right" vertical="center" wrapText="1"/>
    </xf>
    <xf numFmtId="43" fontId="19" fillId="6" borderId="1" xfId="1" applyFont="1" applyFill="1" applyBorder="1" applyAlignment="1">
      <alignment horizontal="right" vertical="center" wrapText="1"/>
    </xf>
    <xf numFmtId="43" fontId="16" fillId="0" borderId="1" xfId="1" applyFont="1" applyFill="1" applyBorder="1" applyAlignment="1">
      <alignment horizontal="left" vertical="center" wrapText="1"/>
    </xf>
    <xf numFmtId="43" fontId="16" fillId="5" borderId="1" xfId="1" applyFont="1" applyFill="1" applyBorder="1" applyAlignment="1">
      <alignment horizontal="left" vertical="center" wrapText="1"/>
    </xf>
    <xf numFmtId="43" fontId="16" fillId="5" borderId="1" xfId="1" applyFont="1" applyFill="1" applyBorder="1" applyAlignment="1">
      <alignment horizontal="right" vertical="center" wrapText="1"/>
    </xf>
    <xf numFmtId="0" fontId="16" fillId="5" borderId="1" xfId="0" applyFont="1" applyFill="1" applyBorder="1"/>
    <xf numFmtId="43" fontId="16" fillId="5" borderId="8" xfId="1" applyFont="1" applyFill="1" applyBorder="1" applyAlignment="1">
      <alignment horizontal="left" vertical="center" wrapText="1"/>
    </xf>
    <xf numFmtId="43" fontId="5" fillId="5" borderId="1" xfId="1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right" vertical="center" wrapText="1"/>
    </xf>
    <xf numFmtId="43" fontId="15" fillId="5" borderId="1" xfId="1" applyFont="1" applyFill="1" applyBorder="1" applyAlignment="1"/>
    <xf numFmtId="43" fontId="15" fillId="5" borderId="1" xfId="1" applyFont="1" applyFill="1" applyBorder="1" applyAlignment="1">
      <alignment horizontal="left" vertical="center" indent="2"/>
    </xf>
    <xf numFmtId="43" fontId="15" fillId="5" borderId="8" xfId="1" applyFont="1" applyFill="1" applyBorder="1" applyAlignment="1">
      <alignment horizontal="left" vertical="center" indent="2"/>
    </xf>
    <xf numFmtId="43" fontId="16" fillId="5" borderId="1" xfId="1" applyFont="1" applyFill="1" applyBorder="1" applyAlignment="1">
      <alignment horizontal="left" vertical="center" indent="2"/>
    </xf>
    <xf numFmtId="43" fontId="16" fillId="5" borderId="8" xfId="1" applyFont="1" applyFill="1" applyBorder="1" applyAlignment="1">
      <alignment horizontal="left" vertical="center" indent="2"/>
    </xf>
    <xf numFmtId="4" fontId="17" fillId="6" borderId="9" xfId="0" applyNumberFormat="1" applyFont="1" applyFill="1" applyBorder="1" applyAlignment="1">
      <alignment vertical="center" wrapText="1"/>
    </xf>
    <xf numFmtId="43" fontId="15" fillId="5" borderId="10" xfId="1" applyFont="1" applyFill="1" applyBorder="1" applyAlignment="1">
      <alignment horizontal="left" vertical="center" indent="2"/>
    </xf>
    <xf numFmtId="43" fontId="15" fillId="5" borderId="11" xfId="1" applyFont="1" applyFill="1" applyBorder="1" applyAlignment="1">
      <alignment horizontal="left" vertical="center" indent="2"/>
    </xf>
    <xf numFmtId="176" fontId="27" fillId="0" borderId="7" xfId="0" applyNumberFormat="1" applyFont="1" applyFill="1" applyBorder="1" applyAlignment="1">
      <alignment horizontal="left" vertical="center" wrapText="1"/>
    </xf>
    <xf numFmtId="0" fontId="15" fillId="6" borderId="22" xfId="0" applyFont="1" applyFill="1" applyBorder="1" applyAlignment="1">
      <alignment vertical="center"/>
    </xf>
    <xf numFmtId="0" fontId="15" fillId="6" borderId="14" xfId="0" applyFont="1" applyFill="1" applyBorder="1" applyAlignment="1">
      <alignment vertical="center"/>
    </xf>
    <xf numFmtId="0" fontId="15" fillId="6" borderId="15" xfId="0" applyFont="1" applyFill="1" applyBorder="1" applyAlignment="1">
      <alignment vertical="center"/>
    </xf>
    <xf numFmtId="43" fontId="15" fillId="6" borderId="22" xfId="1" applyFont="1" applyFill="1" applyBorder="1" applyAlignment="1">
      <alignment vertical="center"/>
    </xf>
    <xf numFmtId="43" fontId="15" fillId="6" borderId="14" xfId="1" applyFont="1" applyFill="1" applyBorder="1" applyAlignment="1">
      <alignment vertical="center"/>
    </xf>
    <xf numFmtId="43" fontId="15" fillId="6" borderId="15" xfId="1" applyFont="1" applyFill="1" applyBorder="1" applyAlignment="1">
      <alignment vertical="center"/>
    </xf>
    <xf numFmtId="176" fontId="20" fillId="9" borderId="7" xfId="0" applyNumberFormat="1" applyFont="1" applyFill="1" applyBorder="1" applyAlignment="1">
      <alignment vertical="center"/>
    </xf>
    <xf numFmtId="178" fontId="16" fillId="9" borderId="1" xfId="3" applyFont="1" applyFill="1" applyBorder="1" applyAlignment="1">
      <alignment vertical="center" wrapText="1"/>
    </xf>
    <xf numFmtId="178" fontId="16" fillId="9" borderId="8" xfId="3" applyFont="1" applyFill="1" applyBorder="1" applyAlignment="1">
      <alignment vertical="center" wrapText="1"/>
    </xf>
    <xf numFmtId="43" fontId="16" fillId="9" borderId="7" xfId="1" applyFont="1" applyFill="1" applyBorder="1" applyAlignment="1">
      <alignment vertical="center" wrapText="1"/>
    </xf>
    <xf numFmtId="43" fontId="16" fillId="9" borderId="1" xfId="1" applyFont="1" applyFill="1" applyBorder="1" applyAlignment="1">
      <alignment vertical="center" wrapText="1"/>
    </xf>
    <xf numFmtId="43" fontId="16" fillId="9" borderId="12" xfId="1" applyFont="1" applyFill="1" applyBorder="1" applyAlignment="1">
      <alignment vertical="center"/>
    </xf>
    <xf numFmtId="43" fontId="16" fillId="9" borderId="0" xfId="1" applyFont="1" applyFill="1" applyBorder="1" applyAlignment="1">
      <alignment vertical="center"/>
    </xf>
    <xf numFmtId="43" fontId="16" fillId="9" borderId="21" xfId="1" applyFont="1" applyFill="1" applyBorder="1" applyAlignment="1">
      <alignment vertical="center"/>
    </xf>
    <xf numFmtId="176" fontId="28" fillId="0" borderId="7" xfId="0" applyNumberFormat="1" applyFont="1" applyFill="1" applyBorder="1" applyAlignment="1">
      <alignment vertical="center"/>
    </xf>
    <xf numFmtId="4" fontId="21" fillId="0" borderId="7" xfId="0" applyNumberFormat="1" applyFont="1" applyFill="1" applyBorder="1" applyAlignment="1">
      <alignment vertical="center" wrapText="1"/>
    </xf>
    <xf numFmtId="4" fontId="28" fillId="0" borderId="7" xfId="0" applyNumberFormat="1" applyFont="1" applyFill="1" applyBorder="1" applyAlignment="1">
      <alignment vertical="center" wrapText="1"/>
    </xf>
    <xf numFmtId="4" fontId="29" fillId="6" borderId="7" xfId="0" applyNumberFormat="1" applyFont="1" applyFill="1" applyBorder="1" applyAlignment="1">
      <alignment vertical="center" wrapText="1"/>
    </xf>
    <xf numFmtId="4" fontId="18" fillId="6" borderId="7" xfId="0" applyNumberFormat="1" applyFont="1" applyFill="1" applyBorder="1" applyAlignment="1">
      <alignment vertical="center" wrapText="1"/>
    </xf>
    <xf numFmtId="4" fontId="21" fillId="0" borderId="7" xfId="0" applyNumberFormat="1" applyFont="1" applyFill="1" applyBorder="1" applyAlignment="1">
      <alignment horizontal="left" vertical="center" wrapText="1"/>
    </xf>
    <xf numFmtId="4" fontId="21" fillId="0" borderId="9" xfId="0" applyNumberFormat="1" applyFont="1" applyFill="1" applyBorder="1" applyAlignment="1">
      <alignment horizontal="left" vertical="center" wrapText="1"/>
    </xf>
    <xf numFmtId="4" fontId="20" fillId="9" borderId="7" xfId="0" applyNumberFormat="1" applyFont="1" applyFill="1" applyBorder="1" applyAlignment="1">
      <alignment vertical="center" wrapText="1"/>
    </xf>
    <xf numFmtId="43" fontId="5" fillId="9" borderId="1" xfId="1" applyFont="1" applyFill="1" applyBorder="1" applyAlignment="1">
      <alignment horizontal="left" vertical="center" wrapText="1"/>
    </xf>
    <xf numFmtId="43" fontId="5" fillId="9" borderId="8" xfId="1" applyFont="1" applyFill="1" applyBorder="1" applyAlignment="1">
      <alignment horizontal="left" vertical="center" wrapText="1"/>
    </xf>
    <xf numFmtId="43" fontId="5" fillId="9" borderId="3" xfId="1" applyFont="1" applyFill="1" applyBorder="1" applyAlignment="1">
      <alignment horizontal="right" vertical="center" wrapText="1"/>
    </xf>
    <xf numFmtId="43" fontId="5" fillId="9" borderId="1" xfId="1" applyFont="1" applyFill="1" applyBorder="1" applyAlignment="1">
      <alignment horizontal="right" vertical="center" wrapText="1"/>
    </xf>
    <xf numFmtId="43" fontId="16" fillId="0" borderId="0" xfId="1" applyFont="1" applyFill="1" applyBorder="1" applyAlignment="1">
      <alignment horizontal="center" vertical="center"/>
    </xf>
    <xf numFmtId="176" fontId="17" fillId="6" borderId="9" xfId="0" applyNumberFormat="1" applyFont="1" applyFill="1" applyBorder="1" applyAlignment="1">
      <alignment horizontal="center" vertical="center"/>
    </xf>
    <xf numFmtId="43" fontId="16" fillId="0" borderId="1" xfId="1" applyFont="1" applyFill="1" applyBorder="1" applyAlignment="1">
      <alignment horizontal="center" vertical="center"/>
    </xf>
    <xf numFmtId="43" fontId="16" fillId="9" borderId="1" xfId="1" applyFont="1" applyFill="1" applyBorder="1" applyAlignment="1">
      <alignment horizontal="center" vertical="center"/>
    </xf>
    <xf numFmtId="43" fontId="15" fillId="6" borderId="1" xfId="1" applyFont="1" applyFill="1" applyBorder="1" applyAlignment="1">
      <alignment horizontal="center" vertical="center"/>
    </xf>
    <xf numFmtId="43" fontId="16" fillId="0" borderId="7" xfId="1" applyFont="1" applyFill="1" applyBorder="1" applyAlignment="1">
      <alignment horizontal="center" vertical="center"/>
    </xf>
    <xf numFmtId="43" fontId="16" fillId="0" borderId="8" xfId="1" applyFont="1" applyFill="1" applyBorder="1" applyAlignment="1">
      <alignment horizontal="center" vertical="center"/>
    </xf>
    <xf numFmtId="43" fontId="16" fillId="9" borderId="7" xfId="1" applyFont="1" applyFill="1" applyBorder="1" applyAlignment="1">
      <alignment horizontal="center" vertical="center"/>
    </xf>
    <xf numFmtId="43" fontId="16" fillId="9" borderId="8" xfId="1" applyFont="1" applyFill="1" applyBorder="1" applyAlignment="1">
      <alignment horizontal="center" vertical="center"/>
    </xf>
    <xf numFmtId="43" fontId="15" fillId="6" borderId="8" xfId="1" applyFont="1" applyFill="1" applyBorder="1" applyAlignment="1">
      <alignment horizontal="center" vertical="center"/>
    </xf>
    <xf numFmtId="43" fontId="15" fillId="6" borderId="10" xfId="1" applyFont="1" applyFill="1" applyBorder="1" applyAlignment="1">
      <alignment horizontal="center" vertical="center"/>
    </xf>
    <xf numFmtId="43" fontId="15" fillId="6" borderId="11" xfId="1" applyFont="1" applyFill="1" applyBorder="1" applyAlignment="1">
      <alignment horizontal="center" vertical="center"/>
    </xf>
    <xf numFmtId="43" fontId="15" fillId="0" borderId="0" xfId="1" applyFont="1" applyFill="1" applyBorder="1" applyAlignment="1">
      <alignment horizontal="center" vertical="center"/>
    </xf>
    <xf numFmtId="43" fontId="17" fillId="0" borderId="1" xfId="1" applyFont="1" applyFill="1" applyBorder="1" applyAlignment="1">
      <alignment vertical="center"/>
    </xf>
    <xf numFmtId="43" fontId="17" fillId="0" borderId="8" xfId="1" applyFont="1" applyFill="1" applyBorder="1" applyAlignment="1">
      <alignment vertical="center"/>
    </xf>
    <xf numFmtId="43" fontId="16" fillId="5" borderId="1" xfId="1" applyFont="1" applyFill="1" applyBorder="1" applyAlignment="1">
      <alignment horizontal="center" vertical="center"/>
    </xf>
    <xf numFmtId="43" fontId="16" fillId="5" borderId="10" xfId="1" applyFont="1" applyFill="1" applyBorder="1" applyAlignment="1">
      <alignment horizontal="center" vertical="center"/>
    </xf>
    <xf numFmtId="43" fontId="5" fillId="0" borderId="1" xfId="1" applyFont="1" applyFill="1" applyBorder="1" applyAlignment="1">
      <alignment horizontal="center" vertical="center" wrapText="1"/>
    </xf>
    <xf numFmtId="43" fontId="5" fillId="5" borderId="1" xfId="1" applyFont="1" applyFill="1" applyBorder="1" applyAlignment="1">
      <alignment horizontal="center" vertical="center" wrapText="1"/>
    </xf>
    <xf numFmtId="43" fontId="16" fillId="0" borderId="1" xfId="1" applyFont="1" applyFill="1" applyBorder="1" applyAlignment="1">
      <alignment horizontal="center" vertical="center" wrapText="1"/>
    </xf>
    <xf numFmtId="43" fontId="16" fillId="5" borderId="1" xfId="1" applyFont="1" applyFill="1" applyBorder="1" applyAlignment="1">
      <alignment horizontal="center" vertical="center" wrapText="1"/>
    </xf>
    <xf numFmtId="43" fontId="5" fillId="9" borderId="1" xfId="1" applyFont="1" applyFill="1" applyBorder="1" applyAlignment="1">
      <alignment horizontal="center" vertical="center" wrapText="1"/>
    </xf>
    <xf numFmtId="43" fontId="16" fillId="5" borderId="8" xfId="1" applyFont="1" applyFill="1" applyBorder="1" applyAlignment="1">
      <alignment horizontal="center" vertical="center" wrapText="1"/>
    </xf>
    <xf numFmtId="43" fontId="15" fillId="6" borderId="10" xfId="1" applyFont="1" applyFill="1" applyBorder="1" applyAlignment="1">
      <alignment horizontal="center" vertical="center" wrapText="1"/>
    </xf>
    <xf numFmtId="43" fontId="16" fillId="9" borderId="1" xfId="1" applyFont="1" applyFill="1" applyBorder="1" applyAlignment="1">
      <alignment horizontal="center" vertical="center" wrapText="1"/>
    </xf>
    <xf numFmtId="43" fontId="16" fillId="9" borderId="8" xfId="1" applyFont="1" applyFill="1" applyBorder="1" applyAlignment="1">
      <alignment horizontal="center" vertical="center" wrapText="1"/>
    </xf>
    <xf numFmtId="43" fontId="15" fillId="6" borderId="1" xfId="1" applyFont="1" applyFill="1" applyBorder="1" applyAlignment="1">
      <alignment horizontal="center" vertical="center" wrapText="1"/>
    </xf>
    <xf numFmtId="43" fontId="15" fillId="6" borderId="8" xfId="1" applyFont="1" applyFill="1" applyBorder="1" applyAlignment="1">
      <alignment horizontal="center" vertical="center" wrapText="1"/>
    </xf>
    <xf numFmtId="43" fontId="15" fillId="0" borderId="1" xfId="1" applyFont="1" applyFill="1" applyBorder="1" applyAlignment="1">
      <alignment horizontal="center" vertical="center" wrapText="1"/>
    </xf>
    <xf numFmtId="43" fontId="15" fillId="0" borderId="8" xfId="1" applyFont="1" applyFill="1" applyBorder="1" applyAlignment="1">
      <alignment horizontal="center" vertical="center" wrapText="1"/>
    </xf>
    <xf numFmtId="43" fontId="15" fillId="0" borderId="1" xfId="1" applyFont="1" applyFill="1" applyBorder="1" applyAlignment="1">
      <alignment vertical="center" wrapText="1"/>
    </xf>
    <xf numFmtId="43" fontId="15" fillId="6" borderId="11" xfId="1" applyFont="1" applyFill="1" applyBorder="1" applyAlignment="1">
      <alignment horizontal="center" vertical="center" wrapText="1"/>
    </xf>
    <xf numFmtId="43" fontId="16" fillId="5" borderId="1" xfId="1" applyFont="1" applyFill="1" applyBorder="1" applyAlignment="1">
      <alignment horizontal="center"/>
    </xf>
    <xf numFmtId="0" fontId="15" fillId="0" borderId="0" xfId="0" applyFont="1" applyFill="1" applyAlignment="1">
      <alignment vertical="center"/>
    </xf>
    <xf numFmtId="0" fontId="15" fillId="6" borderId="0" xfId="0" applyFont="1" applyFill="1" applyAlignment="1">
      <alignment vertical="center"/>
    </xf>
    <xf numFmtId="43" fontId="16" fillId="0" borderId="0" xfId="1" applyFont="1" applyFill="1" applyAlignment="1">
      <alignment vertical="center"/>
    </xf>
    <xf numFmtId="43" fontId="16" fillId="0" borderId="0" xfId="1" applyFont="1" applyFill="1" applyAlignment="1">
      <alignment horizontal="center" vertical="center"/>
    </xf>
    <xf numFmtId="4" fontId="21" fillId="0" borderId="0" xfId="0" applyNumberFormat="1" applyFont="1" applyFill="1" applyBorder="1" applyAlignment="1">
      <alignment horizontal="left" vertical="center" wrapText="1"/>
    </xf>
    <xf numFmtId="176" fontId="17" fillId="0" borderId="0" xfId="0" applyNumberFormat="1" applyFont="1" applyFill="1" applyBorder="1" applyAlignment="1">
      <alignment horizontal="center" vertical="center"/>
    </xf>
    <xf numFmtId="43" fontId="15" fillId="0" borderId="0" xfId="1" applyFont="1" applyFill="1" applyBorder="1" applyAlignment="1">
      <alignment horizontal="center" vertical="center" wrapText="1"/>
    </xf>
    <xf numFmtId="43" fontId="16" fillId="0" borderId="10" xfId="1" applyFont="1" applyFill="1" applyBorder="1" applyAlignment="1">
      <alignment horizontal="center" vertical="center"/>
    </xf>
    <xf numFmtId="43" fontId="16" fillId="0" borderId="11" xfId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>
      <alignment vertical="center" wrapText="1"/>
    </xf>
    <xf numFmtId="43" fontId="16" fillId="0" borderId="9" xfId="1" applyFont="1" applyFill="1" applyBorder="1" applyAlignment="1">
      <alignment horizontal="center" vertical="center"/>
    </xf>
    <xf numFmtId="43" fontId="5" fillId="0" borderId="2" xfId="1" applyFont="1" applyFill="1" applyBorder="1" applyAlignment="1">
      <alignment horizontal="center" vertical="center" wrapText="1"/>
    </xf>
    <xf numFmtId="43" fontId="16" fillId="5" borderId="2" xfId="1" applyFont="1" applyFill="1" applyBorder="1" applyAlignment="1">
      <alignment horizontal="center" vertical="center"/>
    </xf>
    <xf numFmtId="43" fontId="15" fillId="6" borderId="2" xfId="1" applyFont="1" applyFill="1" applyBorder="1" applyAlignment="1">
      <alignment horizontal="center" vertical="center"/>
    </xf>
    <xf numFmtId="43" fontId="16" fillId="5" borderId="23" xfId="1" applyFont="1" applyFill="1" applyBorder="1" applyAlignment="1">
      <alignment horizontal="center" vertical="center"/>
    </xf>
    <xf numFmtId="43" fontId="15" fillId="0" borderId="1" xfId="1" applyFont="1" applyFill="1" applyBorder="1" applyAlignment="1">
      <alignment vertical="center"/>
    </xf>
    <xf numFmtId="43" fontId="15" fillId="0" borderId="1" xfId="1" applyFont="1" applyFill="1" applyBorder="1" applyAlignment="1">
      <alignment horizontal="center" vertical="center"/>
    </xf>
    <xf numFmtId="43" fontId="15" fillId="0" borderId="8" xfId="1" applyFont="1" applyFill="1" applyBorder="1" applyAlignment="1">
      <alignment vertical="center"/>
    </xf>
    <xf numFmtId="43" fontId="15" fillId="0" borderId="8" xfId="1" applyFont="1" applyFill="1" applyBorder="1" applyAlignment="1">
      <alignment horizontal="center" vertical="center"/>
    </xf>
    <xf numFmtId="43" fontId="22" fillId="6" borderId="7" xfId="1" applyFont="1" applyFill="1" applyBorder="1" applyAlignment="1">
      <alignment horizontal="center" vertical="center" wrapText="1"/>
    </xf>
    <xf numFmtId="43" fontId="15" fillId="0" borderId="7" xfId="1" applyFont="1" applyFill="1" applyBorder="1" applyAlignment="1">
      <alignment vertical="center"/>
    </xf>
    <xf numFmtId="43" fontId="15" fillId="6" borderId="7" xfId="1" applyFont="1" applyFill="1" applyBorder="1" applyAlignment="1">
      <alignment horizontal="center" vertical="center"/>
    </xf>
    <xf numFmtId="43" fontId="15" fillId="0" borderId="7" xfId="1" applyFont="1" applyFill="1" applyBorder="1" applyAlignment="1">
      <alignment horizontal="center" vertical="center"/>
    </xf>
    <xf numFmtId="43" fontId="15" fillId="6" borderId="9" xfId="1" applyFont="1" applyFill="1" applyBorder="1" applyAlignment="1">
      <alignment horizontal="center" vertical="center"/>
    </xf>
    <xf numFmtId="43" fontId="19" fillId="6" borderId="1" xfId="1" applyFont="1" applyFill="1" applyBorder="1" applyAlignment="1">
      <alignment horizontal="center" vertical="center" wrapText="1"/>
    </xf>
    <xf numFmtId="43" fontId="19" fillId="6" borderId="2" xfId="1" applyFont="1" applyFill="1" applyBorder="1" applyAlignment="1">
      <alignment horizontal="center" vertical="center" wrapText="1"/>
    </xf>
    <xf numFmtId="43" fontId="15" fillId="6" borderId="1" xfId="1" applyFont="1" applyFill="1" applyBorder="1" applyAlignment="1">
      <alignment horizontal="center"/>
    </xf>
    <xf numFmtId="43" fontId="15" fillId="6" borderId="23" xfId="1" applyFont="1" applyFill="1" applyBorder="1" applyAlignment="1">
      <alignment horizontal="center" vertical="center"/>
    </xf>
    <xf numFmtId="43" fontId="15" fillId="0" borderId="0" xfId="1" applyFont="1" applyFill="1" applyAlignment="1">
      <alignment vertical="center"/>
    </xf>
    <xf numFmtId="43" fontId="17" fillId="6" borderId="8" xfId="0" applyNumberFormat="1" applyFont="1" applyFill="1" applyBorder="1" applyAlignment="1">
      <alignment horizontal="center" vertical="center"/>
    </xf>
    <xf numFmtId="43" fontId="17" fillId="6" borderId="1" xfId="0" applyNumberFormat="1" applyFont="1" applyFill="1" applyBorder="1" applyAlignment="1">
      <alignment horizontal="center" vertical="center"/>
    </xf>
    <xf numFmtId="43" fontId="17" fillId="6" borderId="7" xfId="0" applyNumberFormat="1" applyFont="1" applyFill="1" applyBorder="1" applyAlignment="1">
      <alignment horizontal="center" vertical="center"/>
    </xf>
    <xf numFmtId="4" fontId="17" fillId="6" borderId="7" xfId="0" applyNumberFormat="1" applyFont="1" applyFill="1" applyBorder="1" applyAlignment="1">
      <alignment horizontal="center" vertical="center" wrapText="1"/>
    </xf>
    <xf numFmtId="43" fontId="17" fillId="6" borderId="8" xfId="1" applyFont="1" applyFill="1" applyBorder="1" applyAlignment="1">
      <alignment horizontal="center" vertical="center"/>
    </xf>
    <xf numFmtId="43" fontId="17" fillId="6" borderId="1" xfId="1" applyFont="1" applyFill="1" applyBorder="1" applyAlignment="1">
      <alignment horizontal="center" vertical="center"/>
    </xf>
    <xf numFmtId="43" fontId="17" fillId="6" borderId="7" xfId="0" applyNumberFormat="1" applyFont="1" applyFill="1" applyBorder="1" applyAlignment="1">
      <alignment horizontal="center" vertical="center"/>
    </xf>
    <xf numFmtId="43" fontId="17" fillId="6" borderId="1" xfId="0" applyNumberFormat="1" applyFont="1" applyFill="1" applyBorder="1" applyAlignment="1">
      <alignment horizontal="center" vertical="center"/>
    </xf>
    <xf numFmtId="43" fontId="17" fillId="6" borderId="8" xfId="0" applyNumberFormat="1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3" fontId="16" fillId="0" borderId="8" xfId="1" applyFont="1" applyFill="1" applyBorder="1" applyAlignment="1">
      <alignment vertical="center" wrapText="1"/>
    </xf>
    <xf numFmtId="43" fontId="16" fillId="9" borderId="8" xfId="1" applyFont="1" applyFill="1" applyBorder="1" applyAlignment="1">
      <alignment vertical="center" wrapText="1"/>
    </xf>
    <xf numFmtId="43" fontId="15" fillId="6" borderId="8" xfId="1" applyFont="1" applyFill="1" applyBorder="1" applyAlignment="1">
      <alignment vertical="center" wrapText="1"/>
    </xf>
    <xf numFmtId="43" fontId="15" fillId="6" borderId="11" xfId="1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16" fillId="0" borderId="12" xfId="0" applyFont="1" applyFill="1" applyBorder="1"/>
    <xf numFmtId="0" fontId="16" fillId="0" borderId="21" xfId="0" applyFont="1" applyFill="1" applyBorder="1"/>
    <xf numFmtId="43" fontId="16" fillId="0" borderId="12" xfId="1" applyFont="1" applyFill="1" applyBorder="1" applyAlignment="1"/>
    <xf numFmtId="43" fontId="16" fillId="0" borderId="21" xfId="1" applyFont="1" applyFill="1" applyBorder="1" applyAlignment="1"/>
    <xf numFmtId="43" fontId="15" fillId="6" borderId="12" xfId="1" applyFont="1" applyFill="1" applyBorder="1" applyAlignment="1"/>
    <xf numFmtId="43" fontId="15" fillId="6" borderId="21" xfId="1" applyFont="1" applyFill="1" applyBorder="1" applyAlignment="1"/>
    <xf numFmtId="43" fontId="16" fillId="9" borderId="12" xfId="1" applyFont="1" applyFill="1" applyBorder="1" applyAlignment="1"/>
    <xf numFmtId="43" fontId="16" fillId="9" borderId="21" xfId="1" applyFont="1" applyFill="1" applyBorder="1" applyAlignment="1"/>
    <xf numFmtId="43" fontId="15" fillId="6" borderId="22" xfId="1" applyFont="1" applyFill="1" applyBorder="1" applyAlignment="1"/>
    <xf numFmtId="43" fontId="15" fillId="6" borderId="15" xfId="1" applyFont="1" applyFill="1" applyBorder="1" applyAlignment="1"/>
    <xf numFmtId="4" fontId="17" fillId="6" borderId="2" xfId="0" applyNumberFormat="1" applyFont="1" applyFill="1" applyBorder="1" applyAlignment="1">
      <alignment horizontal="center" vertical="center" wrapText="1"/>
    </xf>
    <xf numFmtId="43" fontId="5" fillId="0" borderId="2" xfId="1" applyFont="1" applyFill="1" applyBorder="1" applyAlignment="1">
      <alignment horizontal="right" vertical="center" wrapText="1" indent="2"/>
    </xf>
    <xf numFmtId="43" fontId="5" fillId="0" borderId="2" xfId="1" applyFont="1" applyFill="1" applyBorder="1" applyAlignment="1">
      <alignment horizontal="right" vertical="center" wrapText="1"/>
    </xf>
    <xf numFmtId="43" fontId="19" fillId="6" borderId="2" xfId="1" applyFont="1" applyFill="1" applyBorder="1" applyAlignment="1">
      <alignment horizontal="right" vertical="center" wrapText="1"/>
    </xf>
    <xf numFmtId="43" fontId="5" fillId="9" borderId="2" xfId="1" applyFont="1" applyFill="1" applyBorder="1" applyAlignment="1">
      <alignment horizontal="right" vertical="center" wrapText="1"/>
    </xf>
    <xf numFmtId="43" fontId="19" fillId="6" borderId="2" xfId="1" applyFont="1" applyFill="1" applyBorder="1" applyAlignment="1">
      <alignment vertical="center" wrapText="1"/>
    </xf>
    <xf numFmtId="43" fontId="5" fillId="0" borderId="23" xfId="1" applyFont="1" applyFill="1" applyBorder="1" applyAlignment="1">
      <alignment vertical="center" wrapText="1"/>
    </xf>
    <xf numFmtId="0" fontId="15" fillId="6" borderId="28" xfId="0" applyFont="1" applyFill="1" applyBorder="1" applyAlignment="1">
      <alignment horizontal="center" vertical="center" wrapText="1"/>
    </xf>
    <xf numFmtId="43" fontId="15" fillId="6" borderId="0" xfId="1" applyFont="1" applyFill="1" applyBorder="1" applyAlignment="1">
      <alignment horizontal="right" vertical="center"/>
    </xf>
    <xf numFmtId="43" fontId="16" fillId="0" borderId="0" xfId="1" applyFont="1" applyFill="1" applyBorder="1" applyAlignment="1">
      <alignment horizontal="right" vertical="center"/>
    </xf>
    <xf numFmtId="43" fontId="15" fillId="6" borderId="16" xfId="1" applyFont="1" applyFill="1" applyBorder="1" applyAlignment="1">
      <alignment horizontal="right" vertical="center"/>
    </xf>
    <xf numFmtId="43" fontId="15" fillId="6" borderId="29" xfId="1" applyFont="1" applyFill="1" applyBorder="1" applyAlignment="1">
      <alignment horizontal="right" vertical="center"/>
    </xf>
    <xf numFmtId="43" fontId="15" fillId="6" borderId="30" xfId="1" applyFont="1" applyFill="1" applyBorder="1" applyAlignment="1">
      <alignment horizontal="right" vertical="center"/>
    </xf>
    <xf numFmtId="43" fontId="16" fillId="0" borderId="12" xfId="1" applyFont="1" applyFill="1" applyBorder="1" applyAlignment="1">
      <alignment horizontal="right" vertical="center"/>
    </xf>
    <xf numFmtId="43" fontId="16" fillId="0" borderId="21" xfId="1" applyFont="1" applyFill="1" applyBorder="1" applyAlignment="1">
      <alignment horizontal="right" vertical="center"/>
    </xf>
    <xf numFmtId="43" fontId="15" fillId="6" borderId="12" xfId="1" applyFont="1" applyFill="1" applyBorder="1" applyAlignment="1">
      <alignment horizontal="right" vertical="center"/>
    </xf>
    <xf numFmtId="43" fontId="15" fillId="6" borderId="21" xfId="1" applyFont="1" applyFill="1" applyBorder="1" applyAlignment="1">
      <alignment horizontal="right" vertical="center"/>
    </xf>
    <xf numFmtId="43" fontId="16" fillId="0" borderId="22" xfId="1" applyFont="1" applyFill="1" applyBorder="1" applyAlignment="1">
      <alignment horizontal="right" vertical="center"/>
    </xf>
    <xf numFmtId="43" fontId="16" fillId="0" borderId="14" xfId="1" applyFont="1" applyFill="1" applyBorder="1" applyAlignment="1">
      <alignment horizontal="right" vertical="center"/>
    </xf>
    <xf numFmtId="43" fontId="16" fillId="0" borderId="15" xfId="1" applyFont="1" applyFill="1" applyBorder="1" applyAlignment="1">
      <alignment horizontal="right" vertical="center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43" fontId="19" fillId="0" borderId="7" xfId="1" applyFont="1" applyFill="1" applyBorder="1" applyAlignment="1">
      <alignment horizontal="right" vertical="center" wrapText="1"/>
    </xf>
    <xf numFmtId="43" fontId="5" fillId="0" borderId="8" xfId="1" applyFont="1" applyFill="1" applyBorder="1" applyAlignment="1">
      <alignment horizontal="right" vertical="center" wrapText="1" indent="2"/>
    </xf>
    <xf numFmtId="43" fontId="5" fillId="0" borderId="7" xfId="1" applyFont="1" applyFill="1" applyBorder="1" applyAlignment="1">
      <alignment horizontal="right" vertical="center" wrapText="1"/>
    </xf>
    <xf numFmtId="43" fontId="5" fillId="0" borderId="8" xfId="1" applyFont="1" applyFill="1" applyBorder="1" applyAlignment="1">
      <alignment horizontal="right" vertical="center" wrapText="1"/>
    </xf>
    <xf numFmtId="43" fontId="19" fillId="6" borderId="7" xfId="1" applyFont="1" applyFill="1" applyBorder="1" applyAlignment="1">
      <alignment horizontal="right" vertical="center" wrapText="1"/>
    </xf>
    <xf numFmtId="43" fontId="19" fillId="6" borderId="8" xfId="1" applyFont="1" applyFill="1" applyBorder="1" applyAlignment="1">
      <alignment horizontal="right" vertical="center" wrapText="1"/>
    </xf>
    <xf numFmtId="43" fontId="5" fillId="9" borderId="7" xfId="1" applyFont="1" applyFill="1" applyBorder="1" applyAlignment="1">
      <alignment horizontal="right" vertical="center" wrapText="1"/>
    </xf>
    <xf numFmtId="43" fontId="5" fillId="9" borderId="8" xfId="1" applyFont="1" applyFill="1" applyBorder="1" applyAlignment="1">
      <alignment horizontal="right" vertical="center" wrapText="1"/>
    </xf>
    <xf numFmtId="43" fontId="19" fillId="6" borderId="9" xfId="1" applyFont="1" applyFill="1" applyBorder="1" applyAlignment="1">
      <alignment horizontal="right" vertical="center" wrapText="1"/>
    </xf>
    <xf numFmtId="43" fontId="19" fillId="6" borderId="10" xfId="1" applyFont="1" applyFill="1" applyBorder="1" applyAlignment="1">
      <alignment horizontal="right" vertical="center" wrapText="1"/>
    </xf>
    <xf numFmtId="43" fontId="19" fillId="6" borderId="11" xfId="1" applyFont="1" applyFill="1" applyBorder="1" applyAlignment="1">
      <alignment horizontal="right" vertical="center" wrapText="1"/>
    </xf>
    <xf numFmtId="0" fontId="34" fillId="0" borderId="14" xfId="0" applyFont="1" applyFill="1" applyBorder="1" applyAlignment="1">
      <alignment vertical="center"/>
    </xf>
    <xf numFmtId="0" fontId="35" fillId="6" borderId="16" xfId="0" applyFont="1" applyFill="1" applyBorder="1" applyAlignment="1">
      <alignment vertical="center"/>
    </xf>
    <xf numFmtId="43" fontId="36" fillId="6" borderId="7" xfId="0" applyNumberFormat="1" applyFont="1" applyFill="1" applyBorder="1" applyAlignment="1">
      <alignment vertical="center"/>
    </xf>
    <xf numFmtId="176" fontId="36" fillId="0" borderId="7" xfId="0" applyNumberFormat="1" applyFont="1" applyFill="1" applyBorder="1" applyAlignment="1">
      <alignment vertical="center"/>
    </xf>
    <xf numFmtId="176" fontId="33" fillId="0" borderId="7" xfId="0" applyNumberFormat="1" applyFont="1" applyFill="1" applyBorder="1" applyAlignment="1">
      <alignment vertical="center"/>
    </xf>
    <xf numFmtId="176" fontId="33" fillId="0" borderId="7" xfId="0" applyNumberFormat="1" applyFont="1" applyFill="1" applyBorder="1" applyAlignment="1">
      <alignment horizontal="left" vertical="center" wrapText="1"/>
    </xf>
    <xf numFmtId="176" fontId="33" fillId="9" borderId="7" xfId="0" applyNumberFormat="1" applyFont="1" applyFill="1" applyBorder="1" applyAlignment="1">
      <alignment vertical="center"/>
    </xf>
    <xf numFmtId="176" fontId="36" fillId="6" borderId="7" xfId="0" applyNumberFormat="1" applyFont="1" applyFill="1" applyBorder="1" applyAlignment="1">
      <alignment vertical="center"/>
    </xf>
    <xf numFmtId="176" fontId="36" fillId="6" borderId="7" xfId="0" applyNumberFormat="1" applyFont="1" applyFill="1" applyBorder="1" applyAlignment="1">
      <alignment horizontal="left" vertical="center"/>
    </xf>
    <xf numFmtId="176" fontId="36" fillId="8" borderId="7" xfId="0" applyNumberFormat="1" applyFont="1" applyFill="1" applyBorder="1" applyAlignment="1">
      <alignment vertical="center"/>
    </xf>
    <xf numFmtId="176" fontId="36" fillId="8" borderId="9" xfId="0" applyNumberFormat="1" applyFont="1" applyFill="1" applyBorder="1" applyAlignment="1">
      <alignment horizontal="center" vertical="center"/>
    </xf>
    <xf numFmtId="0" fontId="35" fillId="0" borderId="0" xfId="0" applyFont="1" applyFill="1" applyAlignment="1">
      <alignment vertical="center"/>
    </xf>
    <xf numFmtId="0" fontId="37" fillId="3" borderId="0" xfId="0" applyFont="1" applyFill="1" applyAlignment="1">
      <alignment vertical="center"/>
    </xf>
    <xf numFmtId="0" fontId="35" fillId="3" borderId="0" xfId="0" applyFont="1" applyFill="1" applyAlignment="1">
      <alignment vertical="center"/>
    </xf>
    <xf numFmtId="43" fontId="16" fillId="5" borderId="1" xfId="1" applyFont="1" applyFill="1" applyBorder="1" applyAlignment="1">
      <alignment vertical="center" wrapText="1"/>
    </xf>
    <xf numFmtId="43" fontId="16" fillId="5" borderId="8" xfId="1" applyFont="1" applyFill="1" applyBorder="1" applyAlignment="1">
      <alignment vertical="center" wrapText="1"/>
    </xf>
    <xf numFmtId="43" fontId="15" fillId="5" borderId="1" xfId="1" applyFont="1" applyFill="1" applyBorder="1" applyAlignment="1">
      <alignment vertical="center" wrapText="1"/>
    </xf>
    <xf numFmtId="43" fontId="15" fillId="5" borderId="8" xfId="1" applyFont="1" applyFill="1" applyBorder="1" applyAlignment="1">
      <alignment vertical="center" wrapText="1"/>
    </xf>
    <xf numFmtId="43" fontId="15" fillId="5" borderId="10" xfId="1" applyFont="1" applyFill="1" applyBorder="1" applyAlignment="1">
      <alignment vertical="center" wrapText="1"/>
    </xf>
    <xf numFmtId="43" fontId="15" fillId="5" borderId="11" xfId="1" applyFont="1" applyFill="1" applyBorder="1" applyAlignment="1">
      <alignment vertical="center" wrapText="1"/>
    </xf>
    <xf numFmtId="0" fontId="22" fillId="6" borderId="7" xfId="0" applyFont="1" applyFill="1" applyBorder="1" applyAlignment="1">
      <alignment horizontal="center" vertical="center" wrapText="1"/>
    </xf>
    <xf numFmtId="43" fontId="15" fillId="6" borderId="1" xfId="1" applyFont="1" applyFill="1" applyBorder="1" applyAlignment="1">
      <alignment horizontal="center" vertical="center" wrapText="1"/>
    </xf>
    <xf numFmtId="43" fontId="15" fillId="6" borderId="8" xfId="1" applyFont="1" applyFill="1" applyBorder="1" applyAlignment="1">
      <alignment horizontal="center" vertical="center" wrapText="1"/>
    </xf>
    <xf numFmtId="0" fontId="38" fillId="0" borderId="0" xfId="0" applyFont="1" applyFill="1" applyAlignment="1">
      <alignment vertical="center"/>
    </xf>
    <xf numFmtId="0" fontId="41" fillId="6" borderId="13" xfId="0" applyFont="1" applyFill="1" applyBorder="1" applyAlignment="1">
      <alignment horizontal="center" vertical="center"/>
    </xf>
    <xf numFmtId="43" fontId="41" fillId="6" borderId="26" xfId="0" applyNumberFormat="1" applyFont="1" applyFill="1" applyBorder="1" applyAlignment="1">
      <alignment horizontal="center" vertical="center"/>
    </xf>
    <xf numFmtId="43" fontId="41" fillId="6" borderId="27" xfId="0" applyNumberFormat="1" applyFont="1" applyFill="1" applyBorder="1" applyAlignment="1">
      <alignment horizontal="center" vertical="center"/>
    </xf>
    <xf numFmtId="0" fontId="38" fillId="6" borderId="4" xfId="0" applyFont="1" applyFill="1" applyBorder="1" applyAlignment="1">
      <alignment horizontal="left" vertical="center"/>
    </xf>
    <xf numFmtId="43" fontId="38" fillId="6" borderId="5" xfId="1" applyFont="1" applyFill="1" applyBorder="1" applyAlignment="1">
      <alignment vertical="center"/>
    </xf>
    <xf numFmtId="0" fontId="38" fillId="6" borderId="7" xfId="0" applyFont="1" applyFill="1" applyBorder="1" applyAlignment="1">
      <alignment vertical="center"/>
    </xf>
    <xf numFmtId="43" fontId="38" fillId="6" borderId="1" xfId="1" applyFont="1" applyFill="1" applyBorder="1" applyAlignment="1">
      <alignment vertical="center"/>
    </xf>
    <xf numFmtId="43" fontId="38" fillId="6" borderId="1" xfId="1" applyFont="1" applyFill="1" applyBorder="1">
      <alignment vertical="center"/>
    </xf>
    <xf numFmtId="0" fontId="38" fillId="9" borderId="7" xfId="0" applyFont="1" applyFill="1" applyBorder="1" applyAlignment="1">
      <alignment vertical="center"/>
    </xf>
    <xf numFmtId="43" fontId="38" fillId="9" borderId="1" xfId="1" applyFont="1" applyFill="1" applyBorder="1">
      <alignment vertical="center"/>
    </xf>
    <xf numFmtId="0" fontId="38" fillId="6" borderId="9" xfId="0" applyFont="1" applyFill="1" applyBorder="1" applyAlignment="1">
      <alignment vertical="center"/>
    </xf>
    <xf numFmtId="43" fontId="38" fillId="6" borderId="10" xfId="1" applyFont="1" applyFill="1" applyBorder="1" applyAlignment="1">
      <alignment vertical="center"/>
    </xf>
    <xf numFmtId="4" fontId="38" fillId="0" borderId="4" xfId="0" applyNumberFormat="1" applyFont="1" applyFill="1" applyBorder="1" applyAlignment="1">
      <alignment vertical="center"/>
    </xf>
    <xf numFmtId="43" fontId="38" fillId="0" borderId="5" xfId="1" applyFont="1" applyFill="1" applyBorder="1" applyAlignment="1">
      <alignment vertical="center"/>
    </xf>
    <xf numFmtId="4" fontId="38" fillId="0" borderId="7" xfId="0" applyNumberFormat="1" applyFont="1" applyFill="1" applyBorder="1" applyAlignment="1">
      <alignment vertical="center"/>
    </xf>
    <xf numFmtId="43" fontId="38" fillId="0" borderId="1" xfId="1" applyFont="1" applyFill="1" applyBorder="1" applyAlignment="1">
      <alignment vertical="center"/>
    </xf>
    <xf numFmtId="4" fontId="38" fillId="0" borderId="9" xfId="0" applyNumberFormat="1" applyFont="1" applyFill="1" applyBorder="1" applyAlignment="1">
      <alignment vertical="center"/>
    </xf>
    <xf numFmtId="43" fontId="38" fillId="0" borderId="10" xfId="1" applyFont="1" applyFill="1" applyBorder="1" applyAlignment="1">
      <alignment vertical="center"/>
    </xf>
    <xf numFmtId="0" fontId="38" fillId="6" borderId="4" xfId="0" applyFont="1" applyFill="1" applyBorder="1" applyAlignment="1">
      <alignment vertical="center"/>
    </xf>
    <xf numFmtId="0" fontId="38" fillId="6" borderId="7" xfId="0" applyFont="1" applyFill="1" applyBorder="1" applyAlignment="1">
      <alignment horizontal="left" vertical="center"/>
    </xf>
    <xf numFmtId="0" fontId="38" fillId="6" borderId="9" xfId="0" applyFont="1" applyFill="1" applyBorder="1" applyAlignment="1">
      <alignment horizontal="left" vertical="center"/>
    </xf>
    <xf numFmtId="43" fontId="38" fillId="6" borderId="10" xfId="1" applyFont="1" applyFill="1" applyBorder="1">
      <alignment vertical="center"/>
    </xf>
    <xf numFmtId="0" fontId="38" fillId="0" borderId="4" xfId="0" applyFont="1" applyFill="1" applyBorder="1" applyAlignment="1">
      <alignment horizontal="justify" vertical="center"/>
    </xf>
    <xf numFmtId="0" fontId="38" fillId="0" borderId="7" xfId="0" applyFont="1" applyFill="1" applyBorder="1" applyAlignment="1">
      <alignment horizontal="justify" vertical="center"/>
    </xf>
    <xf numFmtId="0" fontId="38" fillId="0" borderId="9" xfId="0" applyFont="1" applyFill="1" applyBorder="1" applyAlignment="1">
      <alignment horizontal="justify" vertical="center"/>
    </xf>
    <xf numFmtId="0" fontId="41" fillId="0" borderId="0" xfId="0" applyFont="1" applyFill="1" applyAlignment="1">
      <alignment horizontal="center" vertical="center"/>
    </xf>
    <xf numFmtId="0" fontId="38" fillId="2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vertical="center"/>
    </xf>
    <xf numFmtId="43" fontId="41" fillId="2" borderId="5" xfId="1" applyFont="1" applyFill="1" applyBorder="1" applyAlignment="1">
      <alignment horizontal="center" vertical="center"/>
    </xf>
    <xf numFmtId="43" fontId="41" fillId="2" borderId="5" xfId="0" applyNumberFormat="1" applyFont="1" applyFill="1" applyBorder="1" applyAlignment="1">
      <alignment horizontal="center" vertical="center"/>
    </xf>
    <xf numFmtId="43" fontId="41" fillId="2" borderId="6" xfId="0" applyNumberFormat="1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vertical="center"/>
    </xf>
    <xf numFmtId="0" fontId="38" fillId="2" borderId="7" xfId="0" applyFont="1" applyFill="1" applyBorder="1" applyAlignment="1">
      <alignment vertical="center"/>
    </xf>
    <xf numFmtId="43" fontId="38" fillId="2" borderId="1" xfId="1" applyFont="1" applyFill="1" applyBorder="1">
      <alignment vertical="center"/>
    </xf>
    <xf numFmtId="43" fontId="38" fillId="2" borderId="8" xfId="1" applyFont="1" applyFill="1" applyBorder="1">
      <alignment vertical="center"/>
    </xf>
    <xf numFmtId="177" fontId="38" fillId="2" borderId="1" xfId="1" applyNumberFormat="1" applyFont="1" applyFill="1" applyBorder="1">
      <alignment vertical="center"/>
    </xf>
    <xf numFmtId="177" fontId="38" fillId="2" borderId="8" xfId="1" applyNumberFormat="1" applyFont="1" applyFill="1" applyBorder="1">
      <alignment vertical="center"/>
    </xf>
    <xf numFmtId="43" fontId="38" fillId="0" borderId="0" xfId="1" applyFont="1" applyFill="1">
      <alignment vertical="center"/>
    </xf>
    <xf numFmtId="43" fontId="38" fillId="2" borderId="1" xfId="2" applyNumberFormat="1" applyFont="1" applyFill="1" applyBorder="1">
      <alignment vertical="center"/>
    </xf>
    <xf numFmtId="43" fontId="38" fillId="2" borderId="8" xfId="2" applyNumberFormat="1" applyFont="1" applyFill="1" applyBorder="1">
      <alignment vertical="center"/>
    </xf>
    <xf numFmtId="176" fontId="38" fillId="0" borderId="0" xfId="0" applyNumberFormat="1" applyFont="1" applyFill="1" applyAlignment="1">
      <alignment vertical="center"/>
    </xf>
    <xf numFmtId="43" fontId="38" fillId="2" borderId="1" xfId="0" applyNumberFormat="1" applyFont="1" applyFill="1" applyBorder="1" applyAlignment="1">
      <alignment vertical="center"/>
    </xf>
    <xf numFmtId="43" fontId="38" fillId="2" borderId="8" xfId="0" applyNumberFormat="1" applyFont="1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0" fontId="38" fillId="9" borderId="0" xfId="0" applyFont="1" applyFill="1" applyBorder="1" applyAlignment="1">
      <alignment vertical="center"/>
    </xf>
    <xf numFmtId="0" fontId="41" fillId="9" borderId="4" xfId="0" applyFont="1" applyFill="1" applyBorder="1" applyAlignment="1">
      <alignment vertical="center"/>
    </xf>
    <xf numFmtId="43" fontId="41" fillId="9" borderId="5" xfId="1" applyFont="1" applyFill="1" applyBorder="1" applyAlignment="1">
      <alignment horizontal="center" vertical="center"/>
    </xf>
    <xf numFmtId="43" fontId="41" fillId="9" borderId="6" xfId="1" applyFont="1" applyFill="1" applyBorder="1" applyAlignment="1">
      <alignment horizontal="center" vertical="center"/>
    </xf>
    <xf numFmtId="43" fontId="41" fillId="9" borderId="0" xfId="1" applyFont="1" applyFill="1" applyBorder="1" applyAlignment="1">
      <alignment horizontal="center" vertical="center"/>
    </xf>
    <xf numFmtId="0" fontId="41" fillId="9" borderId="0" xfId="0" applyFont="1" applyFill="1" applyBorder="1" applyAlignment="1">
      <alignment vertical="center"/>
    </xf>
    <xf numFmtId="43" fontId="38" fillId="9" borderId="1" xfId="1" applyNumberFormat="1" applyFont="1" applyFill="1" applyBorder="1">
      <alignment vertical="center"/>
    </xf>
    <xf numFmtId="43" fontId="38" fillId="9" borderId="0" xfId="1" applyFont="1" applyFill="1" applyBorder="1">
      <alignment vertical="center"/>
    </xf>
    <xf numFmtId="43" fontId="38" fillId="9" borderId="0" xfId="1" applyNumberFormat="1" applyFont="1" applyFill="1" applyBorder="1">
      <alignment vertical="center"/>
    </xf>
    <xf numFmtId="177" fontId="38" fillId="9" borderId="0" xfId="1" applyNumberFormat="1" applyFont="1" applyFill="1" applyBorder="1">
      <alignment vertical="center"/>
    </xf>
    <xf numFmtId="43" fontId="38" fillId="9" borderId="0" xfId="2" applyNumberFormat="1" applyFont="1" applyFill="1" applyBorder="1">
      <alignment vertical="center"/>
    </xf>
    <xf numFmtId="43" fontId="38" fillId="9" borderId="0" xfId="0" applyNumberFormat="1" applyFont="1" applyFill="1" applyBorder="1" applyAlignment="1">
      <alignment vertical="center"/>
    </xf>
    <xf numFmtId="43" fontId="38" fillId="0" borderId="0" xfId="0" applyNumberFormat="1" applyFont="1" applyFill="1" applyAlignment="1">
      <alignment vertical="center"/>
    </xf>
    <xf numFmtId="43" fontId="16" fillId="6" borderId="1" xfId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43" fontId="15" fillId="0" borderId="1" xfId="0" applyNumberFormat="1" applyFont="1" applyBorder="1" applyAlignment="1">
      <alignment horizontal="center" vertical="center"/>
    </xf>
    <xf numFmtId="43" fontId="15" fillId="0" borderId="8" xfId="0" applyNumberFormat="1" applyFont="1" applyBorder="1" applyAlignment="1">
      <alignment horizontal="center" vertical="center"/>
    </xf>
    <xf numFmtId="0" fontId="16" fillId="0" borderId="7" xfId="0" applyFont="1" applyBorder="1" applyAlignment="1">
      <alignment vertical="center"/>
    </xf>
    <xf numFmtId="43" fontId="16" fillId="0" borderId="1" xfId="0" applyNumberFormat="1" applyFont="1" applyBorder="1" applyAlignment="1">
      <alignment vertical="center"/>
    </xf>
    <xf numFmtId="43" fontId="16" fillId="0" borderId="8" xfId="0" applyNumberFormat="1" applyFont="1" applyBorder="1" applyAlignment="1">
      <alignment vertical="center"/>
    </xf>
    <xf numFmtId="0" fontId="15" fillId="0" borderId="9" xfId="0" applyFont="1" applyBorder="1" applyAlignment="1">
      <alignment vertical="center"/>
    </xf>
    <xf numFmtId="43" fontId="15" fillId="0" borderId="10" xfId="0" applyNumberFormat="1" applyFont="1" applyBorder="1" applyAlignment="1">
      <alignment vertical="center"/>
    </xf>
    <xf numFmtId="43" fontId="15" fillId="0" borderId="11" xfId="0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7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43" fontId="15" fillId="0" borderId="1" xfId="0" applyNumberFormat="1" applyFont="1" applyBorder="1" applyAlignment="1">
      <alignment vertical="center"/>
    </xf>
    <xf numFmtId="43" fontId="15" fillId="0" borderId="8" xfId="0" applyNumberFormat="1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43" fontId="15" fillId="0" borderId="0" xfId="0" applyNumberFormat="1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37" fillId="0" borderId="5" xfId="0" applyFont="1" applyFill="1" applyBorder="1" applyAlignment="1">
      <alignment horizontal="center" vertical="center"/>
    </xf>
    <xf numFmtId="0" fontId="37" fillId="0" borderId="6" xfId="0" applyFont="1" applyFill="1" applyBorder="1" applyAlignment="1">
      <alignment horizontal="center" vertical="center"/>
    </xf>
    <xf numFmtId="0" fontId="44" fillId="0" borderId="0" xfId="0" applyFont="1"/>
    <xf numFmtId="0" fontId="44" fillId="5" borderId="1" xfId="0" applyFont="1" applyFill="1" applyBorder="1"/>
    <xf numFmtId="0" fontId="44" fillId="5" borderId="8" xfId="0" applyFont="1" applyFill="1" applyBorder="1"/>
    <xf numFmtId="0" fontId="44" fillId="5" borderId="10" xfId="0" applyFont="1" applyFill="1" applyBorder="1"/>
    <xf numFmtId="0" fontId="44" fillId="5" borderId="11" xfId="0" applyFont="1" applyFill="1" applyBorder="1"/>
    <xf numFmtId="0" fontId="14" fillId="0" borderId="4" xfId="0" applyFont="1" applyFill="1" applyBorder="1" applyAlignment="1">
      <alignment horizontal="center" vertical="center" wrapText="1"/>
    </xf>
    <xf numFmtId="0" fontId="35" fillId="0" borderId="7" xfId="0" applyFont="1" applyFill="1" applyBorder="1" applyAlignment="1">
      <alignment horizontal="left" vertical="center"/>
    </xf>
    <xf numFmtId="43" fontId="16" fillId="5" borderId="1" xfId="1" applyFont="1" applyFill="1" applyBorder="1" applyAlignment="1"/>
    <xf numFmtId="43" fontId="16" fillId="5" borderId="8" xfId="1" applyFont="1" applyFill="1" applyBorder="1" applyAlignment="1"/>
    <xf numFmtId="0" fontId="33" fillId="0" borderId="7" xfId="0" applyFont="1" applyFill="1" applyBorder="1" applyAlignment="1">
      <alignment vertical="center"/>
    </xf>
    <xf numFmtId="179" fontId="16" fillId="0" borderId="0" xfId="1" applyNumberFormat="1" applyFont="1" applyFill="1" applyAlignment="1">
      <alignment vertical="center"/>
    </xf>
    <xf numFmtId="0" fontId="44" fillId="0" borderId="7" xfId="0" applyFont="1" applyBorder="1"/>
    <xf numFmtId="0" fontId="44" fillId="0" borderId="9" xfId="0" applyFont="1" applyBorder="1"/>
    <xf numFmtId="43" fontId="6" fillId="0" borderId="1" xfId="0" applyNumberFormat="1" applyFont="1" applyBorder="1" applyAlignment="1">
      <alignment vertical="center"/>
    </xf>
    <xf numFmtId="43" fontId="6" fillId="0" borderId="8" xfId="0" applyNumberFormat="1" applyFont="1" applyBorder="1" applyAlignment="1">
      <alignment vertical="center"/>
    </xf>
    <xf numFmtId="43" fontId="47" fillId="0" borderId="1" xfId="0" applyNumberFormat="1" applyFont="1" applyBorder="1" applyAlignment="1">
      <alignment vertical="center"/>
    </xf>
    <xf numFmtId="43" fontId="47" fillId="0" borderId="1" xfId="0" applyNumberFormat="1" applyFont="1" applyFill="1" applyBorder="1" applyAlignment="1">
      <alignment vertical="center"/>
    </xf>
    <xf numFmtId="43" fontId="6" fillId="0" borderId="1" xfId="0" applyNumberFormat="1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vertical="center" wrapText="1"/>
    </xf>
    <xf numFmtId="0" fontId="47" fillId="0" borderId="7" xfId="0" applyFont="1" applyFill="1" applyBorder="1" applyAlignment="1">
      <alignment horizontal="left" vertical="center" wrapText="1"/>
    </xf>
    <xf numFmtId="0" fontId="47" fillId="0" borderId="7" xfId="0" applyFont="1" applyBorder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43" fontId="6" fillId="9" borderId="8" xfId="0" applyNumberFormat="1" applyFont="1" applyFill="1" applyBorder="1" applyAlignment="1">
      <alignment vertical="center"/>
    </xf>
    <xf numFmtId="0" fontId="43" fillId="2" borderId="7" xfId="0" applyFont="1" applyFill="1" applyBorder="1" applyAlignment="1">
      <alignment vertical="center"/>
    </xf>
    <xf numFmtId="43" fontId="38" fillId="2" borderId="1" xfId="1" applyFont="1" applyFill="1" applyBorder="1" applyAlignment="1">
      <alignment vertical="center"/>
    </xf>
    <xf numFmtId="0" fontId="0" fillId="0" borderId="0" xfId="0" applyBorder="1"/>
    <xf numFmtId="43" fontId="54" fillId="0" borderId="1" xfId="0" applyNumberFormat="1" applyFont="1" applyBorder="1" applyAlignment="1">
      <alignment horizontal="right" vertical="center" wrapText="1"/>
    </xf>
    <xf numFmtId="43" fontId="52" fillId="0" borderId="1" xfId="0" applyNumberFormat="1" applyFont="1" applyBorder="1" applyAlignment="1">
      <alignment horizontal="right" vertical="center" wrapText="1"/>
    </xf>
    <xf numFmtId="43" fontId="54" fillId="0" borderId="1" xfId="1" applyFont="1" applyBorder="1" applyAlignment="1">
      <alignment horizontal="right" vertical="center" wrapText="1"/>
    </xf>
    <xf numFmtId="0" fontId="37" fillId="0" borderId="4" xfId="0" applyFont="1" applyFill="1" applyBorder="1" applyAlignment="1">
      <alignment horizontal="center" vertical="center" wrapText="1"/>
    </xf>
    <xf numFmtId="43" fontId="38" fillId="2" borderId="8" xfId="1" applyFont="1" applyFill="1" applyBorder="1" applyAlignment="1">
      <alignment vertical="center"/>
    </xf>
    <xf numFmtId="0" fontId="43" fillId="2" borderId="9" xfId="0" applyFont="1" applyFill="1" applyBorder="1" applyAlignment="1">
      <alignment vertical="center"/>
    </xf>
    <xf numFmtId="43" fontId="38" fillId="2" borderId="10" xfId="1" applyFont="1" applyFill="1" applyBorder="1">
      <alignment vertical="center"/>
    </xf>
    <xf numFmtId="43" fontId="38" fillId="2" borderId="11" xfId="1" applyFont="1" applyFill="1" applyBorder="1">
      <alignment vertical="center"/>
    </xf>
    <xf numFmtId="0" fontId="43" fillId="9" borderId="7" xfId="0" applyFont="1" applyFill="1" applyBorder="1" applyAlignment="1">
      <alignment vertical="center"/>
    </xf>
    <xf numFmtId="0" fontId="43" fillId="9" borderId="9" xfId="0" applyFont="1" applyFill="1" applyBorder="1" applyAlignment="1">
      <alignment vertical="center"/>
    </xf>
    <xf numFmtId="43" fontId="38" fillId="7" borderId="1" xfId="1" applyNumberFormat="1" applyFont="1" applyFill="1" applyBorder="1">
      <alignment vertical="center"/>
    </xf>
    <xf numFmtId="43" fontId="6" fillId="0" borderId="1" xfId="1" applyFont="1" applyBorder="1" applyAlignment="1">
      <alignment vertical="center"/>
    </xf>
    <xf numFmtId="43" fontId="6" fillId="0" borderId="8" xfId="1" applyFont="1" applyBorder="1" applyAlignment="1">
      <alignment vertical="center"/>
    </xf>
    <xf numFmtId="43" fontId="6" fillId="0" borderId="1" xfId="2" applyNumberFormat="1" applyFont="1" applyBorder="1" applyAlignment="1">
      <alignment vertical="center"/>
    </xf>
    <xf numFmtId="43" fontId="6" fillId="9" borderId="8" xfId="1" applyFont="1" applyFill="1" applyBorder="1" applyAlignment="1">
      <alignment vertical="center"/>
    </xf>
    <xf numFmtId="43" fontId="16" fillId="0" borderId="3" xfId="1" applyFont="1" applyFill="1" applyBorder="1" applyAlignment="1">
      <alignment horizontal="center" vertical="center"/>
    </xf>
    <xf numFmtId="0" fontId="43" fillId="0" borderId="1" xfId="0" applyFont="1" applyFill="1" applyBorder="1" applyAlignment="1">
      <alignment vertical="center"/>
    </xf>
    <xf numFmtId="0" fontId="38" fillId="0" borderId="1" xfId="0" applyFont="1" applyFill="1" applyBorder="1" applyAlignment="1">
      <alignment vertical="center"/>
    </xf>
    <xf numFmtId="43" fontId="15" fillId="6" borderId="2" xfId="1" applyFont="1" applyFill="1" applyBorder="1" applyAlignment="1">
      <alignment horizontal="center" vertical="center" wrapText="1"/>
    </xf>
    <xf numFmtId="0" fontId="30" fillId="0" borderId="0" xfId="0" applyFont="1" applyFill="1" applyBorder="1" applyAlignment="1"/>
    <xf numFmtId="43" fontId="30" fillId="0" borderId="0" xfId="1" applyFont="1" applyFill="1" applyBorder="1" applyAlignment="1">
      <alignment horizontal="left"/>
    </xf>
    <xf numFmtId="0" fontId="32" fillId="0" borderId="0" xfId="0" applyFont="1" applyFill="1" applyBorder="1" applyAlignment="1">
      <alignment vertical="center" wrapText="1"/>
    </xf>
    <xf numFmtId="43" fontId="30" fillId="0" borderId="0" xfId="1" applyFont="1" applyFill="1" applyBorder="1" applyAlignment="1"/>
    <xf numFmtId="0" fontId="0" fillId="0" borderId="0" xfId="0" applyFill="1"/>
    <xf numFmtId="43" fontId="12" fillId="0" borderId="1" xfId="1" applyFont="1" applyFill="1" applyBorder="1" applyAlignment="1">
      <alignment vertical="center"/>
    </xf>
    <xf numFmtId="43" fontId="12" fillId="0" borderId="8" xfId="1" applyFont="1" applyFill="1" applyBorder="1" applyAlignment="1">
      <alignment vertical="center"/>
    </xf>
    <xf numFmtId="43" fontId="15" fillId="0" borderId="2" xfId="1" applyFont="1" applyFill="1" applyBorder="1" applyAlignment="1">
      <alignment vertical="center"/>
    </xf>
    <xf numFmtId="43" fontId="16" fillId="0" borderId="2" xfId="1" applyFont="1" applyFill="1" applyBorder="1" applyAlignment="1">
      <alignment horizontal="center" vertical="center"/>
    </xf>
    <xf numFmtId="43" fontId="16" fillId="9" borderId="2" xfId="1" applyFont="1" applyFill="1" applyBorder="1" applyAlignment="1">
      <alignment horizontal="center" vertical="center"/>
    </xf>
    <xf numFmtId="43" fontId="15" fillId="0" borderId="2" xfId="1" applyFont="1" applyFill="1" applyBorder="1" applyAlignment="1">
      <alignment horizontal="center" vertical="center"/>
    </xf>
    <xf numFmtId="43" fontId="56" fillId="0" borderId="7" xfId="1" applyFont="1" applyFill="1" applyBorder="1" applyAlignment="1">
      <alignment horizontal="center" vertical="center"/>
    </xf>
    <xf numFmtId="43" fontId="56" fillId="0" borderId="1" xfId="1" applyFont="1" applyFill="1" applyBorder="1" applyAlignment="1">
      <alignment horizontal="center" vertical="center"/>
    </xf>
    <xf numFmtId="43" fontId="56" fillId="0" borderId="8" xfId="1" applyFont="1" applyFill="1" applyBorder="1" applyAlignment="1">
      <alignment horizontal="center" vertical="center"/>
    </xf>
    <xf numFmtId="43" fontId="13" fillId="6" borderId="7" xfId="1" applyFont="1" applyFill="1" applyBorder="1" applyAlignment="1">
      <alignment horizontal="center" vertical="center"/>
    </xf>
    <xf numFmtId="43" fontId="13" fillId="6" borderId="1" xfId="1" applyFont="1" applyFill="1" applyBorder="1" applyAlignment="1">
      <alignment horizontal="center" vertical="center"/>
    </xf>
    <xf numFmtId="43" fontId="13" fillId="6" borderId="8" xfId="1" applyFont="1" applyFill="1" applyBorder="1" applyAlignment="1">
      <alignment horizontal="center" vertical="center"/>
    </xf>
    <xf numFmtId="43" fontId="13" fillId="6" borderId="9" xfId="1" applyFont="1" applyFill="1" applyBorder="1" applyAlignment="1">
      <alignment horizontal="center" vertical="center"/>
    </xf>
    <xf numFmtId="43" fontId="13" fillId="6" borderId="10" xfId="1" applyFont="1" applyFill="1" applyBorder="1" applyAlignment="1">
      <alignment horizontal="center" vertical="center"/>
    </xf>
    <xf numFmtId="43" fontId="13" fillId="6" borderId="11" xfId="1" applyFont="1" applyFill="1" applyBorder="1" applyAlignment="1">
      <alignment horizontal="center" vertical="center"/>
    </xf>
    <xf numFmtId="0" fontId="51" fillId="0" borderId="4" xfId="0" applyFont="1" applyBorder="1" applyAlignment="1">
      <alignment horizontal="center" vertical="center" wrapText="1"/>
    </xf>
    <xf numFmtId="0" fontId="51" fillId="0" borderId="5" xfId="0" applyFont="1" applyBorder="1" applyAlignment="1">
      <alignment horizontal="center" vertical="center" wrapText="1"/>
    </xf>
    <xf numFmtId="0" fontId="53" fillId="0" borderId="7" xfId="0" applyFont="1" applyBorder="1" applyAlignment="1">
      <alignment vertical="center" wrapText="1"/>
    </xf>
    <xf numFmtId="0" fontId="51" fillId="0" borderId="7" xfId="0" applyFont="1" applyBorder="1" applyAlignment="1">
      <alignment vertical="center" wrapText="1"/>
    </xf>
    <xf numFmtId="0" fontId="53" fillId="0" borderId="9" xfId="0" applyFont="1" applyBorder="1" applyAlignment="1">
      <alignment vertical="center" wrapText="1"/>
    </xf>
    <xf numFmtId="43" fontId="54" fillId="0" borderId="10" xfId="1" applyFont="1" applyBorder="1" applyAlignment="1">
      <alignment horizontal="right" vertical="center" wrapText="1"/>
    </xf>
    <xf numFmtId="43" fontId="54" fillId="2" borderId="1" xfId="0" applyNumberFormat="1" applyFont="1" applyFill="1" applyBorder="1" applyAlignment="1">
      <alignment horizontal="right" vertical="center" wrapText="1"/>
    </xf>
    <xf numFmtId="0" fontId="51" fillId="2" borderId="5" xfId="0" applyFont="1" applyFill="1" applyBorder="1" applyAlignment="1">
      <alignment horizontal="center" vertical="center" wrapText="1"/>
    </xf>
    <xf numFmtId="0" fontId="51" fillId="2" borderId="6" xfId="0" applyFont="1" applyFill="1" applyBorder="1" applyAlignment="1">
      <alignment horizontal="center" vertical="center" wrapText="1"/>
    </xf>
    <xf numFmtId="43" fontId="54" fillId="2" borderId="8" xfId="0" applyNumberFormat="1" applyFont="1" applyFill="1" applyBorder="1" applyAlignment="1">
      <alignment horizontal="right" vertical="center" wrapText="1"/>
    </xf>
    <xf numFmtId="43" fontId="54" fillId="2" borderId="10" xfId="0" applyNumberFormat="1" applyFont="1" applyFill="1" applyBorder="1" applyAlignment="1">
      <alignment horizontal="right" vertical="center" wrapText="1"/>
    </xf>
    <xf numFmtId="43" fontId="54" fillId="0" borderId="10" xfId="0" applyNumberFormat="1" applyFont="1" applyBorder="1" applyAlignment="1">
      <alignment horizontal="right" vertical="center" wrapText="1"/>
    </xf>
    <xf numFmtId="43" fontId="54" fillId="2" borderId="11" xfId="0" applyNumberFormat="1" applyFont="1" applyFill="1" applyBorder="1" applyAlignment="1">
      <alignment horizontal="right" vertical="center" wrapText="1"/>
    </xf>
    <xf numFmtId="43" fontId="15" fillId="6" borderId="3" xfId="1" applyFont="1" applyFill="1" applyBorder="1" applyAlignment="1">
      <alignment horizontal="center" vertical="center"/>
    </xf>
    <xf numFmtId="43" fontId="16" fillId="6" borderId="10" xfId="1" applyFont="1" applyFill="1" applyBorder="1" applyAlignment="1">
      <alignment horizontal="center" vertical="center"/>
    </xf>
    <xf numFmtId="43" fontId="16" fillId="0" borderId="25" xfId="1" applyFont="1" applyFill="1" applyBorder="1" applyAlignment="1">
      <alignment horizontal="center" vertical="center"/>
    </xf>
    <xf numFmtId="43" fontId="5" fillId="0" borderId="8" xfId="1" applyFont="1" applyFill="1" applyBorder="1" applyAlignment="1">
      <alignment horizontal="center" vertical="center" wrapText="1"/>
    </xf>
    <xf numFmtId="43" fontId="5" fillId="5" borderId="8" xfId="1" applyFont="1" applyFill="1" applyBorder="1" applyAlignment="1">
      <alignment horizontal="center" vertical="center" wrapText="1"/>
    </xf>
    <xf numFmtId="43" fontId="19" fillId="6" borderId="8" xfId="1" applyFont="1" applyFill="1" applyBorder="1" applyAlignment="1">
      <alignment horizontal="center" vertical="center" wrapText="1"/>
    </xf>
    <xf numFmtId="43" fontId="5" fillId="9" borderId="8" xfId="1" applyFont="1" applyFill="1" applyBorder="1" applyAlignment="1">
      <alignment horizontal="center" vertical="center" wrapText="1"/>
    </xf>
    <xf numFmtId="43" fontId="16" fillId="5" borderId="8" xfId="1" applyFont="1" applyFill="1" applyBorder="1" applyAlignment="1">
      <alignment horizontal="center" vertical="center"/>
    </xf>
    <xf numFmtId="43" fontId="46" fillId="0" borderId="9" xfId="1" applyFont="1" applyFill="1" applyBorder="1" applyAlignment="1">
      <alignment horizontal="center" vertical="center"/>
    </xf>
    <xf numFmtId="43" fontId="12" fillId="0" borderId="8" xfId="1" applyFont="1" applyFill="1" applyBorder="1" applyAlignment="1">
      <alignment horizontal="center" vertical="center"/>
    </xf>
    <xf numFmtId="43" fontId="16" fillId="0" borderId="7" xfId="1" applyFont="1" applyFill="1" applyBorder="1" applyAlignment="1">
      <alignment horizontal="center" vertical="center"/>
    </xf>
    <xf numFmtId="43" fontId="12" fillId="0" borderId="1" xfId="1" applyFont="1" applyFill="1" applyBorder="1" applyAlignment="1">
      <alignment horizontal="center" vertical="center"/>
    </xf>
    <xf numFmtId="43" fontId="16" fillId="0" borderId="1" xfId="1" applyFont="1" applyFill="1" applyBorder="1" applyAlignment="1">
      <alignment horizontal="center" vertical="center"/>
    </xf>
    <xf numFmtId="43" fontId="16" fillId="0" borderId="23" xfId="1" applyFont="1" applyFill="1" applyBorder="1" applyAlignment="1">
      <alignment horizontal="center" vertical="center"/>
    </xf>
    <xf numFmtId="43" fontId="59" fillId="11" borderId="37" xfId="0" applyNumberFormat="1" applyFont="1" applyFill="1" applyBorder="1" applyAlignment="1">
      <alignment horizontal="center" vertical="center"/>
    </xf>
    <xf numFmtId="43" fontId="59" fillId="11" borderId="41" xfId="0" applyNumberFormat="1" applyFont="1" applyFill="1" applyBorder="1" applyAlignment="1">
      <alignment horizontal="center" vertical="center"/>
    </xf>
    <xf numFmtId="0" fontId="58" fillId="11" borderId="15" xfId="0" applyFont="1" applyFill="1" applyBorder="1" applyAlignment="1">
      <alignment horizontal="center" vertical="center" wrapText="1"/>
    </xf>
    <xf numFmtId="43" fontId="60" fillId="11" borderId="15" xfId="0" applyNumberFormat="1" applyFont="1" applyFill="1" applyBorder="1" applyAlignment="1">
      <alignment horizontal="right" vertical="center"/>
    </xf>
    <xf numFmtId="43" fontId="60" fillId="11" borderId="14" xfId="0" applyNumberFormat="1" applyFont="1" applyFill="1" applyBorder="1" applyAlignment="1">
      <alignment horizontal="right" vertical="center"/>
    </xf>
    <xf numFmtId="179" fontId="16" fillId="11" borderId="12" xfId="1" applyNumberFormat="1" applyFont="1" applyFill="1" applyBorder="1" applyAlignment="1">
      <alignment vertical="center"/>
    </xf>
    <xf numFmtId="179" fontId="16" fillId="11" borderId="0" xfId="1" applyNumberFormat="1" applyFont="1" applyFill="1" applyBorder="1" applyAlignment="1">
      <alignment vertical="center"/>
    </xf>
    <xf numFmtId="43" fontId="16" fillId="11" borderId="0" xfId="1" applyFont="1" applyFill="1" applyBorder="1" applyAlignment="1">
      <alignment vertical="center"/>
    </xf>
    <xf numFmtId="0" fontId="16" fillId="11" borderId="0" xfId="0" applyFont="1" applyFill="1" applyBorder="1" applyAlignment="1">
      <alignment vertical="center"/>
    </xf>
    <xf numFmtId="0" fontId="16" fillId="11" borderId="21" xfId="0" applyFont="1" applyFill="1" applyBorder="1" applyAlignment="1">
      <alignment vertical="center"/>
    </xf>
    <xf numFmtId="43" fontId="16" fillId="11" borderId="12" xfId="1" applyFont="1" applyFill="1" applyBorder="1" applyAlignment="1">
      <alignment vertical="center"/>
    </xf>
    <xf numFmtId="0" fontId="57" fillId="11" borderId="15" xfId="0" applyFont="1" applyFill="1" applyBorder="1" applyAlignment="1">
      <alignment horizontal="center" vertical="center" wrapText="1"/>
    </xf>
    <xf numFmtId="179" fontId="16" fillId="11" borderId="0" xfId="0" applyNumberFormat="1" applyFont="1" applyFill="1" applyBorder="1" applyAlignment="1">
      <alignment vertical="center"/>
    </xf>
    <xf numFmtId="43" fontId="61" fillId="11" borderId="15" xfId="0" applyNumberFormat="1" applyFont="1" applyFill="1" applyBorder="1" applyAlignment="1">
      <alignment horizontal="right" vertical="center"/>
    </xf>
    <xf numFmtId="43" fontId="61" fillId="11" borderId="14" xfId="0" applyNumberFormat="1" applyFont="1" applyFill="1" applyBorder="1" applyAlignment="1">
      <alignment horizontal="right" vertical="center"/>
    </xf>
    <xf numFmtId="43" fontId="16" fillId="11" borderId="22" xfId="1" applyFont="1" applyFill="1" applyBorder="1" applyAlignment="1">
      <alignment vertical="center"/>
    </xf>
    <xf numFmtId="43" fontId="16" fillId="11" borderId="14" xfId="1" applyFont="1" applyFill="1" applyBorder="1" applyAlignment="1">
      <alignment vertical="center"/>
    </xf>
    <xf numFmtId="0" fontId="16" fillId="11" borderId="14" xfId="0" applyFont="1" applyFill="1" applyBorder="1" applyAlignment="1">
      <alignment vertical="center"/>
    </xf>
    <xf numFmtId="0" fontId="16" fillId="11" borderId="15" xfId="0" applyFont="1" applyFill="1" applyBorder="1" applyAlignment="1">
      <alignment vertical="center"/>
    </xf>
    <xf numFmtId="43" fontId="16" fillId="11" borderId="0" xfId="1" applyFont="1" applyFill="1" applyAlignment="1">
      <alignment vertical="center"/>
    </xf>
    <xf numFmtId="0" fontId="0" fillId="11" borderId="0" xfId="0" applyFill="1"/>
    <xf numFmtId="0" fontId="44" fillId="11" borderId="12" xfId="0" applyFont="1" applyFill="1" applyBorder="1"/>
    <xf numFmtId="0" fontId="16" fillId="11" borderId="0" xfId="0" applyFont="1" applyFill="1" applyAlignment="1">
      <alignment vertical="center"/>
    </xf>
    <xf numFmtId="0" fontId="44" fillId="11" borderId="22" xfId="0" applyFont="1" applyFill="1" applyBorder="1"/>
    <xf numFmtId="0" fontId="44" fillId="11" borderId="16" xfId="0" applyFont="1" applyFill="1" applyBorder="1"/>
    <xf numFmtId="179" fontId="16" fillId="11" borderId="29" xfId="1" applyNumberFormat="1" applyFont="1" applyFill="1" applyBorder="1" applyAlignment="1">
      <alignment vertical="center"/>
    </xf>
    <xf numFmtId="43" fontId="46" fillId="11" borderId="30" xfId="1" applyFont="1" applyFill="1" applyBorder="1" applyAlignment="1">
      <alignment vertical="center"/>
    </xf>
    <xf numFmtId="43" fontId="46" fillId="11" borderId="21" xfId="1" applyFont="1" applyFill="1" applyBorder="1" applyAlignment="1">
      <alignment vertical="center"/>
    </xf>
    <xf numFmtId="43" fontId="16" fillId="11" borderId="21" xfId="1" applyFont="1" applyFill="1" applyBorder="1" applyAlignment="1">
      <alignment vertical="center"/>
    </xf>
    <xf numFmtId="179" fontId="16" fillId="11" borderId="14" xfId="1" applyNumberFormat="1" applyFont="1" applyFill="1" applyBorder="1" applyAlignment="1">
      <alignment vertical="center"/>
    </xf>
    <xf numFmtId="43" fontId="16" fillId="11" borderId="15" xfId="1" applyFont="1" applyFill="1" applyBorder="1" applyAlignment="1">
      <alignment vertical="center"/>
    </xf>
    <xf numFmtId="4" fontId="18" fillId="6" borderId="42" xfId="0" applyNumberFormat="1" applyFont="1" applyFill="1" applyBorder="1" applyAlignment="1">
      <alignment vertical="center" wrapText="1"/>
    </xf>
    <xf numFmtId="4" fontId="21" fillId="0" borderId="42" xfId="0" applyNumberFormat="1" applyFont="1" applyFill="1" applyBorder="1" applyAlignment="1">
      <alignment vertical="center" wrapText="1"/>
    </xf>
    <xf numFmtId="4" fontId="20" fillId="0" borderId="42" xfId="0" applyNumberFormat="1" applyFont="1" applyFill="1" applyBorder="1" applyAlignment="1">
      <alignment vertical="center" wrapText="1"/>
    </xf>
    <xf numFmtId="4" fontId="28" fillId="0" borderId="42" xfId="0" applyNumberFormat="1" applyFont="1" applyFill="1" applyBorder="1" applyAlignment="1">
      <alignment vertical="center" wrapText="1"/>
    </xf>
    <xf numFmtId="4" fontId="29" fillId="6" borderId="42" xfId="0" applyNumberFormat="1" applyFont="1" applyFill="1" applyBorder="1" applyAlignment="1">
      <alignment vertical="center" wrapText="1"/>
    </xf>
    <xf numFmtId="4" fontId="20" fillId="0" borderId="42" xfId="0" applyNumberFormat="1" applyFont="1" applyFill="1" applyBorder="1" applyAlignment="1">
      <alignment horizontal="left" vertical="center" wrapText="1"/>
    </xf>
    <xf numFmtId="4" fontId="21" fillId="0" borderId="42" xfId="0" applyNumberFormat="1" applyFont="1" applyFill="1" applyBorder="1" applyAlignment="1">
      <alignment horizontal="left" vertical="center" wrapText="1"/>
    </xf>
    <xf numFmtId="4" fontId="21" fillId="0" borderId="43" xfId="0" applyNumberFormat="1" applyFont="1" applyFill="1" applyBorder="1" applyAlignment="1">
      <alignment horizontal="left" vertical="center" wrapText="1"/>
    </xf>
    <xf numFmtId="43" fontId="16" fillId="5" borderId="7" xfId="1" applyFont="1" applyFill="1" applyBorder="1" applyAlignment="1">
      <alignment horizontal="center" vertical="center"/>
    </xf>
    <xf numFmtId="43" fontId="16" fillId="5" borderId="9" xfId="1" applyFont="1" applyFill="1" applyBorder="1" applyAlignment="1">
      <alignment horizontal="center" vertical="center"/>
    </xf>
    <xf numFmtId="43" fontId="13" fillId="0" borderId="1" xfId="1" applyFont="1" applyFill="1" applyBorder="1" applyAlignment="1">
      <alignment horizontal="center" vertical="center"/>
    </xf>
    <xf numFmtId="43" fontId="13" fillId="0" borderId="7" xfId="1" applyFont="1" applyFill="1" applyBorder="1" applyAlignment="1">
      <alignment horizontal="center" vertical="center"/>
    </xf>
    <xf numFmtId="43" fontId="13" fillId="0" borderId="9" xfId="1" applyFont="1" applyFill="1" applyBorder="1" applyAlignment="1">
      <alignment horizontal="center" vertical="center"/>
    </xf>
    <xf numFmtId="43" fontId="56" fillId="0" borderId="10" xfId="1" applyFont="1" applyFill="1" applyBorder="1" applyAlignment="1">
      <alignment horizontal="center" vertical="center"/>
    </xf>
    <xf numFmtId="43" fontId="13" fillId="0" borderId="10" xfId="1" applyFont="1" applyFill="1" applyBorder="1" applyAlignment="1">
      <alignment horizontal="center" vertical="center"/>
    </xf>
    <xf numFmtId="43" fontId="56" fillId="0" borderId="11" xfId="1" applyFont="1" applyFill="1" applyBorder="1" applyAlignment="1">
      <alignment horizontal="center" vertical="center"/>
    </xf>
    <xf numFmtId="43" fontId="17" fillId="6" borderId="7" xfId="1" applyFont="1" applyFill="1" applyBorder="1" applyAlignment="1">
      <alignment horizontal="center" vertical="center"/>
    </xf>
    <xf numFmtId="43" fontId="20" fillId="6" borderId="1" xfId="1" applyFont="1" applyFill="1" applyBorder="1" applyAlignment="1">
      <alignment horizontal="center" vertical="center"/>
    </xf>
    <xf numFmtId="43" fontId="17" fillId="0" borderId="7" xfId="1" applyFont="1" applyFill="1" applyBorder="1" applyAlignment="1">
      <alignment horizontal="center" vertical="center"/>
    </xf>
    <xf numFmtId="43" fontId="20" fillId="0" borderId="1" xfId="1" applyFont="1" applyFill="1" applyBorder="1" applyAlignment="1">
      <alignment horizontal="center" vertical="center"/>
    </xf>
    <xf numFmtId="43" fontId="17" fillId="0" borderId="1" xfId="1" applyFont="1" applyFill="1" applyBorder="1" applyAlignment="1">
      <alignment horizontal="center" vertical="center"/>
    </xf>
    <xf numFmtId="43" fontId="20" fillId="0" borderId="8" xfId="1" applyFont="1" applyFill="1" applyBorder="1" applyAlignment="1">
      <alignment horizontal="center" vertical="center"/>
    </xf>
    <xf numFmtId="43" fontId="20" fillId="0" borderId="10" xfId="1" applyFont="1" applyFill="1" applyBorder="1" applyAlignment="1">
      <alignment horizontal="center" vertical="center"/>
    </xf>
    <xf numFmtId="43" fontId="17" fillId="6" borderId="1" xfId="1" applyFont="1" applyFill="1" applyBorder="1" applyAlignment="1">
      <alignment horizontal="center" vertical="center"/>
    </xf>
    <xf numFmtId="43" fontId="17" fillId="6" borderId="8" xfId="1" applyFont="1" applyFill="1" applyBorder="1" applyAlignment="1">
      <alignment horizontal="center" vertical="center"/>
    </xf>
    <xf numFmtId="43" fontId="20" fillId="0" borderId="0" xfId="1" applyFont="1" applyFill="1" applyBorder="1" applyAlignment="1">
      <alignment horizontal="center" vertical="center"/>
    </xf>
    <xf numFmtId="43" fontId="13" fillId="0" borderId="0" xfId="1" applyFont="1" applyFill="1" applyBorder="1" applyAlignment="1">
      <alignment horizontal="center" vertical="center"/>
    </xf>
    <xf numFmtId="43" fontId="56" fillId="0" borderId="0" xfId="1" applyFont="1" applyFill="1" applyBorder="1" applyAlignment="1">
      <alignment horizontal="center" vertical="center"/>
    </xf>
    <xf numFmtId="0" fontId="46" fillId="0" borderId="0" xfId="0" applyFont="1" applyFill="1" applyAlignment="1">
      <alignment vertical="center"/>
    </xf>
    <xf numFmtId="0" fontId="62" fillId="0" borderId="0" xfId="0" applyFont="1" applyFill="1" applyBorder="1" applyAlignment="1">
      <alignment horizontal="center"/>
    </xf>
    <xf numFmtId="43" fontId="62" fillId="0" borderId="0" xfId="1" applyFont="1" applyFill="1" applyBorder="1" applyAlignment="1">
      <alignment horizontal="center"/>
    </xf>
    <xf numFmtId="49" fontId="30" fillId="0" borderId="0" xfId="1" applyNumberFormat="1" applyFont="1" applyFill="1" applyBorder="1" applyAlignment="1">
      <alignment horizontal="left"/>
    </xf>
    <xf numFmtId="43" fontId="47" fillId="0" borderId="8" xfId="0" applyNumberFormat="1" applyFont="1" applyBorder="1" applyAlignment="1">
      <alignment vertical="center"/>
    </xf>
    <xf numFmtId="43" fontId="6" fillId="0" borderId="8" xfId="2" applyNumberFormat="1" applyFont="1" applyBorder="1" applyAlignment="1">
      <alignment vertical="center"/>
    </xf>
    <xf numFmtId="43" fontId="47" fillId="9" borderId="8" xfId="1" applyFont="1" applyFill="1" applyBorder="1" applyAlignment="1">
      <alignment vertical="center"/>
    </xf>
    <xf numFmtId="43" fontId="47" fillId="0" borderId="8" xfId="0" applyNumberFormat="1" applyFont="1" applyFill="1" applyBorder="1" applyAlignment="1">
      <alignment vertical="center"/>
    </xf>
    <xf numFmtId="43" fontId="6" fillId="0" borderId="7" xfId="0" applyNumberFormat="1" applyFont="1" applyBorder="1" applyAlignment="1">
      <alignment vertical="center"/>
    </xf>
    <xf numFmtId="43" fontId="6" fillId="0" borderId="7" xfId="0" applyNumberFormat="1" applyFont="1" applyFill="1" applyBorder="1" applyAlignment="1">
      <alignment vertical="center"/>
    </xf>
    <xf numFmtId="43" fontId="6" fillId="0" borderId="8" xfId="0" applyNumberFormat="1" applyFont="1" applyFill="1" applyBorder="1" applyAlignment="1">
      <alignment vertical="center"/>
    </xf>
    <xf numFmtId="43" fontId="6" fillId="0" borderId="9" xfId="0" applyNumberFormat="1" applyFont="1" applyFill="1" applyBorder="1" applyAlignment="1">
      <alignment vertical="center"/>
    </xf>
    <xf numFmtId="43" fontId="6" fillId="0" borderId="10" xfId="0" applyNumberFormat="1" applyFont="1" applyFill="1" applyBorder="1" applyAlignment="1">
      <alignment vertical="center"/>
    </xf>
    <xf numFmtId="43" fontId="6" fillId="0" borderId="11" xfId="0" applyNumberFormat="1" applyFont="1" applyFill="1" applyBorder="1" applyAlignment="1">
      <alignment vertical="center"/>
    </xf>
    <xf numFmtId="0" fontId="10" fillId="0" borderId="7" xfId="0" applyFont="1" applyBorder="1" applyAlignment="1">
      <alignment horizontal="left" vertical="center" wrapText="1"/>
    </xf>
    <xf numFmtId="0" fontId="63" fillId="0" borderId="7" xfId="0" applyFont="1" applyBorder="1"/>
    <xf numFmtId="0" fontId="64" fillId="0" borderId="9" xfId="0" applyFont="1" applyBorder="1"/>
    <xf numFmtId="43" fontId="47" fillId="0" borderId="1" xfId="1" applyFont="1" applyFill="1" applyBorder="1" applyAlignment="1">
      <alignment vertical="center"/>
    </xf>
    <xf numFmtId="43" fontId="47" fillId="0" borderId="8" xfId="1" applyFont="1" applyFill="1" applyBorder="1" applyAlignment="1">
      <alignment vertical="center"/>
    </xf>
    <xf numFmtId="0" fontId="48" fillId="0" borderId="7" xfId="0" applyFont="1" applyFill="1" applyBorder="1" applyAlignment="1">
      <alignment horizontal="left" vertical="center" wrapText="1"/>
    </xf>
    <xf numFmtId="0" fontId="48" fillId="0" borderId="9" xfId="0" applyFont="1" applyFill="1" applyBorder="1" applyAlignment="1">
      <alignment horizontal="left" vertical="center" wrapText="1"/>
    </xf>
    <xf numFmtId="43" fontId="47" fillId="0" borderId="10" xfId="0" applyNumberFormat="1" applyFont="1" applyFill="1" applyBorder="1" applyAlignment="1">
      <alignment vertical="center"/>
    </xf>
    <xf numFmtId="43" fontId="47" fillId="0" borderId="11" xfId="0" applyNumberFormat="1" applyFont="1" applyFill="1" applyBorder="1" applyAlignment="1">
      <alignment vertical="center"/>
    </xf>
    <xf numFmtId="43" fontId="16" fillId="0" borderId="1" xfId="1" applyFont="1" applyFill="1" applyBorder="1" applyAlignment="1">
      <alignment vertical="center"/>
    </xf>
    <xf numFmtId="43" fontId="16" fillId="0" borderId="1" xfId="1" applyFont="1" applyFill="1" applyBorder="1" applyAlignment="1">
      <alignment horizontal="right" vertical="center"/>
    </xf>
    <xf numFmtId="0" fontId="16" fillId="0" borderId="4" xfId="0" applyFont="1" applyFill="1" applyBorder="1" applyAlignment="1">
      <alignment vertical="center"/>
    </xf>
    <xf numFmtId="43" fontId="16" fillId="0" borderId="5" xfId="1" applyFont="1" applyFill="1" applyBorder="1" applyAlignment="1">
      <alignment horizontal="right" vertical="center"/>
    </xf>
    <xf numFmtId="0" fontId="16" fillId="0" borderId="7" xfId="0" applyFont="1" applyFill="1" applyBorder="1" applyAlignment="1">
      <alignment vertical="center"/>
    </xf>
    <xf numFmtId="43" fontId="16" fillId="0" borderId="8" xfId="1" applyFont="1" applyFill="1" applyBorder="1" applyAlignment="1">
      <alignment horizontal="right" vertical="center"/>
    </xf>
    <xf numFmtId="0" fontId="16" fillId="0" borderId="9" xfId="0" applyFont="1" applyFill="1" applyBorder="1" applyAlignment="1">
      <alignment vertical="center"/>
    </xf>
    <xf numFmtId="43" fontId="16" fillId="0" borderId="10" xfId="1" applyFont="1" applyFill="1" applyBorder="1" applyAlignment="1">
      <alignment horizontal="right" vertical="center"/>
    </xf>
    <xf numFmtId="0" fontId="43" fillId="0" borderId="0" xfId="0" applyFont="1" applyFill="1" applyBorder="1" applyAlignment="1">
      <alignment vertical="center"/>
    </xf>
    <xf numFmtId="0" fontId="16" fillId="9" borderId="7" xfId="0" applyFont="1" applyFill="1" applyBorder="1" applyAlignment="1">
      <alignment vertical="center"/>
    </xf>
    <xf numFmtId="43" fontId="16" fillId="0" borderId="8" xfId="1" applyFont="1" applyFill="1" applyBorder="1" applyAlignment="1">
      <alignment vertical="center"/>
    </xf>
    <xf numFmtId="0" fontId="56" fillId="0" borderId="0" xfId="0" applyFont="1" applyFill="1" applyAlignment="1">
      <alignment vertical="center"/>
    </xf>
    <xf numFmtId="0" fontId="16" fillId="9" borderId="32" xfId="0" applyFont="1" applyFill="1" applyBorder="1" applyAlignment="1">
      <alignment vertical="center"/>
    </xf>
    <xf numFmtId="43" fontId="16" fillId="0" borderId="44" xfId="1" applyFont="1" applyFill="1" applyBorder="1" applyAlignment="1">
      <alignment horizontal="right" vertical="center"/>
    </xf>
    <xf numFmtId="43" fontId="16" fillId="0" borderId="28" xfId="1" applyFont="1" applyFill="1" applyBorder="1" applyAlignment="1">
      <alignment horizontal="right" vertical="center"/>
    </xf>
    <xf numFmtId="43" fontId="16" fillId="0" borderId="5" xfId="1" applyFont="1" applyFill="1" applyBorder="1" applyAlignment="1">
      <alignment vertical="center"/>
    </xf>
    <xf numFmtId="43" fontId="16" fillId="0" borderId="6" xfId="1" applyFont="1" applyFill="1" applyBorder="1" applyAlignment="1">
      <alignment vertical="center"/>
    </xf>
    <xf numFmtId="43" fontId="16" fillId="0" borderId="10" xfId="1" applyFont="1" applyFill="1" applyBorder="1" applyAlignment="1">
      <alignment vertical="center"/>
    </xf>
    <xf numFmtId="43" fontId="16" fillId="0" borderId="11" xfId="1" applyFont="1" applyFill="1" applyBorder="1" applyAlignment="1">
      <alignment vertical="center"/>
    </xf>
    <xf numFmtId="43" fontId="12" fillId="0" borderId="1" xfId="1" applyFont="1" applyFill="1" applyBorder="1" applyAlignment="1">
      <alignment horizontal="center" vertical="center"/>
    </xf>
    <xf numFmtId="43" fontId="16" fillId="0" borderId="7" xfId="1" applyFont="1" applyFill="1" applyBorder="1" applyAlignment="1">
      <alignment horizontal="center" vertical="center"/>
    </xf>
    <xf numFmtId="43" fontId="16" fillId="0" borderId="1" xfId="1" applyFont="1" applyFill="1" applyBorder="1" applyAlignment="1">
      <alignment horizontal="center" vertical="center"/>
    </xf>
    <xf numFmtId="43" fontId="17" fillId="6" borderId="1" xfId="1" applyFont="1" applyFill="1" applyBorder="1" applyAlignment="1">
      <alignment horizontal="center" vertical="center"/>
    </xf>
    <xf numFmtId="43" fontId="17" fillId="6" borderId="8" xfId="1" applyFont="1" applyFill="1" applyBorder="1" applyAlignment="1">
      <alignment horizontal="center" vertical="center"/>
    </xf>
    <xf numFmtId="43" fontId="0" fillId="0" borderId="0" xfId="0" applyNumberFormat="1" applyFill="1"/>
    <xf numFmtId="43" fontId="16" fillId="5" borderId="11" xfId="1" applyFont="1" applyFill="1" applyBorder="1" applyAlignment="1"/>
    <xf numFmtId="0" fontId="34" fillId="0" borderId="6" xfId="0" applyFont="1" applyBorder="1" applyAlignment="1">
      <alignment horizontal="right"/>
    </xf>
    <xf numFmtId="0" fontId="9" fillId="5" borderId="0" xfId="0" applyFont="1" applyFill="1" applyAlignment="1">
      <alignment vertical="center"/>
    </xf>
    <xf numFmtId="43" fontId="6" fillId="5" borderId="0" xfId="0" applyNumberFormat="1" applyFont="1" applyFill="1" applyAlignment="1">
      <alignment vertical="center"/>
    </xf>
    <xf numFmtId="43" fontId="6" fillId="5" borderId="0" xfId="1" applyFont="1" applyFill="1" applyAlignment="1">
      <alignment vertical="center"/>
    </xf>
    <xf numFmtId="0" fontId="9" fillId="5" borderId="0" xfId="0" applyFont="1" applyFill="1" applyAlignment="1">
      <alignment horizontal="left" vertical="center"/>
    </xf>
    <xf numFmtId="4" fontId="56" fillId="0" borderId="42" xfId="0" applyNumberFormat="1" applyFont="1" applyFill="1" applyBorder="1" applyAlignment="1">
      <alignment vertical="center" wrapText="1"/>
    </xf>
    <xf numFmtId="43" fontId="56" fillId="5" borderId="7" xfId="1" applyFont="1" applyFill="1" applyBorder="1" applyAlignment="1">
      <alignment horizontal="center" vertical="center"/>
    </xf>
    <xf numFmtId="43" fontId="56" fillId="5" borderId="3" xfId="1" applyFont="1" applyFill="1" applyBorder="1" applyAlignment="1">
      <alignment horizontal="center" vertical="center"/>
    </xf>
    <xf numFmtId="43" fontId="56" fillId="5" borderId="1" xfId="1" applyFont="1" applyFill="1" applyBorder="1" applyAlignment="1">
      <alignment horizontal="center" vertical="center"/>
    </xf>
    <xf numFmtId="43" fontId="56" fillId="5" borderId="2" xfId="1" applyFont="1" applyFill="1" applyBorder="1" applyAlignment="1">
      <alignment horizontal="center" vertical="center"/>
    </xf>
    <xf numFmtId="4" fontId="65" fillId="0" borderId="0" xfId="0" applyNumberFormat="1" applyFont="1" applyFill="1" applyBorder="1" applyAlignment="1">
      <alignment horizontal="left" vertical="center" wrapText="1"/>
    </xf>
    <xf numFmtId="49" fontId="17" fillId="5" borderId="0" xfId="1" applyNumberFormat="1" applyFont="1" applyFill="1" applyBorder="1" applyAlignment="1">
      <alignment horizontal="center" vertical="center"/>
    </xf>
    <xf numFmtId="31" fontId="16" fillId="0" borderId="0" xfId="0" applyNumberFormat="1" applyFont="1" applyBorder="1" applyAlignment="1">
      <alignment horizontal="left" vertical="center"/>
    </xf>
    <xf numFmtId="43" fontId="17" fillId="5" borderId="0" xfId="1" applyFont="1" applyFill="1" applyBorder="1" applyAlignment="1">
      <alignment horizontal="center" vertical="center"/>
    </xf>
    <xf numFmtId="0" fontId="44" fillId="5" borderId="0" xfId="0" applyFont="1" applyFill="1" applyBorder="1"/>
    <xf numFmtId="0" fontId="66" fillId="9" borderId="0" xfId="0" applyFont="1" applyFill="1" applyBorder="1" applyAlignment="1">
      <alignment vertical="center"/>
    </xf>
    <xf numFmtId="0" fontId="16" fillId="0" borderId="0" xfId="0" applyFont="1" applyBorder="1" applyAlignment="1">
      <alignment horizontal="left" vertical="center"/>
    </xf>
    <xf numFmtId="0" fontId="37" fillId="0" borderId="16" xfId="0" applyFont="1" applyBorder="1" applyAlignment="1">
      <alignment horizontal="center" vertical="center"/>
    </xf>
    <xf numFmtId="0" fontId="14" fillId="0" borderId="29" xfId="0" applyFont="1" applyFill="1" applyBorder="1" applyAlignment="1">
      <alignment horizontal="center" vertical="center" wrapText="1"/>
    </xf>
    <xf numFmtId="0" fontId="37" fillId="0" borderId="29" xfId="0" applyFont="1" applyBorder="1" applyAlignment="1">
      <alignment horizontal="center" vertical="center"/>
    </xf>
    <xf numFmtId="0" fontId="37" fillId="0" borderId="29" xfId="0" applyFont="1" applyFill="1" applyBorder="1" applyAlignment="1">
      <alignment horizontal="center" vertical="center"/>
    </xf>
    <xf numFmtId="0" fontId="37" fillId="0" borderId="30" xfId="0" applyFont="1" applyFill="1" applyBorder="1" applyAlignment="1">
      <alignment horizontal="center" vertical="center"/>
    </xf>
    <xf numFmtId="0" fontId="44" fillId="0" borderId="12" xfId="0" applyFont="1" applyBorder="1" applyAlignment="1">
      <alignment horizontal="center" vertical="center"/>
    </xf>
    <xf numFmtId="0" fontId="44" fillId="5" borderId="21" xfId="0" applyFont="1" applyFill="1" applyBorder="1"/>
    <xf numFmtId="0" fontId="44" fillId="0" borderId="22" xfId="0" applyFont="1" applyBorder="1" applyAlignment="1">
      <alignment horizontal="center" vertical="center"/>
    </xf>
    <xf numFmtId="49" fontId="17" fillId="5" borderId="14" xfId="1" applyNumberFormat="1" applyFont="1" applyFill="1" applyBorder="1" applyAlignment="1">
      <alignment horizontal="center" vertical="center"/>
    </xf>
    <xf numFmtId="31" fontId="16" fillId="0" borderId="14" xfId="0" applyNumberFormat="1" applyFont="1" applyBorder="1" applyAlignment="1">
      <alignment horizontal="left" vertical="center"/>
    </xf>
    <xf numFmtId="43" fontId="17" fillId="5" borderId="14" xfId="1" applyFont="1" applyFill="1" applyBorder="1" applyAlignment="1">
      <alignment horizontal="center" vertical="center"/>
    </xf>
    <xf numFmtId="0" fontId="44" fillId="5" borderId="14" xfId="0" applyFont="1" applyFill="1" applyBorder="1"/>
    <xf numFmtId="0" fontId="44" fillId="5" borderId="15" xfId="0" applyFont="1" applyFill="1" applyBorder="1"/>
    <xf numFmtId="43" fontId="0" fillId="0" borderId="0" xfId="1" applyFont="1" applyBorder="1" applyAlignment="1"/>
    <xf numFmtId="0" fontId="53" fillId="0" borderId="0" xfId="0" applyFont="1" applyFill="1" applyBorder="1" applyAlignment="1">
      <alignment vertical="center" wrapText="1"/>
    </xf>
    <xf numFmtId="43" fontId="54" fillId="2" borderId="0" xfId="0" applyNumberFormat="1" applyFont="1" applyFill="1" applyBorder="1" applyAlignment="1">
      <alignment horizontal="right" vertical="center" wrapText="1"/>
    </xf>
    <xf numFmtId="43" fontId="54" fillId="0" borderId="0" xfId="1" applyFont="1" applyBorder="1" applyAlignment="1">
      <alignment horizontal="right" vertical="center" wrapText="1"/>
    </xf>
    <xf numFmtId="0" fontId="68" fillId="0" borderId="0" xfId="0" applyFont="1" applyAlignment="1">
      <alignment horizontal="right"/>
    </xf>
    <xf numFmtId="0" fontId="57" fillId="0" borderId="0" xfId="0" applyFont="1" applyBorder="1" applyAlignment="1">
      <alignment horizontal="center" vertical="center" wrapText="1"/>
    </xf>
    <xf numFmtId="0" fontId="67" fillId="0" borderId="0" xfId="0" applyFont="1" applyBorder="1" applyAlignment="1">
      <alignment horizontal="center" vertical="center" wrapText="1"/>
    </xf>
    <xf numFmtId="0" fontId="58" fillId="0" borderId="0" xfId="0" applyFont="1" applyBorder="1" applyAlignment="1">
      <alignment horizontal="justify" vertical="center" wrapText="1"/>
    </xf>
    <xf numFmtId="0" fontId="4" fillId="5" borderId="0" xfId="0" applyFont="1" applyFill="1" applyBorder="1" applyAlignment="1">
      <alignment horizontal="justify" vertical="center" wrapText="1"/>
    </xf>
    <xf numFmtId="0" fontId="68" fillId="0" borderId="0" xfId="0" applyFont="1" applyFill="1" applyAlignment="1">
      <alignment horizontal="right"/>
    </xf>
    <xf numFmtId="0" fontId="67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justify" vertical="center" wrapText="1"/>
    </xf>
    <xf numFmtId="0" fontId="4" fillId="0" borderId="0" xfId="0" applyFont="1" applyBorder="1" applyAlignment="1">
      <alignment horizontal="right" vertical="center" wrapText="1"/>
    </xf>
    <xf numFmtId="0" fontId="4" fillId="5" borderId="0" xfId="0" applyFont="1" applyFill="1" applyBorder="1" applyAlignment="1">
      <alignment horizontal="right" vertical="center" wrapText="1"/>
    </xf>
    <xf numFmtId="180" fontId="4" fillId="0" borderId="0" xfId="0" applyNumberFormat="1" applyFont="1" applyBorder="1" applyAlignment="1">
      <alignment horizontal="right" vertical="center" wrapText="1"/>
    </xf>
    <xf numFmtId="0" fontId="69" fillId="0" borderId="0" xfId="0" applyFont="1" applyAlignment="1">
      <alignment vertical="center" wrapText="1"/>
    </xf>
    <xf numFmtId="0" fontId="70" fillId="0" borderId="4" xfId="0" applyFont="1" applyBorder="1" applyAlignment="1">
      <alignment horizontal="center" vertical="center" wrapText="1"/>
    </xf>
    <xf numFmtId="0" fontId="70" fillId="0" borderId="6" xfId="0" applyFont="1" applyBorder="1" applyAlignment="1">
      <alignment horizontal="center" vertical="center" wrapText="1"/>
    </xf>
    <xf numFmtId="0" fontId="69" fillId="0" borderId="0" xfId="0" applyFont="1" applyAlignment="1">
      <alignment horizontal="left" vertical="center" wrapText="1"/>
    </xf>
    <xf numFmtId="0" fontId="69" fillId="0" borderId="7" xfId="0" applyFont="1" applyBorder="1" applyAlignment="1">
      <alignment vertical="center" wrapText="1"/>
    </xf>
    <xf numFmtId="178" fontId="69" fillId="0" borderId="8" xfId="3" applyFont="1" applyBorder="1" applyAlignment="1">
      <alignment vertical="center" wrapText="1"/>
    </xf>
    <xf numFmtId="10" fontId="69" fillId="0" borderId="8" xfId="2" applyNumberFormat="1" applyFont="1" applyBorder="1" applyAlignment="1">
      <alignment vertical="center" wrapText="1"/>
    </xf>
    <xf numFmtId="0" fontId="69" fillId="12" borderId="7" xfId="0" applyFont="1" applyFill="1" applyBorder="1" applyAlignment="1">
      <alignment vertical="center" wrapText="1"/>
    </xf>
    <xf numFmtId="10" fontId="69" fillId="12" borderId="8" xfId="0" applyNumberFormat="1" applyFont="1" applyFill="1" applyBorder="1" applyAlignment="1">
      <alignment vertical="center" wrapText="1"/>
    </xf>
    <xf numFmtId="0" fontId="70" fillId="0" borderId="9" xfId="0" applyFont="1" applyBorder="1" applyAlignment="1">
      <alignment vertical="center" wrapText="1"/>
    </xf>
    <xf numFmtId="178" fontId="70" fillId="0" borderId="11" xfId="3" applyFont="1" applyBorder="1" applyAlignment="1">
      <alignment vertical="center" wrapText="1"/>
    </xf>
    <xf numFmtId="178" fontId="69" fillId="0" borderId="28" xfId="3" applyFont="1" applyBorder="1" applyAlignment="1">
      <alignment vertical="center" wrapText="1"/>
    </xf>
    <xf numFmtId="178" fontId="69" fillId="13" borderId="28" xfId="3" applyFont="1" applyFill="1" applyBorder="1" applyAlignment="1">
      <alignment vertical="center" wrapText="1"/>
    </xf>
    <xf numFmtId="10" fontId="69" fillId="0" borderId="0" xfId="2" applyNumberFormat="1" applyFont="1" applyAlignment="1">
      <alignment vertical="center" wrapText="1"/>
    </xf>
    <xf numFmtId="43" fontId="17" fillId="6" borderId="1" xfId="1" applyFont="1" applyFill="1" applyBorder="1" applyAlignment="1">
      <alignment horizontal="center" vertical="center"/>
    </xf>
    <xf numFmtId="43" fontId="17" fillId="6" borderId="8" xfId="1" applyFont="1" applyFill="1" applyBorder="1" applyAlignment="1">
      <alignment horizontal="center" vertical="center"/>
    </xf>
    <xf numFmtId="43" fontId="15" fillId="0" borderId="12" xfId="1" applyFont="1" applyFill="1" applyBorder="1" applyAlignment="1">
      <alignment horizontal="right" vertical="center"/>
    </xf>
    <xf numFmtId="43" fontId="15" fillId="0" borderId="21" xfId="1" applyFont="1" applyFill="1" applyBorder="1" applyAlignment="1">
      <alignment horizontal="right" vertical="center"/>
    </xf>
    <xf numFmtId="43" fontId="15" fillId="0" borderId="0" xfId="1" applyFont="1" applyFill="1" applyBorder="1" applyAlignment="1">
      <alignment horizontal="right" vertical="center"/>
    </xf>
    <xf numFmtId="4" fontId="18" fillId="0" borderId="7" xfId="0" applyNumberFormat="1" applyFont="1" applyFill="1" applyBorder="1" applyAlignment="1">
      <alignment vertical="center" wrapText="1"/>
    </xf>
    <xf numFmtId="0" fontId="69" fillId="0" borderId="14" xfId="0" applyFont="1" applyBorder="1" applyAlignment="1">
      <alignment horizontal="left" vertical="center" wrapText="1"/>
    </xf>
    <xf numFmtId="43" fontId="17" fillId="6" borderId="6" xfId="0" applyNumberFormat="1" applyFont="1" applyFill="1" applyBorder="1" applyAlignment="1">
      <alignment horizontal="center" vertical="center"/>
    </xf>
    <xf numFmtId="43" fontId="17" fillId="6" borderId="8" xfId="0" applyNumberFormat="1" applyFont="1" applyFill="1" applyBorder="1" applyAlignment="1">
      <alignment horizontal="center" vertical="center"/>
    </xf>
    <xf numFmtId="43" fontId="17" fillId="6" borderId="4" xfId="0" applyNumberFormat="1" applyFont="1" applyFill="1" applyBorder="1" applyAlignment="1">
      <alignment horizontal="center" vertical="center"/>
    </xf>
    <xf numFmtId="43" fontId="17" fillId="6" borderId="7" xfId="0" applyNumberFormat="1" applyFont="1" applyFill="1" applyBorder="1" applyAlignment="1">
      <alignment horizontal="center" vertical="center"/>
    </xf>
    <xf numFmtId="43" fontId="17" fillId="6" borderId="5" xfId="0" applyNumberFormat="1" applyFont="1" applyFill="1" applyBorder="1" applyAlignment="1">
      <alignment horizontal="center" vertical="center"/>
    </xf>
    <xf numFmtId="43" fontId="17" fillId="6" borderId="1" xfId="0" applyNumberFormat="1" applyFont="1" applyFill="1" applyBorder="1" applyAlignment="1">
      <alignment horizontal="center" vertical="center"/>
    </xf>
    <xf numFmtId="43" fontId="12" fillId="11" borderId="16" xfId="1" applyFont="1" applyFill="1" applyBorder="1" applyAlignment="1">
      <alignment horizontal="center" vertical="center"/>
    </xf>
    <xf numFmtId="43" fontId="15" fillId="11" borderId="29" xfId="1" applyFont="1" applyFill="1" applyBorder="1" applyAlignment="1">
      <alignment horizontal="center" vertical="center"/>
    </xf>
    <xf numFmtId="43" fontId="15" fillId="11" borderId="30" xfId="1" applyFont="1" applyFill="1" applyBorder="1" applyAlignment="1">
      <alignment horizontal="center" vertical="center"/>
    </xf>
    <xf numFmtId="43" fontId="12" fillId="6" borderId="7" xfId="1" applyFont="1" applyFill="1" applyBorder="1" applyAlignment="1">
      <alignment horizontal="center" vertical="center" wrapText="1"/>
    </xf>
    <xf numFmtId="43" fontId="12" fillId="6" borderId="1" xfId="1" applyFont="1" applyFill="1" applyBorder="1" applyAlignment="1">
      <alignment horizontal="center" vertical="center" wrapText="1"/>
    </xf>
    <xf numFmtId="43" fontId="15" fillId="6" borderId="1" xfId="1" applyFont="1" applyFill="1" applyBorder="1" applyAlignment="1">
      <alignment horizontal="center" vertical="center" wrapText="1"/>
    </xf>
    <xf numFmtId="43" fontId="15" fillId="6" borderId="8" xfId="1" applyFont="1" applyFill="1" applyBorder="1" applyAlignment="1">
      <alignment horizontal="center" vertical="center" wrapText="1"/>
    </xf>
    <xf numFmtId="43" fontId="12" fillId="6" borderId="4" xfId="1" applyFont="1" applyFill="1" applyBorder="1" applyAlignment="1">
      <alignment horizontal="center" vertical="center" wrapText="1"/>
    </xf>
    <xf numFmtId="43" fontId="12" fillId="6" borderId="5" xfId="1" applyFont="1" applyFill="1" applyBorder="1" applyAlignment="1">
      <alignment horizontal="center" vertical="center" wrapText="1"/>
    </xf>
    <xf numFmtId="43" fontId="12" fillId="6" borderId="6" xfId="1" applyFont="1" applyFill="1" applyBorder="1" applyAlignment="1">
      <alignment horizontal="center" vertical="center" wrapText="1"/>
    </xf>
    <xf numFmtId="43" fontId="16" fillId="0" borderId="5" xfId="1" applyFont="1" applyFill="1" applyBorder="1" applyAlignment="1">
      <alignment horizontal="center" vertical="center"/>
    </xf>
    <xf numFmtId="43" fontId="16" fillId="0" borderId="1" xfId="1" applyFont="1" applyFill="1" applyBorder="1" applyAlignment="1">
      <alignment horizontal="center" vertical="center"/>
    </xf>
    <xf numFmtId="0" fontId="57" fillId="11" borderId="36" xfId="0" applyFont="1" applyFill="1" applyBorder="1" applyAlignment="1">
      <alignment horizontal="center" vertical="center" wrapText="1"/>
    </xf>
    <xf numFmtId="0" fontId="57" fillId="11" borderId="37" xfId="0" applyFont="1" applyFill="1" applyBorder="1" applyAlignment="1">
      <alignment horizontal="center" vertical="center" wrapText="1"/>
    </xf>
    <xf numFmtId="43" fontId="12" fillId="0" borderId="1" xfId="1" applyFont="1" applyFill="1" applyBorder="1" applyAlignment="1">
      <alignment horizontal="center" vertical="center"/>
    </xf>
    <xf numFmtId="43" fontId="12" fillId="0" borderId="7" xfId="1" applyFont="1" applyFill="1" applyBorder="1" applyAlignment="1">
      <alignment horizontal="center" vertical="center"/>
    </xf>
    <xf numFmtId="43" fontId="12" fillId="0" borderId="3" xfId="1" applyFont="1" applyFill="1" applyBorder="1" applyAlignment="1">
      <alignment horizontal="center" vertical="center"/>
    </xf>
    <xf numFmtId="43" fontId="16" fillId="0" borderId="17" xfId="1" applyFont="1" applyFill="1" applyBorder="1" applyAlignment="1">
      <alignment horizontal="center" vertical="center"/>
    </xf>
    <xf numFmtId="43" fontId="16" fillId="0" borderId="2" xfId="1" applyFont="1" applyFill="1" applyBorder="1" applyAlignment="1">
      <alignment horizontal="center" vertical="center"/>
    </xf>
    <xf numFmtId="43" fontId="12" fillId="0" borderId="4" xfId="1" applyFont="1" applyFill="1" applyBorder="1" applyAlignment="1">
      <alignment horizontal="center" vertical="center" wrapText="1"/>
    </xf>
    <xf numFmtId="43" fontId="12" fillId="0" borderId="5" xfId="1" applyFont="1" applyFill="1" applyBorder="1" applyAlignment="1">
      <alignment horizontal="center" vertical="center" wrapText="1"/>
    </xf>
    <xf numFmtId="43" fontId="12" fillId="0" borderId="6" xfId="1" applyFont="1" applyFill="1" applyBorder="1" applyAlignment="1">
      <alignment horizontal="center" vertical="center" wrapText="1"/>
    </xf>
    <xf numFmtId="43" fontId="15" fillId="0" borderId="24" xfId="1" applyFont="1" applyFill="1" applyBorder="1" applyAlignment="1">
      <alignment horizontal="center" vertical="center" wrapText="1"/>
    </xf>
    <xf numFmtId="43" fontId="15" fillId="0" borderId="5" xfId="1" applyFont="1" applyFill="1" applyBorder="1" applyAlignment="1">
      <alignment horizontal="center" vertical="center" wrapText="1"/>
    </xf>
    <xf numFmtId="43" fontId="15" fillId="0" borderId="6" xfId="1" applyFont="1" applyFill="1" applyBorder="1" applyAlignment="1">
      <alignment horizontal="center" vertical="center" wrapText="1"/>
    </xf>
    <xf numFmtId="43" fontId="12" fillId="0" borderId="7" xfId="1" applyFont="1" applyFill="1" applyBorder="1" applyAlignment="1">
      <alignment horizontal="center" vertical="center" wrapText="1"/>
    </xf>
    <xf numFmtId="43" fontId="12" fillId="0" borderId="1" xfId="1" applyFont="1" applyFill="1" applyBorder="1" applyAlignment="1">
      <alignment horizontal="center" vertical="center" wrapText="1"/>
    </xf>
    <xf numFmtId="43" fontId="12" fillId="0" borderId="8" xfId="1" applyFont="1" applyFill="1" applyBorder="1" applyAlignment="1">
      <alignment horizontal="center" vertical="center" wrapText="1"/>
    </xf>
    <xf numFmtId="43" fontId="12" fillId="0" borderId="3" xfId="1" applyFont="1" applyFill="1" applyBorder="1" applyAlignment="1">
      <alignment horizontal="center" vertical="center" wrapText="1"/>
    </xf>
    <xf numFmtId="43" fontId="17" fillId="6" borderId="26" xfId="0" applyNumberFormat="1" applyFont="1" applyFill="1" applyBorder="1" applyAlignment="1">
      <alignment horizontal="center" vertical="center"/>
    </xf>
    <xf numFmtId="43" fontId="17" fillId="6" borderId="33" xfId="0" applyNumberFormat="1" applyFont="1" applyFill="1" applyBorder="1" applyAlignment="1">
      <alignment horizontal="center" vertical="center"/>
    </xf>
    <xf numFmtId="43" fontId="17" fillId="6" borderId="6" xfId="1" applyFont="1" applyFill="1" applyBorder="1" applyAlignment="1">
      <alignment horizontal="center" vertical="center" wrapText="1"/>
    </xf>
    <xf numFmtId="43" fontId="17" fillId="6" borderId="8" xfId="1" applyFont="1" applyFill="1" applyBorder="1" applyAlignment="1">
      <alignment horizontal="center" vertical="center" wrapText="1"/>
    </xf>
    <xf numFmtId="43" fontId="46" fillId="0" borderId="7" xfId="1" applyFont="1" applyFill="1" applyBorder="1" applyAlignment="1">
      <alignment horizontal="center" vertical="center"/>
    </xf>
    <xf numFmtId="43" fontId="16" fillId="0" borderId="7" xfId="1" applyFont="1" applyFill="1" applyBorder="1" applyAlignment="1">
      <alignment horizontal="center" vertical="center"/>
    </xf>
    <xf numFmtId="0" fontId="58" fillId="11" borderId="40" xfId="0" applyFont="1" applyFill="1" applyBorder="1" applyAlignment="1">
      <alignment horizontal="center" vertical="center" wrapText="1"/>
    </xf>
    <xf numFmtId="0" fontId="58" fillId="11" borderId="39" xfId="0" applyFont="1" applyFill="1" applyBorder="1" applyAlignment="1">
      <alignment horizontal="center" vertical="center" wrapText="1"/>
    </xf>
    <xf numFmtId="0" fontId="58" fillId="11" borderId="38" xfId="0" applyFont="1" applyFill="1" applyBorder="1" applyAlignment="1">
      <alignment horizontal="center" vertical="center" wrapText="1"/>
    </xf>
    <xf numFmtId="43" fontId="16" fillId="0" borderId="13" xfId="1" applyFont="1" applyFill="1" applyBorder="1" applyAlignment="1">
      <alignment horizontal="center" vertical="center"/>
    </xf>
    <xf numFmtId="43" fontId="16" fillId="0" borderId="34" xfId="1" applyFont="1" applyFill="1" applyBorder="1" applyAlignment="1">
      <alignment horizontal="center" vertical="center"/>
    </xf>
    <xf numFmtId="43" fontId="16" fillId="0" borderId="35" xfId="1" applyFont="1" applyFill="1" applyBorder="1" applyAlignment="1">
      <alignment horizontal="center" vertical="center"/>
    </xf>
    <xf numFmtId="43" fontId="17" fillId="6" borderId="5" xfId="1" applyFont="1" applyFill="1" applyBorder="1" applyAlignment="1">
      <alignment horizontal="center" vertical="center"/>
    </xf>
    <xf numFmtId="43" fontId="17" fillId="6" borderId="1" xfId="1" applyFont="1" applyFill="1" applyBorder="1" applyAlignment="1">
      <alignment horizontal="center" vertical="center"/>
    </xf>
    <xf numFmtId="43" fontId="17" fillId="6" borderId="5" xfId="1" applyFont="1" applyFill="1" applyBorder="1" applyAlignment="1">
      <alignment horizontal="center" vertical="center" wrapText="1"/>
    </xf>
    <xf numFmtId="43" fontId="17" fillId="6" borderId="1" xfId="1" applyFont="1" applyFill="1" applyBorder="1" applyAlignment="1">
      <alignment horizontal="center" vertical="center" wrapText="1"/>
    </xf>
    <xf numFmtId="4" fontId="17" fillId="6" borderId="4" xfId="0" applyNumberFormat="1" applyFont="1" applyFill="1" applyBorder="1" applyAlignment="1">
      <alignment horizontal="center" vertical="center" wrapText="1"/>
    </xf>
    <xf numFmtId="4" fontId="17" fillId="6" borderId="7" xfId="0" applyNumberFormat="1" applyFont="1" applyFill="1" applyBorder="1" applyAlignment="1">
      <alignment horizontal="center" vertical="center" wrapText="1"/>
    </xf>
    <xf numFmtId="43" fontId="17" fillId="6" borderId="17" xfId="1" applyFont="1" applyFill="1" applyBorder="1" applyAlignment="1">
      <alignment horizontal="center" vertical="center" wrapText="1"/>
    </xf>
    <xf numFmtId="43" fontId="17" fillId="6" borderId="2" xfId="1" applyFont="1" applyFill="1" applyBorder="1" applyAlignment="1">
      <alignment horizontal="center" vertical="center" wrapText="1"/>
    </xf>
    <xf numFmtId="43" fontId="17" fillId="6" borderId="4" xfId="1" applyFont="1" applyFill="1" applyBorder="1" applyAlignment="1">
      <alignment horizontal="center" vertical="center" wrapText="1"/>
    </xf>
    <xf numFmtId="43" fontId="17" fillId="6" borderId="7" xfId="1" applyFont="1" applyFill="1" applyBorder="1" applyAlignment="1">
      <alignment horizontal="center" vertical="center" wrapText="1"/>
    </xf>
    <xf numFmtId="4" fontId="17" fillId="6" borderId="20" xfId="0" applyNumberFormat="1" applyFont="1" applyFill="1" applyBorder="1" applyAlignment="1">
      <alignment horizontal="center" vertical="center" wrapText="1"/>
    </xf>
    <xf numFmtId="4" fontId="17" fillId="6" borderId="42" xfId="0" applyNumberFormat="1" applyFont="1" applyFill="1" applyBorder="1" applyAlignment="1">
      <alignment horizontal="center" vertical="center" wrapText="1"/>
    </xf>
    <xf numFmtId="43" fontId="12" fillId="6" borderId="8" xfId="1" applyFont="1" applyFill="1" applyBorder="1" applyAlignment="1">
      <alignment horizontal="center" vertical="center" wrapText="1"/>
    </xf>
    <xf numFmtId="43" fontId="17" fillId="6" borderId="6" xfId="1" applyFont="1" applyFill="1" applyBorder="1" applyAlignment="1">
      <alignment horizontal="center" vertical="center"/>
    </xf>
    <xf numFmtId="43" fontId="17" fillId="6" borderId="8" xfId="1" applyFont="1" applyFill="1" applyBorder="1" applyAlignment="1">
      <alignment horizontal="center" vertical="center"/>
    </xf>
    <xf numFmtId="43" fontId="22" fillId="6" borderId="4" xfId="1" applyFont="1" applyFill="1" applyBorder="1" applyAlignment="1">
      <alignment horizontal="center" vertical="center" wrapText="1"/>
    </xf>
    <xf numFmtId="43" fontId="22" fillId="6" borderId="5" xfId="1" applyFont="1" applyFill="1" applyBorder="1" applyAlignment="1">
      <alignment horizontal="center" vertical="center" wrapText="1"/>
    </xf>
    <xf numFmtId="43" fontId="22" fillId="6" borderId="6" xfId="1" applyFont="1" applyFill="1" applyBorder="1" applyAlignment="1">
      <alignment horizontal="center" vertical="center" wrapText="1"/>
    </xf>
    <xf numFmtId="43" fontId="22" fillId="6" borderId="17" xfId="1" applyFont="1" applyFill="1" applyBorder="1" applyAlignment="1">
      <alignment horizontal="center" vertical="center" wrapText="1"/>
    </xf>
    <xf numFmtId="43" fontId="15" fillId="6" borderId="4" xfId="1" applyFont="1" applyFill="1" applyBorder="1" applyAlignment="1">
      <alignment horizontal="center" vertical="center" wrapText="1"/>
    </xf>
    <xf numFmtId="43" fontId="15" fillId="6" borderId="5" xfId="1" applyFont="1" applyFill="1" applyBorder="1" applyAlignment="1">
      <alignment horizontal="center" vertical="center" wrapText="1"/>
    </xf>
    <xf numFmtId="43" fontId="15" fillId="6" borderId="6" xfId="1" applyFont="1" applyFill="1" applyBorder="1" applyAlignment="1">
      <alignment horizontal="center" vertical="center" wrapText="1"/>
    </xf>
    <xf numFmtId="0" fontId="34" fillId="0" borderId="12" xfId="0" applyFont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 wrapText="1"/>
    </xf>
    <xf numFmtId="0" fontId="15" fillId="6" borderId="6" xfId="0" applyFont="1" applyFill="1" applyBorder="1" applyAlignment="1">
      <alignment horizontal="center" vertical="center" wrapText="1"/>
    </xf>
    <xf numFmtId="43" fontId="17" fillId="6" borderId="17" xfId="0" applyNumberFormat="1" applyFont="1" applyFill="1" applyBorder="1" applyAlignment="1">
      <alignment horizontal="center" vertical="center"/>
    </xf>
    <xf numFmtId="43" fontId="17" fillId="6" borderId="18" xfId="0" applyNumberFormat="1" applyFont="1" applyFill="1" applyBorder="1" applyAlignment="1">
      <alignment horizontal="center" vertical="center"/>
    </xf>
    <xf numFmtId="43" fontId="17" fillId="6" borderId="19" xfId="0" applyNumberFormat="1" applyFont="1" applyFill="1" applyBorder="1" applyAlignment="1">
      <alignment horizontal="center" vertical="center"/>
    </xf>
    <xf numFmtId="43" fontId="17" fillId="6" borderId="20" xfId="0" applyNumberFormat="1" applyFont="1" applyFill="1" applyBorder="1" applyAlignment="1">
      <alignment horizontal="center" vertical="center"/>
    </xf>
    <xf numFmtId="0" fontId="22" fillId="6" borderId="4" xfId="0" applyFont="1" applyFill="1" applyBorder="1" applyAlignment="1">
      <alignment horizontal="center" vertical="center" wrapText="1"/>
    </xf>
    <xf numFmtId="0" fontId="22" fillId="6" borderId="5" xfId="0" applyFont="1" applyFill="1" applyBorder="1" applyAlignment="1">
      <alignment horizontal="center" vertical="center" wrapText="1"/>
    </xf>
    <xf numFmtId="0" fontId="22" fillId="6" borderId="6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43" fontId="17" fillId="6" borderId="24" xfId="0" applyNumberFormat="1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 wrapText="1"/>
    </xf>
    <xf numFmtId="0" fontId="13" fillId="10" borderId="0" xfId="0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7" fillId="0" borderId="7" xfId="0" applyFont="1" applyFill="1" applyBorder="1" applyAlignment="1">
      <alignment horizontal="center" vertical="center"/>
    </xf>
    <xf numFmtId="43" fontId="17" fillId="0" borderId="5" xfId="0" applyNumberFormat="1" applyFont="1" applyFill="1" applyBorder="1" applyAlignment="1">
      <alignment horizontal="center" vertical="center"/>
    </xf>
    <xf numFmtId="43" fontId="17" fillId="0" borderId="6" xfId="0" applyNumberFormat="1" applyFont="1" applyFill="1" applyBorder="1" applyAlignment="1">
      <alignment horizontal="center" vertical="center"/>
    </xf>
    <xf numFmtId="43" fontId="15" fillId="0" borderId="5" xfId="0" applyNumberFormat="1" applyFont="1" applyBorder="1" applyAlignment="1">
      <alignment horizontal="center" vertical="center"/>
    </xf>
    <xf numFmtId="43" fontId="15" fillId="0" borderId="6" xfId="0" applyNumberFormat="1" applyFont="1" applyBorder="1" applyAlignment="1">
      <alignment horizontal="center" vertical="center"/>
    </xf>
    <xf numFmtId="0" fontId="55" fillId="0" borderId="0" xfId="0" applyFont="1" applyBorder="1" applyAlignment="1">
      <alignment horizontal="center"/>
    </xf>
    <xf numFmtId="0" fontId="40" fillId="2" borderId="0" xfId="0" applyFont="1" applyFill="1" applyBorder="1" applyAlignment="1">
      <alignment horizontal="center" vertical="center"/>
    </xf>
    <xf numFmtId="0" fontId="39" fillId="2" borderId="0" xfId="0" applyFont="1" applyFill="1" applyBorder="1" applyAlignment="1">
      <alignment horizontal="center" vertical="center"/>
    </xf>
    <xf numFmtId="0" fontId="39" fillId="0" borderId="14" xfId="0" applyFont="1" applyFill="1" applyBorder="1" applyAlignment="1">
      <alignment horizontal="center" vertical="center"/>
    </xf>
    <xf numFmtId="0" fontId="39" fillId="9" borderId="0" xfId="0" applyFont="1" applyFill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</cellXfs>
  <cellStyles count="4">
    <cellStyle name="百分比" xfId="2" builtinId="5"/>
    <cellStyle name="常规" xfId="0" builtinId="0"/>
    <cellStyle name="千位分隔" xfId="1" builtinId="3"/>
    <cellStyle name="千位分隔 2" xfId="3" xr:uid="{861A24F2-BEA2-482F-A39F-43F633B0BBFC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55218</xdr:colOff>
      <xdr:row>0</xdr:row>
      <xdr:rowOff>143565</xdr:rowOff>
    </xdr:from>
    <xdr:to>
      <xdr:col>5</xdr:col>
      <xdr:colOff>220870</xdr:colOff>
      <xdr:row>2</xdr:row>
      <xdr:rowOff>115956</xdr:rowOff>
    </xdr:to>
    <xdr:sp macro="[0]!替换" textlink="">
      <xdr:nvSpPr>
        <xdr:cNvPr id="2" name="矩形 1">
          <a:extLst>
            <a:ext uri="{FF2B5EF4-FFF2-40B4-BE49-F238E27FC236}">
              <a16:creationId xmlns:a16="http://schemas.microsoft.com/office/drawing/2014/main" id="{8620A7C4-9602-4AA0-A794-8470EC1A7FBA}"/>
            </a:ext>
          </a:extLst>
        </xdr:cNvPr>
        <xdr:cNvSpPr/>
      </xdr:nvSpPr>
      <xdr:spPr>
        <a:xfrm>
          <a:off x="3141870" y="143565"/>
          <a:ext cx="839304" cy="35891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/>
            <a:t>替换</a:t>
          </a:r>
        </a:p>
      </xdr:txBody>
    </xdr:sp>
    <xdr:clientData/>
  </xdr:twoCellAnchor>
  <xdr:twoCellAnchor>
    <xdr:from>
      <xdr:col>5</xdr:col>
      <xdr:colOff>411923</xdr:colOff>
      <xdr:row>0</xdr:row>
      <xdr:rowOff>135835</xdr:rowOff>
    </xdr:from>
    <xdr:to>
      <xdr:col>6</xdr:col>
      <xdr:colOff>577574</xdr:colOff>
      <xdr:row>2</xdr:row>
      <xdr:rowOff>108226</xdr:rowOff>
    </xdr:to>
    <xdr:sp macro="[0]!停止" textlink="">
      <xdr:nvSpPr>
        <xdr:cNvPr id="3" name="矩形 2">
          <a:extLst>
            <a:ext uri="{FF2B5EF4-FFF2-40B4-BE49-F238E27FC236}">
              <a16:creationId xmlns:a16="http://schemas.microsoft.com/office/drawing/2014/main" id="{B237A61B-9136-4E58-82DD-263C216932C9}"/>
            </a:ext>
          </a:extLst>
        </xdr:cNvPr>
        <xdr:cNvSpPr/>
      </xdr:nvSpPr>
      <xdr:spPr>
        <a:xfrm>
          <a:off x="4172227" y="135835"/>
          <a:ext cx="839304" cy="35891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/>
            <a:t>停止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3369-044C-4057-B981-6ADE0F576CC1}">
  <sheetPr codeName="Sheet10"/>
  <dimension ref="A1:F21"/>
  <sheetViews>
    <sheetView topLeftCell="A4" zoomScale="115" zoomScaleNormal="115" workbookViewId="0">
      <selection activeCell="A21" sqref="A21"/>
    </sheetView>
  </sheetViews>
  <sheetFormatPr defaultColWidth="8.75" defaultRowHeight="12"/>
  <cols>
    <col min="1" max="1" width="55.625" style="632" customWidth="1"/>
    <col min="2" max="2" width="18.75" style="632" customWidth="1"/>
    <col min="3" max="3" width="8.75" style="632"/>
    <col min="4" max="4" width="11.375" style="632" bestFit="1" customWidth="1"/>
    <col min="5" max="5" width="8.75" style="632"/>
    <col min="6" max="6" width="11.375" style="632" bestFit="1" customWidth="1"/>
    <col min="7" max="16384" width="8.75" style="632"/>
  </cols>
  <sheetData>
    <row r="1" spans="1:6" ht="73.150000000000006" customHeight="1" thickBot="1">
      <c r="A1" s="652" t="s">
        <v>4063</v>
      </c>
      <c r="B1" s="652"/>
    </row>
    <row r="2" spans="1:6">
      <c r="A2" s="633" t="s">
        <v>4064</v>
      </c>
      <c r="B2" s="634" t="s">
        <v>2390</v>
      </c>
      <c r="C2" s="635"/>
      <c r="D2" s="635"/>
      <c r="E2" s="635"/>
    </row>
    <row r="3" spans="1:6">
      <c r="A3" s="636" t="s">
        <v>4065</v>
      </c>
      <c r="B3" s="637" t="e">
        <f>'合并利润表 '!G4/(('合并资产负债表 '!G9+'合并资产负债表 '!H9)/2)</f>
        <v>#DIV/0!</v>
      </c>
    </row>
    <row r="4" spans="1:6">
      <c r="A4" s="636" t="s">
        <v>4066</v>
      </c>
      <c r="B4" s="637" t="e">
        <f>'合并利润表 '!G4/(('合并资产负债表 '!G44+'合并资产负债表 '!H44)/2)</f>
        <v>#DIV/0!</v>
      </c>
    </row>
    <row r="5" spans="1:6">
      <c r="A5" s="636" t="s">
        <v>4067</v>
      </c>
      <c r="B5" s="637" t="e">
        <f>'合并利润表 '!G7/('合并资产负债表 '!G15+'合并资产负债表 '!H15)/2</f>
        <v>#DIV/0!</v>
      </c>
    </row>
    <row r="6" spans="1:6">
      <c r="A6" s="636" t="s">
        <v>4068</v>
      </c>
      <c r="B6" s="637" t="e">
        <f>'合并利润表 '!G7/('合并资产负债表 '!G10+'合并资产负债表 '!H10)/2</f>
        <v>#DIV/0!</v>
      </c>
    </row>
    <row r="7" spans="1:6">
      <c r="A7" s="636" t="s">
        <v>4069</v>
      </c>
      <c r="B7" s="637" t="e">
        <f>'合并利润表 '!G7/('合并资产负债表 '!G43+'合并资产负债表 '!H43)/2</f>
        <v>#DIV/0!</v>
      </c>
    </row>
    <row r="8" spans="1:6">
      <c r="A8" s="636" t="s">
        <v>4070</v>
      </c>
      <c r="B8" s="637" t="e">
        <f>360/B3</f>
        <v>#DIV/0!</v>
      </c>
    </row>
    <row r="9" spans="1:6">
      <c r="A9" s="636" t="s">
        <v>4071</v>
      </c>
      <c r="B9" s="637" t="e">
        <f t="shared" ref="B9:B12" si="0">360/B4</f>
        <v>#DIV/0!</v>
      </c>
    </row>
    <row r="10" spans="1:6">
      <c r="A10" s="636" t="s">
        <v>4072</v>
      </c>
      <c r="B10" s="637" t="e">
        <f t="shared" si="0"/>
        <v>#DIV/0!</v>
      </c>
    </row>
    <row r="11" spans="1:6">
      <c r="A11" s="636" t="s">
        <v>4073</v>
      </c>
      <c r="B11" s="637" t="e">
        <f t="shared" si="0"/>
        <v>#DIV/0!</v>
      </c>
    </row>
    <row r="12" spans="1:6">
      <c r="A12" s="636" t="s">
        <v>4074</v>
      </c>
      <c r="B12" s="637" t="e">
        <f t="shared" si="0"/>
        <v>#DIV/0!</v>
      </c>
    </row>
    <row r="13" spans="1:6" ht="24">
      <c r="A13" s="636" t="s">
        <v>4075</v>
      </c>
      <c r="B13" s="637" t="e">
        <f>360/(B10+B8-B12+B11-B9)</f>
        <v>#DIV/0!</v>
      </c>
    </row>
    <row r="14" spans="1:6">
      <c r="A14" s="636" t="s">
        <v>4080</v>
      </c>
      <c r="B14" s="637">
        <f>'合并利润表 '!G4</f>
        <v>0</v>
      </c>
    </row>
    <row r="15" spans="1:6">
      <c r="A15" s="636" t="s">
        <v>4076</v>
      </c>
      <c r="B15" s="638" t="e">
        <f>'合并利润表 '!G21/'合并利润表 '!G4</f>
        <v>#DIV/0!</v>
      </c>
    </row>
    <row r="16" spans="1:6">
      <c r="A16" s="639" t="s">
        <v>4077</v>
      </c>
      <c r="B16" s="640"/>
      <c r="C16" s="632" t="s">
        <v>4084</v>
      </c>
      <c r="D16" s="645" t="e">
        <f>('合并利润表 '!G4-'合并利润表 '!H4)/'合并利润表 '!H4</f>
        <v>#DIV/0!</v>
      </c>
      <c r="E16" s="632" t="s">
        <v>4085</v>
      </c>
      <c r="F16" s="645" t="e">
        <f>(('合并利润表 '!G4-'合并利润表 '!H4)/'合并利润表 '!H4+('合并利润表 '!H4-'合并利润表 '!I4)/'合并利润表 '!I4)/2</f>
        <v>#DIV/0!</v>
      </c>
    </row>
    <row r="17" spans="1:2" ht="24">
      <c r="A17" s="636" t="s">
        <v>4078</v>
      </c>
      <c r="B17" s="637" t="e">
        <f>B14*(1-B15)*(1+B16)/B13</f>
        <v>#DIV/0!</v>
      </c>
    </row>
    <row r="18" spans="1:2">
      <c r="A18" s="636" t="s">
        <v>4081</v>
      </c>
      <c r="B18" s="643">
        <f>'合并资产负债表 '!G5</f>
        <v>0</v>
      </c>
    </row>
    <row r="19" spans="1:2">
      <c r="A19" s="636" t="s">
        <v>4082</v>
      </c>
      <c r="B19" s="644"/>
    </row>
    <row r="20" spans="1:2">
      <c r="A20" s="636" t="s">
        <v>4083</v>
      </c>
      <c r="B20" s="644"/>
    </row>
    <row r="21" spans="1:2" ht="12.75" thickBot="1">
      <c r="A21" s="641" t="s">
        <v>4079</v>
      </c>
      <c r="B21" s="642" t="e">
        <f>B17-B18-B19-B20</f>
        <v>#DIV/0!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785D2-87E4-45A2-96DC-9291E6DDA084}">
  <sheetPr codeName="Sheet9">
    <tabColor theme="4" tint="0.59999389629810485"/>
  </sheetPr>
  <dimension ref="A1:G2855"/>
  <sheetViews>
    <sheetView topLeftCell="A760" zoomScale="145" zoomScaleNormal="145" workbookViewId="0">
      <selection activeCell="C767" sqref="C767"/>
    </sheetView>
  </sheetViews>
  <sheetFormatPr defaultColWidth="8.75" defaultRowHeight="15"/>
  <cols>
    <col min="1" max="1" width="12" style="432" customWidth="1"/>
    <col min="2" max="2" width="8.875" style="432" customWidth="1"/>
    <col min="3" max="3" width="25.25" style="435" customWidth="1"/>
    <col min="4" max="4" width="10.75" style="435" customWidth="1"/>
    <col min="5" max="16384" width="8.75" style="436"/>
  </cols>
  <sheetData>
    <row r="1" spans="1:7">
      <c r="A1" s="539" t="s">
        <v>3310</v>
      </c>
      <c r="B1" s="540" t="s">
        <v>2390</v>
      </c>
    </row>
    <row r="2" spans="1:7">
      <c r="A2" s="432" t="s">
        <v>749</v>
      </c>
      <c r="B2" s="432" t="str">
        <f t="shared" ref="B2:B67" si="0">TRIM(C2)</f>
        <v>0</v>
      </c>
      <c r="C2" s="433">
        <f>必填信息!D2</f>
        <v>0</v>
      </c>
      <c r="D2" s="433"/>
    </row>
    <row r="3" spans="1:7">
      <c r="A3" s="432" t="s">
        <v>750</v>
      </c>
      <c r="B3" s="432" t="str">
        <f t="shared" si="0"/>
        <v>0</v>
      </c>
      <c r="C3" s="433">
        <f>必填信息!D3</f>
        <v>0</v>
      </c>
      <c r="D3" s="433"/>
    </row>
    <row r="4" spans="1:7">
      <c r="A4" s="432" t="s">
        <v>751</v>
      </c>
      <c r="B4" s="432" t="str">
        <f t="shared" si="0"/>
        <v>0</v>
      </c>
      <c r="C4" s="433">
        <f>必填信息!D4</f>
        <v>0</v>
      </c>
      <c r="D4" s="433"/>
    </row>
    <row r="5" spans="1:7">
      <c r="A5" s="432" t="s">
        <v>752</v>
      </c>
      <c r="B5" s="432" t="str">
        <f t="shared" si="0"/>
        <v>0</v>
      </c>
      <c r="C5" s="433">
        <f>必填信息!D5</f>
        <v>0</v>
      </c>
      <c r="D5" s="433"/>
    </row>
    <row r="6" spans="1:7">
      <c r="A6" s="432" t="s">
        <v>3275</v>
      </c>
      <c r="B6" s="432" t="str">
        <f>TRIM(C6)</f>
        <v>0</v>
      </c>
      <c r="C6" s="541">
        <f>必填信息!B6</f>
        <v>0</v>
      </c>
      <c r="D6" s="541"/>
    </row>
    <row r="7" spans="1:7">
      <c r="A7" s="432" t="s">
        <v>4027</v>
      </c>
      <c r="B7" s="432" t="str">
        <f>TRIM(C7)</f>
        <v>0</v>
      </c>
      <c r="C7" s="541">
        <f>必填信息!B7</f>
        <v>0</v>
      </c>
      <c r="D7" s="541"/>
    </row>
    <row r="8" spans="1:7">
      <c r="A8" s="432" t="s">
        <v>753</v>
      </c>
      <c r="B8" s="432" t="str">
        <f t="shared" si="0"/>
        <v>0</v>
      </c>
      <c r="C8" s="435">
        <f>必填信息!E2</f>
        <v>0</v>
      </c>
    </row>
    <row r="9" spans="1:7">
      <c r="A9" s="432" t="s">
        <v>754</v>
      </c>
      <c r="B9" s="432" t="str">
        <f t="shared" si="0"/>
        <v>0</v>
      </c>
      <c r="C9" s="435">
        <f>必填信息!E3</f>
        <v>0</v>
      </c>
    </row>
    <row r="10" spans="1:7">
      <c r="A10" s="432" t="s">
        <v>755</v>
      </c>
      <c r="B10" s="432" t="str">
        <f t="shared" si="0"/>
        <v>0</v>
      </c>
      <c r="C10" s="435">
        <f>必填信息!E4</f>
        <v>0</v>
      </c>
    </row>
    <row r="11" spans="1:7">
      <c r="A11" s="432" t="s">
        <v>756</v>
      </c>
      <c r="B11" s="432" t="str">
        <f t="shared" si="0"/>
        <v>0</v>
      </c>
      <c r="C11" s="435">
        <f>必填信息!E5</f>
        <v>0</v>
      </c>
    </row>
    <row r="12" spans="1:7">
      <c r="A12" s="432" t="s">
        <v>1193</v>
      </c>
      <c r="B12" s="432" t="str">
        <f t="shared" si="0"/>
        <v>0</v>
      </c>
      <c r="C12" s="435">
        <f>必填信息!B2</f>
        <v>0</v>
      </c>
    </row>
    <row r="13" spans="1:7">
      <c r="A13" s="432" t="s">
        <v>1194</v>
      </c>
      <c r="B13" s="432" t="str">
        <f t="shared" si="0"/>
        <v>0</v>
      </c>
      <c r="C13" s="435">
        <f>必填信息!B3</f>
        <v>0</v>
      </c>
    </row>
    <row r="14" spans="1:7">
      <c r="A14" s="432" t="s">
        <v>1195</v>
      </c>
      <c r="B14" s="432" t="str">
        <f t="shared" si="0"/>
        <v>0</v>
      </c>
      <c r="C14" s="435">
        <f>必填信息!B4</f>
        <v>0</v>
      </c>
    </row>
    <row r="15" spans="1:7">
      <c r="A15" s="432" t="s">
        <v>1196</v>
      </c>
      <c r="B15" s="432" t="str">
        <f t="shared" si="0"/>
        <v>0</v>
      </c>
      <c r="C15" s="435">
        <f>必填信息!B5</f>
        <v>0</v>
      </c>
    </row>
    <row r="16" spans="1:7">
      <c r="A16" s="434" t="s">
        <v>454</v>
      </c>
      <c r="B16" s="432" t="str">
        <f t="shared" si="0"/>
        <v>-</v>
      </c>
      <c r="C16" s="435" t="str">
        <f>IF('合并资产负债表 '!F5=0,"-",TEXT('合并资产负债表 '!F5,"#,##0.00"))</f>
        <v>-</v>
      </c>
      <c r="D16" s="435">
        <f>'合并资产负债表 '!F5</f>
        <v>0</v>
      </c>
      <c r="E16" s="436" t="s">
        <v>2251</v>
      </c>
      <c r="F16" s="435"/>
      <c r="G16" s="585"/>
    </row>
    <row r="17" spans="1:7">
      <c r="A17" s="434" t="s">
        <v>455</v>
      </c>
      <c r="B17" s="432" t="str">
        <f t="shared" si="0"/>
        <v>-</v>
      </c>
      <c r="C17" s="435" t="str">
        <f>IF('合并资产负债表 '!F6=0,"-",TEXT('合并资产负债表 '!F6,"#,##0.00"))</f>
        <v>-</v>
      </c>
      <c r="D17" s="435">
        <f>'合并资产负债表 '!F6</f>
        <v>0</v>
      </c>
      <c r="G17" s="585"/>
    </row>
    <row r="18" spans="1:7">
      <c r="A18" s="434" t="s">
        <v>456</v>
      </c>
      <c r="B18" s="432" t="str">
        <f t="shared" si="0"/>
        <v>-</v>
      </c>
      <c r="C18" s="435" t="str">
        <f>IF('合并资产负债表 '!F7=0,"-",TEXT('合并资产负债表 '!F7,"#,##0.00"))</f>
        <v>-</v>
      </c>
      <c r="D18" s="435">
        <f>'合并资产负债表 '!F7</f>
        <v>0</v>
      </c>
      <c r="G18" s="585"/>
    </row>
    <row r="19" spans="1:7">
      <c r="A19" s="434" t="s">
        <v>457</v>
      </c>
      <c r="B19" s="432" t="str">
        <f t="shared" si="0"/>
        <v>-</v>
      </c>
      <c r="C19" s="435" t="str">
        <f>IF('合并资产负债表 '!F8=0,"-",TEXT('合并资产负债表 '!F8,"#,##0.00"))</f>
        <v>-</v>
      </c>
      <c r="D19" s="435">
        <f>'合并资产负债表 '!F8</f>
        <v>0</v>
      </c>
      <c r="G19" s="585"/>
    </row>
    <row r="20" spans="1:7">
      <c r="A20" s="434" t="s">
        <v>458</v>
      </c>
      <c r="B20" s="432" t="str">
        <f t="shared" si="0"/>
        <v>-</v>
      </c>
      <c r="C20" s="435" t="str">
        <f>IF('合并资产负债表 '!F9=0,"-",TEXT('合并资产负债表 '!F9,"#,##0.00"))</f>
        <v>-</v>
      </c>
      <c r="D20" s="435">
        <f>'合并资产负债表 '!F9</f>
        <v>0</v>
      </c>
      <c r="G20" s="585"/>
    </row>
    <row r="21" spans="1:7">
      <c r="A21" s="434" t="s">
        <v>459</v>
      </c>
      <c r="B21" s="432" t="str">
        <f t="shared" si="0"/>
        <v>-</v>
      </c>
      <c r="C21" s="435" t="str">
        <f>IF('合并资产负债表 '!F10=0,"-",TEXT('合并资产负债表 '!F10,"#,##0.00"))</f>
        <v>-</v>
      </c>
      <c r="D21" s="435">
        <f>'合并资产负债表 '!F10</f>
        <v>0</v>
      </c>
      <c r="G21" s="585"/>
    </row>
    <row r="22" spans="1:7">
      <c r="A22" s="434" t="s">
        <v>460</v>
      </c>
      <c r="B22" s="432" t="str">
        <f t="shared" si="0"/>
        <v>-</v>
      </c>
      <c r="C22" s="435" t="str">
        <f>IF('合并资产负债表 '!F11=0,"-",TEXT('合并资产负债表 '!F11,"#,##0.00"))</f>
        <v>-</v>
      </c>
      <c r="D22" s="435">
        <f>'合并资产负债表 '!F11</f>
        <v>0</v>
      </c>
      <c r="G22" s="585"/>
    </row>
    <row r="23" spans="1:7">
      <c r="A23" s="434" t="s">
        <v>461</v>
      </c>
      <c r="B23" s="432" t="str">
        <f t="shared" si="0"/>
        <v>-</v>
      </c>
      <c r="C23" s="435" t="str">
        <f>IF('合并资产负债表 '!F12=0,"-",TEXT('合并资产负债表 '!F12,"#,##0.00"))</f>
        <v>-</v>
      </c>
      <c r="D23" s="435">
        <f>'合并资产负债表 '!F12</f>
        <v>0</v>
      </c>
      <c r="G23" s="585"/>
    </row>
    <row r="24" spans="1:7">
      <c r="A24" s="434" t="s">
        <v>462</v>
      </c>
      <c r="B24" s="432" t="str">
        <f t="shared" si="0"/>
        <v>-</v>
      </c>
      <c r="C24" s="435" t="str">
        <f>IF('合并资产负债表 '!F13=0,"-",TEXT('合并资产负债表 '!F13,"#,##0.00"))</f>
        <v>-</v>
      </c>
      <c r="D24" s="435">
        <f>'合并资产负债表 '!F13</f>
        <v>0</v>
      </c>
      <c r="G24" s="585"/>
    </row>
    <row r="25" spans="1:7">
      <c r="A25" s="434" t="s">
        <v>463</v>
      </c>
      <c r="B25" s="432" t="str">
        <f t="shared" si="0"/>
        <v>-</v>
      </c>
      <c r="C25" s="435" t="str">
        <f>IF('合并资产负债表 '!F14=0,"-",TEXT('合并资产负债表 '!F14,"#,##0.00"))</f>
        <v>-</v>
      </c>
      <c r="D25" s="435">
        <f>'合并资产负债表 '!F14</f>
        <v>0</v>
      </c>
      <c r="G25" s="585"/>
    </row>
    <row r="26" spans="1:7">
      <c r="A26" s="434" t="s">
        <v>464</v>
      </c>
      <c r="B26" s="432" t="str">
        <f t="shared" si="0"/>
        <v>-</v>
      </c>
      <c r="C26" s="435" t="str">
        <f>IF('合并资产负债表 '!F15=0,"-",TEXT('合并资产负债表 '!F15,"#,##0.00"))</f>
        <v>-</v>
      </c>
      <c r="D26" s="435">
        <f>'合并资产负债表 '!F15</f>
        <v>0</v>
      </c>
      <c r="G26" s="585"/>
    </row>
    <row r="27" spans="1:7">
      <c r="A27" s="434" t="s">
        <v>465</v>
      </c>
      <c r="B27" s="432" t="str">
        <f t="shared" si="0"/>
        <v>-</v>
      </c>
      <c r="C27" s="435" t="str">
        <f>IF('合并资产负债表 '!F16=0,"-",TEXT('合并资产负债表 '!F16,"#,##0.00"))</f>
        <v>-</v>
      </c>
      <c r="D27" s="435">
        <f>'合并资产负债表 '!F16</f>
        <v>0</v>
      </c>
      <c r="G27" s="585"/>
    </row>
    <row r="28" spans="1:7">
      <c r="A28" s="434" t="s">
        <v>466</v>
      </c>
      <c r="B28" s="432" t="str">
        <f t="shared" si="0"/>
        <v>-</v>
      </c>
      <c r="C28" s="435" t="str">
        <f>IF('合并资产负债表 '!F17=0,"-",TEXT('合并资产负债表 '!F17,"#,##0.00"))</f>
        <v>-</v>
      </c>
      <c r="D28" s="435">
        <f>'合并资产负债表 '!F17</f>
        <v>0</v>
      </c>
      <c r="G28" s="585"/>
    </row>
    <row r="29" spans="1:7">
      <c r="A29" s="434" t="s">
        <v>467</v>
      </c>
      <c r="B29" s="432" t="str">
        <f t="shared" si="0"/>
        <v>-</v>
      </c>
      <c r="C29" s="435" t="str">
        <f>IF('合并资产负债表 '!F18=0,"-",TEXT('合并资产负债表 '!F18,"#,##0.00"))</f>
        <v>-</v>
      </c>
      <c r="D29" s="435">
        <f>'合并资产负债表 '!F18</f>
        <v>0</v>
      </c>
      <c r="G29" s="585"/>
    </row>
    <row r="30" spans="1:7">
      <c r="A30" s="434" t="s">
        <v>468</v>
      </c>
      <c r="B30" s="432" t="str">
        <f t="shared" si="0"/>
        <v>-</v>
      </c>
      <c r="C30" s="435" t="str">
        <f>IF('合并资产负债表 '!F19=0,"-",TEXT('合并资产负债表 '!F19,"#,##0.00"))</f>
        <v>-</v>
      </c>
      <c r="D30" s="435">
        <f>'合并资产负债表 '!F19</f>
        <v>0</v>
      </c>
      <c r="G30" s="585"/>
    </row>
    <row r="31" spans="1:7">
      <c r="A31" s="434" t="s">
        <v>469</v>
      </c>
      <c r="B31" s="432" t="str">
        <f t="shared" si="0"/>
        <v>-</v>
      </c>
      <c r="C31" s="435" t="str">
        <f>IF('合并资产负债表 '!F21=0,"-",TEXT('合并资产负债表 '!F21,"#,##0.00"))</f>
        <v>-</v>
      </c>
      <c r="D31" s="435">
        <f>'合并资产负债表 '!F21</f>
        <v>0</v>
      </c>
      <c r="G31" s="585"/>
    </row>
    <row r="32" spans="1:7">
      <c r="A32" s="434" t="s">
        <v>470</v>
      </c>
      <c r="B32" s="432" t="str">
        <f t="shared" si="0"/>
        <v>-</v>
      </c>
      <c r="C32" s="435" t="str">
        <f>IF('合并资产负债表 '!F22=0,"-",TEXT('合并资产负债表 '!F22,"#,##0.00"))</f>
        <v>-</v>
      </c>
      <c r="D32" s="435">
        <f>'合并资产负债表 '!F22</f>
        <v>0</v>
      </c>
      <c r="G32" s="585"/>
    </row>
    <row r="33" spans="1:7">
      <c r="A33" s="434" t="s">
        <v>471</v>
      </c>
      <c r="B33" s="432" t="str">
        <f t="shared" si="0"/>
        <v>-</v>
      </c>
      <c r="C33" s="435" t="str">
        <f>IF('合并资产负债表 '!F23=0,"-",TEXT('合并资产负债表 '!F23,"#,##0.00"))</f>
        <v>-</v>
      </c>
      <c r="D33" s="435">
        <f>'合并资产负债表 '!F23</f>
        <v>0</v>
      </c>
      <c r="G33" s="585"/>
    </row>
    <row r="34" spans="1:7">
      <c r="A34" s="434" t="s">
        <v>472</v>
      </c>
      <c r="B34" s="432" t="str">
        <f t="shared" si="0"/>
        <v>-</v>
      </c>
      <c r="C34" s="435" t="str">
        <f>IF('合并资产负债表 '!F24=0,"-",TEXT('合并资产负债表 '!F24,"#,##0.00"))</f>
        <v>-</v>
      </c>
      <c r="D34" s="435">
        <f>'合并资产负债表 '!F24</f>
        <v>0</v>
      </c>
      <c r="G34" s="585"/>
    </row>
    <row r="35" spans="1:7">
      <c r="A35" s="434" t="s">
        <v>473</v>
      </c>
      <c r="B35" s="432" t="str">
        <f t="shared" si="0"/>
        <v>-</v>
      </c>
      <c r="C35" s="435" t="str">
        <f>IF('合并资产负债表 '!F25=0,"-",TEXT('合并资产负债表 '!F25,"#,##0.00"))</f>
        <v>-</v>
      </c>
      <c r="D35" s="435">
        <f>'合并资产负债表 '!F25</f>
        <v>0</v>
      </c>
      <c r="G35" s="585"/>
    </row>
    <row r="36" spans="1:7">
      <c r="A36" s="434" t="s">
        <v>474</v>
      </c>
      <c r="B36" s="432" t="str">
        <f t="shared" si="0"/>
        <v>-</v>
      </c>
      <c r="C36" s="435" t="str">
        <f>IF('合并资产负债表 '!F26=0,"-",TEXT('合并资产负债表 '!F26,"#,##0.00"))</f>
        <v>-</v>
      </c>
      <c r="D36" s="435">
        <f>'合并资产负债表 '!F26</f>
        <v>0</v>
      </c>
      <c r="G36" s="585"/>
    </row>
    <row r="37" spans="1:7">
      <c r="A37" s="434" t="s">
        <v>475</v>
      </c>
      <c r="B37" s="432" t="str">
        <f t="shared" si="0"/>
        <v>-</v>
      </c>
      <c r="C37" s="435" t="str">
        <f>IF('合并资产负债表 '!F27=0,"-",TEXT('合并资产负债表 '!F27,"#,##0.00"))</f>
        <v>-</v>
      </c>
      <c r="D37" s="435">
        <f>'合并资产负债表 '!F27</f>
        <v>0</v>
      </c>
      <c r="G37" s="585"/>
    </row>
    <row r="38" spans="1:7">
      <c r="A38" s="434" t="s">
        <v>476</v>
      </c>
      <c r="B38" s="432" t="str">
        <f t="shared" si="0"/>
        <v>-</v>
      </c>
      <c r="C38" s="435" t="str">
        <f>IF('合并资产负债表 '!F28=0,"-",TEXT('合并资产负债表 '!F28,"#,##0.00"))</f>
        <v>-</v>
      </c>
      <c r="D38" s="435">
        <f>'合并资产负债表 '!F28</f>
        <v>0</v>
      </c>
      <c r="G38" s="585"/>
    </row>
    <row r="39" spans="1:7">
      <c r="A39" s="434" t="s">
        <v>477</v>
      </c>
      <c r="B39" s="432" t="str">
        <f t="shared" si="0"/>
        <v>-</v>
      </c>
      <c r="C39" s="435" t="str">
        <f>IF('合并资产负债表 '!F29=0,"-",TEXT('合并资产负债表 '!F29,"#,##0.00"))</f>
        <v>-</v>
      </c>
      <c r="D39" s="435">
        <f>'合并资产负债表 '!F29</f>
        <v>0</v>
      </c>
      <c r="G39" s="585"/>
    </row>
    <row r="40" spans="1:7">
      <c r="A40" s="434" t="s">
        <v>478</v>
      </c>
      <c r="B40" s="432" t="str">
        <f t="shared" si="0"/>
        <v>-</v>
      </c>
      <c r="C40" s="435" t="str">
        <f>IF('合并资产负债表 '!F30=0,"-",TEXT('合并资产负债表 '!F30,"#,##0.00"))</f>
        <v>-</v>
      </c>
      <c r="D40" s="435">
        <f>'合并资产负债表 '!F30</f>
        <v>0</v>
      </c>
      <c r="G40" s="585"/>
    </row>
    <row r="41" spans="1:7">
      <c r="A41" s="434" t="s">
        <v>479</v>
      </c>
      <c r="B41" s="432" t="str">
        <f t="shared" si="0"/>
        <v>-</v>
      </c>
      <c r="C41" s="435" t="str">
        <f>IF('合并资产负债表 '!F31=0,"-",TEXT('合并资产负债表 '!F31,"#,##0.00"))</f>
        <v>-</v>
      </c>
      <c r="D41" s="435">
        <f>'合并资产负债表 '!F31</f>
        <v>0</v>
      </c>
      <c r="G41" s="585"/>
    </row>
    <row r="42" spans="1:7">
      <c r="A42" s="434" t="s">
        <v>480</v>
      </c>
      <c r="B42" s="432" t="str">
        <f t="shared" si="0"/>
        <v>-</v>
      </c>
      <c r="C42" s="435" t="str">
        <f>IF('合并资产负债表 '!F32=0,"-",TEXT('合并资产负债表 '!F32,"#,##0.00"))</f>
        <v>-</v>
      </c>
      <c r="D42" s="435">
        <f>'合并资产负债表 '!F32</f>
        <v>0</v>
      </c>
      <c r="G42" s="585"/>
    </row>
    <row r="43" spans="1:7">
      <c r="A43" s="434" t="s">
        <v>481</v>
      </c>
      <c r="B43" s="432" t="str">
        <f t="shared" si="0"/>
        <v>-</v>
      </c>
      <c r="C43" s="435" t="str">
        <f>IF('合并资产负债表 '!F33=0,"-",TEXT('合并资产负债表 '!F33,"#,##0.00"))</f>
        <v>-</v>
      </c>
      <c r="D43" s="435">
        <f>'合并资产负债表 '!F33</f>
        <v>0</v>
      </c>
      <c r="G43" s="585"/>
    </row>
    <row r="44" spans="1:7">
      <c r="A44" s="434" t="s">
        <v>482</v>
      </c>
      <c r="B44" s="432" t="str">
        <f t="shared" si="0"/>
        <v>-</v>
      </c>
      <c r="C44" s="435" t="str">
        <f>IF('合并资产负债表 '!F34=0,"-",TEXT('合并资产负债表 '!F34,"#,##0.00"))</f>
        <v>-</v>
      </c>
      <c r="D44" s="435">
        <f>'合并资产负债表 '!F34</f>
        <v>0</v>
      </c>
      <c r="G44" s="585"/>
    </row>
    <row r="45" spans="1:7">
      <c r="A45" s="434" t="s">
        <v>483</v>
      </c>
      <c r="B45" s="432" t="str">
        <f t="shared" si="0"/>
        <v>-</v>
      </c>
      <c r="C45" s="435" t="str">
        <f>IF('合并资产负债表 '!F35=0,"-",TEXT('合并资产负债表 '!F35,"#,##0.00"))</f>
        <v>-</v>
      </c>
      <c r="D45" s="435">
        <f>'合并资产负债表 '!F35</f>
        <v>0</v>
      </c>
      <c r="G45" s="585"/>
    </row>
    <row r="46" spans="1:7">
      <c r="A46" s="434" t="s">
        <v>484</v>
      </c>
      <c r="B46" s="432" t="str">
        <f t="shared" si="0"/>
        <v>-</v>
      </c>
      <c r="C46" s="435" t="str">
        <f>IF('合并资产负债表 '!F36=0,"-",TEXT('合并资产负债表 '!F36,"#,##0.00"))</f>
        <v>-</v>
      </c>
      <c r="D46" s="435">
        <f>'合并资产负债表 '!F36</f>
        <v>0</v>
      </c>
      <c r="G46" s="585"/>
    </row>
    <row r="47" spans="1:7">
      <c r="A47" s="434" t="s">
        <v>485</v>
      </c>
      <c r="B47" s="432" t="str">
        <f t="shared" si="0"/>
        <v>-</v>
      </c>
      <c r="C47" s="435" t="str">
        <f>IF('合并资产负债表 '!F37=0,"-",TEXT('合并资产负债表 '!F37,"#,##0.00"))</f>
        <v>-</v>
      </c>
      <c r="D47" s="435">
        <f>'合并资产负债表 '!F37</f>
        <v>0</v>
      </c>
      <c r="G47" s="585"/>
    </row>
    <row r="48" spans="1:7">
      <c r="A48" s="434" t="s">
        <v>486</v>
      </c>
      <c r="B48" s="432" t="str">
        <f t="shared" si="0"/>
        <v>-</v>
      </c>
      <c r="C48" s="435" t="str">
        <f>IF('合并资产负债表 '!F39=0,"-",TEXT('合并资产负债表 '!F39,"#,##0.00"))</f>
        <v>-</v>
      </c>
      <c r="D48" s="435">
        <f>'合并资产负债表 '!F39</f>
        <v>0</v>
      </c>
      <c r="G48" s="585"/>
    </row>
    <row r="49" spans="1:7">
      <c r="A49" s="434" t="s">
        <v>487</v>
      </c>
      <c r="B49" s="432" t="str">
        <f t="shared" si="0"/>
        <v>-</v>
      </c>
      <c r="C49" s="435" t="str">
        <f>IF('合并资产负债表 '!F40=0,"-",TEXT('合并资产负债表 '!F40,"#,##0.00"))</f>
        <v>-</v>
      </c>
      <c r="D49" s="435">
        <f>'合并资产负债表 '!F40</f>
        <v>0</v>
      </c>
      <c r="G49" s="585"/>
    </row>
    <row r="50" spans="1:7">
      <c r="A50" s="434" t="s">
        <v>488</v>
      </c>
      <c r="B50" s="432" t="str">
        <f t="shared" si="0"/>
        <v>-</v>
      </c>
      <c r="C50" s="435" t="str">
        <f>IF('合并资产负债表 '!F41=0,"-",TEXT('合并资产负债表 '!F41,"#,##0.00"))</f>
        <v>-</v>
      </c>
      <c r="D50" s="435">
        <f>'合并资产负债表 '!F41</f>
        <v>0</v>
      </c>
      <c r="G50" s="585"/>
    </row>
    <row r="51" spans="1:7">
      <c r="A51" s="434" t="s">
        <v>489</v>
      </c>
      <c r="B51" s="432" t="str">
        <f t="shared" si="0"/>
        <v>-</v>
      </c>
      <c r="C51" s="435" t="str">
        <f>IF('合并资产负债表 '!F42=0,"-",TEXT('合并资产负债表 '!F42,"#,##0.00"))</f>
        <v>-</v>
      </c>
      <c r="D51" s="435">
        <f>'合并资产负债表 '!F42</f>
        <v>0</v>
      </c>
      <c r="G51" s="585"/>
    </row>
    <row r="52" spans="1:7">
      <c r="A52" s="434" t="s">
        <v>490</v>
      </c>
      <c r="B52" s="432" t="str">
        <f t="shared" si="0"/>
        <v>-</v>
      </c>
      <c r="C52" s="435" t="str">
        <f>IF('合并资产负债表 '!F43=0,"-",TEXT('合并资产负债表 '!F43,"#,##0.00"))</f>
        <v>-</v>
      </c>
      <c r="D52" s="435">
        <f>'合并资产负债表 '!F43</f>
        <v>0</v>
      </c>
      <c r="G52" s="585"/>
    </row>
    <row r="53" spans="1:7">
      <c r="A53" s="434" t="s">
        <v>491</v>
      </c>
      <c r="B53" s="432" t="str">
        <f t="shared" si="0"/>
        <v>-</v>
      </c>
      <c r="C53" s="435" t="str">
        <f>IF('合并资产负债表 '!F44=0,"-",TEXT('合并资产负债表 '!F44,"#,##0.00"))</f>
        <v>-</v>
      </c>
      <c r="D53" s="435">
        <f>'合并资产负债表 '!F44</f>
        <v>0</v>
      </c>
      <c r="G53" s="585"/>
    </row>
    <row r="54" spans="1:7">
      <c r="A54" s="434" t="s">
        <v>492</v>
      </c>
      <c r="B54" s="432" t="str">
        <f t="shared" si="0"/>
        <v>-</v>
      </c>
      <c r="C54" s="435" t="str">
        <f>IF('合并资产负债表 '!F45=0,"-",TEXT('合并资产负债表 '!F45,"#,##0.00"))</f>
        <v>-</v>
      </c>
      <c r="D54" s="435">
        <f>'合并资产负债表 '!F45</f>
        <v>0</v>
      </c>
      <c r="G54" s="585"/>
    </row>
    <row r="55" spans="1:7">
      <c r="A55" s="434" t="s">
        <v>493</v>
      </c>
      <c r="B55" s="432" t="str">
        <f t="shared" si="0"/>
        <v>-</v>
      </c>
      <c r="C55" s="435" t="str">
        <f>IF('合并资产负债表 '!F46=0,"-",TEXT('合并资产负债表 '!F46,"#,##0.00"))</f>
        <v>-</v>
      </c>
      <c r="D55" s="435">
        <f>'合并资产负债表 '!F46</f>
        <v>0</v>
      </c>
      <c r="G55" s="585"/>
    </row>
    <row r="56" spans="1:7">
      <c r="A56" s="434" t="s">
        <v>494</v>
      </c>
      <c r="B56" s="432" t="str">
        <f t="shared" si="0"/>
        <v>-</v>
      </c>
      <c r="C56" s="435" t="str">
        <f>IF('合并资产负债表 '!F47=0,"-",TEXT('合并资产负债表 '!F47,"#,##0.00"))</f>
        <v>-</v>
      </c>
      <c r="D56" s="435">
        <f>'合并资产负债表 '!F47</f>
        <v>0</v>
      </c>
      <c r="G56" s="585"/>
    </row>
    <row r="57" spans="1:7">
      <c r="A57" s="434" t="s">
        <v>495</v>
      </c>
      <c r="B57" s="432" t="str">
        <f t="shared" si="0"/>
        <v>-</v>
      </c>
      <c r="C57" s="435" t="str">
        <f>IF('合并资产负债表 '!F48=0,"-",TEXT('合并资产负债表 '!F48,"#,##0.00"))</f>
        <v>-</v>
      </c>
      <c r="D57" s="435">
        <f>'合并资产负债表 '!F48</f>
        <v>0</v>
      </c>
      <c r="G57" s="585"/>
    </row>
    <row r="58" spans="1:7">
      <c r="A58" s="434" t="s">
        <v>496</v>
      </c>
      <c r="B58" s="432" t="str">
        <f t="shared" si="0"/>
        <v>-</v>
      </c>
      <c r="C58" s="435" t="str">
        <f>IF('合并资产负债表 '!F49=0,"-",TEXT('合并资产负债表 '!F49,"#,##0.00"))</f>
        <v>-</v>
      </c>
      <c r="D58" s="435">
        <f>'合并资产负债表 '!F49</f>
        <v>0</v>
      </c>
      <c r="G58" s="585"/>
    </row>
    <row r="59" spans="1:7">
      <c r="A59" s="434" t="s">
        <v>497</v>
      </c>
      <c r="B59" s="432" t="str">
        <f t="shared" si="0"/>
        <v>-</v>
      </c>
      <c r="C59" s="435" t="str">
        <f>IF('合并资产负债表 '!F50=0,"-",TEXT('合并资产负债表 '!F50,"#,##0.00"))</f>
        <v>-</v>
      </c>
      <c r="D59" s="435">
        <f>'合并资产负债表 '!F50</f>
        <v>0</v>
      </c>
      <c r="G59" s="585"/>
    </row>
    <row r="60" spans="1:7">
      <c r="A60" s="434" t="s">
        <v>498</v>
      </c>
      <c r="B60" s="432" t="str">
        <f t="shared" si="0"/>
        <v>-</v>
      </c>
      <c r="C60" s="435" t="str">
        <f>IF('合并资产负债表 '!F51=0,"-",TEXT('合并资产负债表 '!F51,"#,##0.00"))</f>
        <v>-</v>
      </c>
      <c r="D60" s="435">
        <f>'合并资产负债表 '!F51</f>
        <v>0</v>
      </c>
      <c r="G60" s="585"/>
    </row>
    <row r="61" spans="1:7">
      <c r="A61" s="434" t="s">
        <v>499</v>
      </c>
      <c r="B61" s="432" t="str">
        <f t="shared" si="0"/>
        <v>-</v>
      </c>
      <c r="C61" s="435" t="str">
        <f>IF('合并资产负债表 '!F52=0,"-",TEXT('合并资产负债表 '!F52,"#,##0.00"))</f>
        <v>-</v>
      </c>
      <c r="D61" s="435">
        <f>'合并资产负债表 '!F52</f>
        <v>0</v>
      </c>
      <c r="G61" s="585"/>
    </row>
    <row r="62" spans="1:7">
      <c r="A62" s="434" t="s">
        <v>500</v>
      </c>
      <c r="B62" s="432" t="str">
        <f t="shared" si="0"/>
        <v>-</v>
      </c>
      <c r="C62" s="435" t="str">
        <f>IF('合并资产负债表 '!F53=0,"-",TEXT('合并资产负债表 '!F53,"#,##0.00"))</f>
        <v>-</v>
      </c>
      <c r="D62" s="435">
        <f>'合并资产负债表 '!F53</f>
        <v>0</v>
      </c>
      <c r="G62" s="585"/>
    </row>
    <row r="63" spans="1:7">
      <c r="A63" s="434" t="s">
        <v>501</v>
      </c>
      <c r="B63" s="432" t="str">
        <f t="shared" si="0"/>
        <v>-</v>
      </c>
      <c r="C63" s="435" t="str">
        <f>IF('合并资产负债表 '!F54=0,"-",TEXT('合并资产负债表 '!F54,"#,##0.00"))</f>
        <v>-</v>
      </c>
      <c r="D63" s="435">
        <f>'合并资产负债表 '!F54</f>
        <v>0</v>
      </c>
      <c r="G63" s="585"/>
    </row>
    <row r="64" spans="1:7">
      <c r="A64" s="434" t="s">
        <v>502</v>
      </c>
      <c r="B64" s="432" t="str">
        <f t="shared" si="0"/>
        <v>-</v>
      </c>
      <c r="C64" s="435" t="str">
        <f>IF('合并资产负债表 '!F56=0,"-",TEXT('合并资产负债表 '!F56,"#,##0.00"))</f>
        <v>-</v>
      </c>
      <c r="D64" s="435">
        <f>'合并资产负债表 '!F56</f>
        <v>0</v>
      </c>
      <c r="G64" s="585"/>
    </row>
    <row r="65" spans="1:7">
      <c r="A65" s="434" t="s">
        <v>503</v>
      </c>
      <c r="B65" s="432" t="str">
        <f t="shared" si="0"/>
        <v>-</v>
      </c>
      <c r="C65" s="435" t="str">
        <f>IF('合并资产负债表 '!F57=0,"-",TEXT('合并资产负债表 '!F57,"#,##0.00"))</f>
        <v>-</v>
      </c>
      <c r="D65" s="435">
        <f>'合并资产负债表 '!F57</f>
        <v>0</v>
      </c>
      <c r="G65" s="585"/>
    </row>
    <row r="66" spans="1:7">
      <c r="A66" s="434" t="s">
        <v>504</v>
      </c>
      <c r="B66" s="432" t="str">
        <f t="shared" si="0"/>
        <v>-</v>
      </c>
      <c r="C66" s="435" t="str">
        <f>IF('合并资产负债表 '!F58=0,"-",TEXT('合并资产负债表 '!F58,"#,##0.00"))</f>
        <v>-</v>
      </c>
      <c r="D66" s="435">
        <f>'合并资产负债表 '!F58</f>
        <v>0</v>
      </c>
      <c r="G66" s="585"/>
    </row>
    <row r="67" spans="1:7">
      <c r="A67" s="434" t="s">
        <v>505</v>
      </c>
      <c r="B67" s="432" t="str">
        <f t="shared" si="0"/>
        <v>-</v>
      </c>
      <c r="C67" s="435" t="str">
        <f>IF('合并资产负债表 '!F59=0,"-",TEXT('合并资产负债表 '!F59,"#,##0.00"))</f>
        <v>-</v>
      </c>
      <c r="D67" s="435">
        <f>'合并资产负债表 '!F59</f>
        <v>0</v>
      </c>
      <c r="G67" s="585"/>
    </row>
    <row r="68" spans="1:7">
      <c r="A68" s="434" t="s">
        <v>506</v>
      </c>
      <c r="B68" s="432" t="str">
        <f t="shared" ref="B68:B131" si="1">TRIM(C68)</f>
        <v>-</v>
      </c>
      <c r="C68" s="435" t="str">
        <f>IF('合并资产负债表 '!F60=0,"-",TEXT('合并资产负债表 '!F60,"#,##0.00"))</f>
        <v>-</v>
      </c>
      <c r="D68" s="435">
        <f>'合并资产负债表 '!F60</f>
        <v>0</v>
      </c>
      <c r="G68" s="585"/>
    </row>
    <row r="69" spans="1:7">
      <c r="A69" s="434" t="s">
        <v>507</v>
      </c>
      <c r="B69" s="432" t="str">
        <f t="shared" si="1"/>
        <v>-</v>
      </c>
      <c r="C69" s="435" t="str">
        <f>IF('合并资产负债表 '!F61=0,"-",TEXT('合并资产负债表 '!F61,"#,##0.00"))</f>
        <v>-</v>
      </c>
      <c r="D69" s="435">
        <f>'合并资产负债表 '!F61</f>
        <v>0</v>
      </c>
      <c r="G69" s="585"/>
    </row>
    <row r="70" spans="1:7">
      <c r="A70" s="434" t="s">
        <v>508</v>
      </c>
      <c r="B70" s="432" t="str">
        <f t="shared" si="1"/>
        <v>-</v>
      </c>
      <c r="C70" s="435" t="str">
        <f>IF('合并资产负债表 '!F62=0,"-",TEXT('合并资产负债表 '!F62,"#,##0.00"))</f>
        <v>-</v>
      </c>
      <c r="D70" s="435">
        <f>'合并资产负债表 '!F62</f>
        <v>0</v>
      </c>
      <c r="G70" s="585"/>
    </row>
    <row r="71" spans="1:7">
      <c r="A71" s="434" t="s">
        <v>509</v>
      </c>
      <c r="B71" s="432" t="str">
        <f t="shared" si="1"/>
        <v>-</v>
      </c>
      <c r="C71" s="435" t="str">
        <f>IF('合并资产负债表 '!F63=0,"-",TEXT('合并资产负债表 '!F63,"#,##0.00"))</f>
        <v>-</v>
      </c>
      <c r="D71" s="435">
        <f>'合并资产负债表 '!F63</f>
        <v>0</v>
      </c>
      <c r="G71" s="585"/>
    </row>
    <row r="72" spans="1:7">
      <c r="A72" s="434" t="s">
        <v>510</v>
      </c>
      <c r="B72" s="432" t="str">
        <f t="shared" si="1"/>
        <v>-</v>
      </c>
      <c r="C72" s="435" t="str">
        <f>IF('合并资产负债表 '!F64=0,"-",TEXT('合并资产负债表 '!F64,"#,##0.00"))</f>
        <v>-</v>
      </c>
      <c r="D72" s="435">
        <f>'合并资产负债表 '!F64</f>
        <v>0</v>
      </c>
      <c r="G72" s="585"/>
    </row>
    <row r="73" spans="1:7">
      <c r="A73" s="434" t="s">
        <v>511</v>
      </c>
      <c r="B73" s="432" t="str">
        <f t="shared" si="1"/>
        <v>-</v>
      </c>
      <c r="C73" s="435" t="str">
        <f>IF('合并资产负债表 '!F65=0,"-",TEXT('合并资产负债表 '!F65,"#,##0.00"))</f>
        <v>-</v>
      </c>
      <c r="D73" s="435">
        <f>'合并资产负债表 '!F65</f>
        <v>0</v>
      </c>
      <c r="G73" s="585"/>
    </row>
    <row r="74" spans="1:7">
      <c r="A74" s="434" t="s">
        <v>512</v>
      </c>
      <c r="B74" s="432" t="str">
        <f t="shared" si="1"/>
        <v>-</v>
      </c>
      <c r="C74" s="435" t="str">
        <f>IF('合并资产负债表 '!F66=0,"-",TEXT('合并资产负债表 '!F66,"#,##0.00"))</f>
        <v>-</v>
      </c>
      <c r="D74" s="435">
        <f>'合并资产负债表 '!F66</f>
        <v>0</v>
      </c>
      <c r="G74" s="585"/>
    </row>
    <row r="75" spans="1:7">
      <c r="A75" s="434" t="s">
        <v>513</v>
      </c>
      <c r="B75" s="432" t="str">
        <f t="shared" si="1"/>
        <v>-</v>
      </c>
      <c r="C75" s="435" t="str">
        <f>IF('合并资产负债表 '!F67=0,"-",TEXT('合并资产负债表 '!F67,"#,##0.00"))</f>
        <v>-</v>
      </c>
      <c r="D75" s="435">
        <f>'合并资产负债表 '!F67</f>
        <v>0</v>
      </c>
      <c r="G75" s="585"/>
    </row>
    <row r="76" spans="1:7">
      <c r="A76" s="434" t="s">
        <v>514</v>
      </c>
      <c r="B76" s="432" t="str">
        <f t="shared" si="1"/>
        <v>-</v>
      </c>
      <c r="C76" s="435" t="str">
        <f>IF('合并资产负债表 '!F68=0,"-",TEXT('合并资产负债表 '!F68,"#,##0.00"))</f>
        <v>-</v>
      </c>
      <c r="D76" s="435">
        <f>'合并资产负债表 '!F68</f>
        <v>0</v>
      </c>
      <c r="G76" s="585"/>
    </row>
    <row r="77" spans="1:7">
      <c r="A77" s="434" t="s">
        <v>515</v>
      </c>
      <c r="B77" s="432" t="str">
        <f t="shared" si="1"/>
        <v>-</v>
      </c>
      <c r="C77" s="435" t="str">
        <f>IF('合并资产负债表 '!F70=0,"-",TEXT('合并资产负债表 '!F70,"#,##0.00"))</f>
        <v>-</v>
      </c>
      <c r="D77" s="435">
        <f>'合并资产负债表 '!F70</f>
        <v>0</v>
      </c>
      <c r="G77" s="585"/>
    </row>
    <row r="78" spans="1:7">
      <c r="A78" s="434" t="s">
        <v>516</v>
      </c>
      <c r="B78" s="432" t="str">
        <f t="shared" si="1"/>
        <v>-</v>
      </c>
      <c r="C78" s="435" t="str">
        <f>IF('合并资产负债表 '!F71=0,"-",TEXT('合并资产负债表 '!F71,"#,##0.00"))</f>
        <v>-</v>
      </c>
      <c r="D78" s="435">
        <f>'合并资产负债表 '!F71</f>
        <v>0</v>
      </c>
      <c r="G78" s="585"/>
    </row>
    <row r="79" spans="1:7">
      <c r="A79" s="434" t="s">
        <v>517</v>
      </c>
      <c r="B79" s="432" t="str">
        <f t="shared" si="1"/>
        <v>-</v>
      </c>
      <c r="C79" s="435" t="str">
        <f>IF('合并资产负债表 '!F72=0,"-",TEXT('合并资产负债表 '!F72,"#,##0.00"))</f>
        <v>-</v>
      </c>
      <c r="D79" s="435">
        <f>'合并资产负债表 '!F72</f>
        <v>0</v>
      </c>
      <c r="G79" s="585"/>
    </row>
    <row r="80" spans="1:7">
      <c r="A80" s="434" t="s">
        <v>518</v>
      </c>
      <c r="B80" s="432" t="str">
        <f t="shared" si="1"/>
        <v>-</v>
      </c>
      <c r="C80" s="435" t="str">
        <f>IF('合并资产负债表 '!F73=0,"-",TEXT('合并资产负债表 '!F73,"#,##0.00"))</f>
        <v>-</v>
      </c>
      <c r="D80" s="435">
        <f>'合并资产负债表 '!F73</f>
        <v>0</v>
      </c>
      <c r="G80" s="585"/>
    </row>
    <row r="81" spans="1:7">
      <c r="A81" s="434" t="s">
        <v>519</v>
      </c>
      <c r="B81" s="432" t="str">
        <f t="shared" si="1"/>
        <v>-</v>
      </c>
      <c r="C81" s="435" t="str">
        <f>IF('合并资产负债表 '!F74=0,"-",TEXT('合并资产负债表 '!F74,"#,##0.00"))</f>
        <v>-</v>
      </c>
      <c r="D81" s="435">
        <f>'合并资产负债表 '!F74</f>
        <v>0</v>
      </c>
      <c r="G81" s="585"/>
    </row>
    <row r="82" spans="1:7">
      <c r="A82" s="434" t="s">
        <v>520</v>
      </c>
      <c r="B82" s="432" t="str">
        <f t="shared" si="1"/>
        <v>-</v>
      </c>
      <c r="C82" s="435" t="str">
        <f>IF('合并资产负债表 '!F75=0,"-",TEXT('合并资产负债表 '!F75,"#,##0.00"))</f>
        <v>-</v>
      </c>
      <c r="D82" s="435">
        <f>'合并资产负债表 '!F75</f>
        <v>0</v>
      </c>
      <c r="G82" s="585"/>
    </row>
    <row r="83" spans="1:7">
      <c r="A83" s="434" t="s">
        <v>521</v>
      </c>
      <c r="B83" s="432" t="str">
        <f t="shared" si="1"/>
        <v>-</v>
      </c>
      <c r="C83" s="435" t="str">
        <f>IF('合并资产负债表 '!F76=0,"-",TEXT('合并资产负债表 '!F76,"#,##0.00"))</f>
        <v>-</v>
      </c>
      <c r="D83" s="435">
        <f>'合并资产负债表 '!F76</f>
        <v>0</v>
      </c>
      <c r="G83" s="585"/>
    </row>
    <row r="84" spans="1:7">
      <c r="A84" s="434" t="s">
        <v>522</v>
      </c>
      <c r="B84" s="432" t="str">
        <f t="shared" si="1"/>
        <v>-</v>
      </c>
      <c r="C84" s="435" t="str">
        <f>IF('合并资产负债表 '!F77=0,"-",TEXT('合并资产负债表 '!F77,"#,##0.00"))</f>
        <v>-</v>
      </c>
      <c r="D84" s="435">
        <f>'合并资产负债表 '!F77</f>
        <v>0</v>
      </c>
      <c r="G84" s="585"/>
    </row>
    <row r="85" spans="1:7">
      <c r="A85" s="434" t="s">
        <v>523</v>
      </c>
      <c r="B85" s="432" t="str">
        <f t="shared" si="1"/>
        <v>-</v>
      </c>
      <c r="C85" s="435" t="str">
        <f>IF('合并资产负债表 '!F78=0,"-",TEXT('合并资产负债表 '!F78,"#,##0.00"))</f>
        <v>-</v>
      </c>
      <c r="D85" s="435">
        <f>'合并资产负债表 '!F78</f>
        <v>0</v>
      </c>
      <c r="G85" s="585"/>
    </row>
    <row r="86" spans="1:7">
      <c r="A86" s="434" t="s">
        <v>524</v>
      </c>
      <c r="B86" s="432" t="str">
        <f t="shared" si="1"/>
        <v>-</v>
      </c>
      <c r="C86" s="435" t="str">
        <f>IF('合并资产负债表 '!F79=0,"-",TEXT('合并资产负债表 '!F79,"#,##0.00"))</f>
        <v>-</v>
      </c>
      <c r="D86" s="435">
        <f>'合并资产负债表 '!F79</f>
        <v>0</v>
      </c>
      <c r="G86" s="585"/>
    </row>
    <row r="87" spans="1:7">
      <c r="A87" s="434" t="s">
        <v>525</v>
      </c>
      <c r="B87" s="432" t="str">
        <f t="shared" si="1"/>
        <v>-</v>
      </c>
      <c r="C87" s="435" t="str">
        <f>IF('合并资产负债表 '!F80=0,"-",TEXT('合并资产负债表 '!F80,"#,##0.00"))</f>
        <v>-</v>
      </c>
      <c r="D87" s="435">
        <f>'合并资产负债表 '!F80</f>
        <v>0</v>
      </c>
      <c r="G87" s="585"/>
    </row>
    <row r="88" spans="1:7">
      <c r="A88" s="434" t="s">
        <v>526</v>
      </c>
      <c r="B88" s="432" t="str">
        <f t="shared" si="1"/>
        <v>-</v>
      </c>
      <c r="C88" s="435" t="str">
        <f>IF('合并资产负债表 '!F81=0,"-",TEXT('合并资产负债表 '!F81,"#,##0.00"))</f>
        <v>-</v>
      </c>
      <c r="D88" s="435">
        <f>'合并资产负债表 '!F81</f>
        <v>0</v>
      </c>
      <c r="G88" s="585"/>
    </row>
    <row r="89" spans="1:7">
      <c r="A89" s="434" t="s">
        <v>527</v>
      </c>
      <c r="B89" s="432" t="str">
        <f t="shared" si="1"/>
        <v>-</v>
      </c>
      <c r="C89" s="435" t="str">
        <f>IF('合并资产负债表 '!F82=0,"-",TEXT('合并资产负债表 '!F82,"#,##0.00"))</f>
        <v>-</v>
      </c>
      <c r="D89" s="435">
        <f>'合并资产负债表 '!F82</f>
        <v>0</v>
      </c>
      <c r="G89" s="585"/>
    </row>
    <row r="90" spans="1:7">
      <c r="A90" s="432" t="s">
        <v>528</v>
      </c>
      <c r="B90" s="432" t="str">
        <f t="shared" si="1"/>
        <v>-</v>
      </c>
      <c r="C90" s="435" t="str">
        <f>IF('合并资产负债表 '!G5=0,"-",TEXT('合并资产负债表 '!G5,"#,##0.00"))</f>
        <v>-</v>
      </c>
      <c r="D90" s="435">
        <f>'合并资产负债表 '!G5</f>
        <v>0</v>
      </c>
      <c r="G90" s="585"/>
    </row>
    <row r="91" spans="1:7">
      <c r="A91" s="432" t="s">
        <v>529</v>
      </c>
      <c r="B91" s="432" t="str">
        <f t="shared" si="1"/>
        <v>-</v>
      </c>
      <c r="C91" s="435" t="str">
        <f>IF('合并资产负债表 '!G6=0,"-",TEXT('合并资产负债表 '!G6,"#,##0.00"))</f>
        <v>-</v>
      </c>
      <c r="D91" s="435">
        <f>'合并资产负债表 '!G6</f>
        <v>0</v>
      </c>
      <c r="G91" s="585"/>
    </row>
    <row r="92" spans="1:7">
      <c r="A92" s="432" t="s">
        <v>3205</v>
      </c>
      <c r="B92" s="432" t="str">
        <f t="shared" si="1"/>
        <v>-</v>
      </c>
      <c r="C92" s="435" t="str">
        <f>IF('合并资产负债表 '!G7=0,"-",TEXT('合并资产负债表 '!G7,"#,##0.00"))</f>
        <v>-</v>
      </c>
      <c r="D92" s="435">
        <f>'合并资产负债表 '!G7</f>
        <v>0</v>
      </c>
      <c r="G92" s="585"/>
    </row>
    <row r="93" spans="1:7">
      <c r="A93" s="432" t="s">
        <v>3206</v>
      </c>
      <c r="B93" s="432" t="str">
        <f t="shared" si="1"/>
        <v>-</v>
      </c>
      <c r="C93" s="435" t="str">
        <f>IF('合并资产负债表 '!G8=0,"-",TEXT('合并资产负债表 '!G8,"#,##0.00"))</f>
        <v>-</v>
      </c>
      <c r="D93" s="435">
        <f>'合并资产负债表 '!G8</f>
        <v>0</v>
      </c>
      <c r="G93" s="585"/>
    </row>
    <row r="94" spans="1:7">
      <c r="A94" s="432" t="s">
        <v>530</v>
      </c>
      <c r="B94" s="432" t="str">
        <f t="shared" si="1"/>
        <v>-</v>
      </c>
      <c r="C94" s="435" t="str">
        <f>IF('合并资产负债表 '!G9=0,"-",TEXT('合并资产负债表 '!G9,"#,##0.00"))</f>
        <v>-</v>
      </c>
      <c r="D94" s="435">
        <f>'合并资产负债表 '!G9</f>
        <v>0</v>
      </c>
      <c r="G94" s="585"/>
    </row>
    <row r="95" spans="1:7">
      <c r="A95" s="432" t="s">
        <v>531</v>
      </c>
      <c r="B95" s="432" t="str">
        <f t="shared" si="1"/>
        <v>-</v>
      </c>
      <c r="C95" s="435" t="str">
        <f>IF('合并资产负债表 '!G10=0,"-",TEXT('合并资产负债表 '!G10,"#,##0.00"))</f>
        <v>-</v>
      </c>
      <c r="D95" s="435">
        <f>'合并资产负债表 '!G10</f>
        <v>0</v>
      </c>
      <c r="G95" s="585"/>
    </row>
    <row r="96" spans="1:7">
      <c r="A96" s="432" t="s">
        <v>532</v>
      </c>
      <c r="B96" s="432" t="str">
        <f t="shared" si="1"/>
        <v>-</v>
      </c>
      <c r="C96" s="435" t="str">
        <f>IF('合并资产负债表 '!G11=0,"-",TEXT('合并资产负债表 '!G11,"#,##0.00"))</f>
        <v>-</v>
      </c>
      <c r="D96" s="435">
        <f>'合并资产负债表 '!G11</f>
        <v>0</v>
      </c>
      <c r="G96" s="585"/>
    </row>
    <row r="97" spans="1:7">
      <c r="A97" s="432" t="s">
        <v>533</v>
      </c>
      <c r="B97" s="432" t="str">
        <f t="shared" si="1"/>
        <v>-</v>
      </c>
      <c r="C97" s="435" t="str">
        <f>IF('合并资产负债表 '!G12=0,"-",TEXT('合并资产负债表 '!G12,"#,##0.00"))</f>
        <v>-</v>
      </c>
      <c r="D97" s="435">
        <f>'合并资产负债表 '!G12</f>
        <v>0</v>
      </c>
      <c r="G97" s="585"/>
    </row>
    <row r="98" spans="1:7">
      <c r="A98" s="432" t="s">
        <v>534</v>
      </c>
      <c r="B98" s="432" t="str">
        <f t="shared" si="1"/>
        <v>-</v>
      </c>
      <c r="C98" s="435" t="str">
        <f>IF('合并资产负债表 '!G13=0,"-",TEXT('合并资产负债表 '!G13,"#,##0.00"))</f>
        <v>-</v>
      </c>
      <c r="D98" s="435">
        <f>'合并资产负债表 '!G13</f>
        <v>0</v>
      </c>
      <c r="G98" s="585"/>
    </row>
    <row r="99" spans="1:7">
      <c r="A99" s="432" t="s">
        <v>535</v>
      </c>
      <c r="B99" s="432" t="str">
        <f t="shared" si="1"/>
        <v>-</v>
      </c>
      <c r="C99" s="435" t="str">
        <f>IF('合并资产负债表 '!G14=0,"-",TEXT('合并资产负债表 '!G14,"#,##0.00"))</f>
        <v>-</v>
      </c>
      <c r="D99" s="435">
        <f>'合并资产负债表 '!G14</f>
        <v>0</v>
      </c>
      <c r="G99" s="585"/>
    </row>
    <row r="100" spans="1:7">
      <c r="A100" s="432" t="s">
        <v>536</v>
      </c>
      <c r="B100" s="432" t="str">
        <f t="shared" si="1"/>
        <v>-</v>
      </c>
      <c r="C100" s="435" t="str">
        <f>IF('合并资产负债表 '!G15=0,"-",TEXT('合并资产负债表 '!G15,"#,##0.00"))</f>
        <v>-</v>
      </c>
      <c r="D100" s="435">
        <f>'合并资产负债表 '!G15</f>
        <v>0</v>
      </c>
      <c r="G100" s="585"/>
    </row>
    <row r="101" spans="1:7">
      <c r="A101" s="432" t="s">
        <v>537</v>
      </c>
      <c r="B101" s="432" t="str">
        <f t="shared" si="1"/>
        <v>-</v>
      </c>
      <c r="C101" s="435" t="str">
        <f>IF('合并资产负债表 '!G16=0,"-",TEXT('合并资产负债表 '!G16,"#,##0.00"))</f>
        <v>-</v>
      </c>
      <c r="D101" s="435">
        <f>'合并资产负债表 '!G16</f>
        <v>0</v>
      </c>
      <c r="G101" s="585"/>
    </row>
    <row r="102" spans="1:7">
      <c r="A102" s="432" t="s">
        <v>538</v>
      </c>
      <c r="B102" s="432" t="str">
        <f t="shared" si="1"/>
        <v>-</v>
      </c>
      <c r="C102" s="435" t="str">
        <f>IF('合并资产负债表 '!G17=0,"-",TEXT('合并资产负债表 '!G17,"#,##0.00"))</f>
        <v>-</v>
      </c>
      <c r="D102" s="435">
        <f>'合并资产负债表 '!G17</f>
        <v>0</v>
      </c>
      <c r="G102" s="585"/>
    </row>
    <row r="103" spans="1:7">
      <c r="A103" s="432" t="s">
        <v>539</v>
      </c>
      <c r="B103" s="432" t="str">
        <f t="shared" si="1"/>
        <v>-</v>
      </c>
      <c r="C103" s="435" t="str">
        <f>IF('合并资产负债表 '!G18=0,"-",TEXT('合并资产负债表 '!G18,"#,##0.00"))</f>
        <v>-</v>
      </c>
      <c r="D103" s="435">
        <f>'合并资产负债表 '!G18</f>
        <v>0</v>
      </c>
      <c r="G103" s="585"/>
    </row>
    <row r="104" spans="1:7">
      <c r="A104" s="432" t="s">
        <v>540</v>
      </c>
      <c r="B104" s="432" t="str">
        <f t="shared" si="1"/>
        <v>-</v>
      </c>
      <c r="C104" s="435" t="str">
        <f>IF('合并资产负债表 '!G19=0,"-",TEXT('合并资产负债表 '!G19,"#,##0.00"))</f>
        <v>-</v>
      </c>
      <c r="D104" s="435">
        <f>'合并资产负债表 '!G19</f>
        <v>0</v>
      </c>
      <c r="G104" s="585"/>
    </row>
    <row r="105" spans="1:7">
      <c r="A105" s="432" t="s">
        <v>541</v>
      </c>
      <c r="B105" s="432" t="str">
        <f t="shared" si="1"/>
        <v>-</v>
      </c>
      <c r="C105" s="435" t="str">
        <f>IF('合并资产负债表 '!G21=0,"-",TEXT('合并资产负债表 '!G21,"#,##0.00"))</f>
        <v>-</v>
      </c>
      <c r="D105" s="435">
        <f>'合并资产负债表 '!G21</f>
        <v>0</v>
      </c>
      <c r="G105" s="585"/>
    </row>
    <row r="106" spans="1:7">
      <c r="A106" s="432" t="s">
        <v>542</v>
      </c>
      <c r="B106" s="432" t="str">
        <f t="shared" si="1"/>
        <v>-</v>
      </c>
      <c r="C106" s="435" t="str">
        <f>IF('合并资产负债表 '!G22=0,"-",TEXT('合并资产负债表 '!G22,"#,##0.00"))</f>
        <v>-</v>
      </c>
      <c r="D106" s="435">
        <f>'合并资产负债表 '!G22</f>
        <v>0</v>
      </c>
      <c r="G106" s="585"/>
    </row>
    <row r="107" spans="1:7">
      <c r="A107" s="432" t="s">
        <v>543</v>
      </c>
      <c r="B107" s="432" t="str">
        <f t="shared" si="1"/>
        <v>-</v>
      </c>
      <c r="C107" s="435" t="str">
        <f>IF('合并资产负债表 '!G23=0,"-",TEXT('合并资产负债表 '!G23,"#,##0.00"))</f>
        <v>-</v>
      </c>
      <c r="D107" s="435">
        <f>'合并资产负债表 '!G23</f>
        <v>0</v>
      </c>
      <c r="G107" s="585"/>
    </row>
    <row r="108" spans="1:7">
      <c r="A108" s="432" t="s">
        <v>544</v>
      </c>
      <c r="B108" s="432" t="str">
        <f t="shared" si="1"/>
        <v>-</v>
      </c>
      <c r="C108" s="435" t="str">
        <f>IF('合并资产负债表 '!G24=0,"-",TEXT('合并资产负债表 '!G24,"#,##0.00"))</f>
        <v>-</v>
      </c>
      <c r="D108" s="435">
        <f>'合并资产负债表 '!G24</f>
        <v>0</v>
      </c>
      <c r="G108" s="585"/>
    </row>
    <row r="109" spans="1:7">
      <c r="A109" s="432" t="s">
        <v>545</v>
      </c>
      <c r="B109" s="432" t="str">
        <f t="shared" si="1"/>
        <v>-</v>
      </c>
      <c r="C109" s="435" t="str">
        <f>IF('合并资产负债表 '!G25=0,"-",TEXT('合并资产负债表 '!G25,"#,##0.00"))</f>
        <v>-</v>
      </c>
      <c r="D109" s="435">
        <f>'合并资产负债表 '!G25</f>
        <v>0</v>
      </c>
      <c r="G109" s="585"/>
    </row>
    <row r="110" spans="1:7">
      <c r="A110" s="432" t="s">
        <v>546</v>
      </c>
      <c r="B110" s="432" t="str">
        <f t="shared" si="1"/>
        <v>-</v>
      </c>
      <c r="C110" s="435" t="str">
        <f>IF('合并资产负债表 '!G26=0,"-",TEXT('合并资产负债表 '!G26,"#,##0.00"))</f>
        <v>-</v>
      </c>
      <c r="D110" s="435">
        <f>'合并资产负债表 '!G26</f>
        <v>0</v>
      </c>
      <c r="G110" s="585"/>
    </row>
    <row r="111" spans="1:7">
      <c r="A111" s="432" t="s">
        <v>547</v>
      </c>
      <c r="B111" s="432" t="str">
        <f t="shared" si="1"/>
        <v>-</v>
      </c>
      <c r="C111" s="435" t="str">
        <f>IF('合并资产负债表 '!G27=0,"-",TEXT('合并资产负债表 '!G27,"#,##0.00"))</f>
        <v>-</v>
      </c>
      <c r="D111" s="435">
        <f>'合并资产负债表 '!G27</f>
        <v>0</v>
      </c>
      <c r="G111" s="585"/>
    </row>
    <row r="112" spans="1:7">
      <c r="A112" s="432" t="s">
        <v>548</v>
      </c>
      <c r="B112" s="432" t="str">
        <f t="shared" si="1"/>
        <v>-</v>
      </c>
      <c r="C112" s="435" t="str">
        <f>IF('合并资产负债表 '!G28=0,"-",TEXT('合并资产负债表 '!G28,"#,##0.00"))</f>
        <v>-</v>
      </c>
      <c r="D112" s="435">
        <f>'合并资产负债表 '!G28</f>
        <v>0</v>
      </c>
      <c r="G112" s="585"/>
    </row>
    <row r="113" spans="1:7">
      <c r="A113" s="432" t="s">
        <v>549</v>
      </c>
      <c r="B113" s="432" t="str">
        <f t="shared" si="1"/>
        <v>-</v>
      </c>
      <c r="C113" s="435" t="str">
        <f>IF('合并资产负债表 '!G29=0,"-",TEXT('合并资产负债表 '!G29,"#,##0.00"))</f>
        <v>-</v>
      </c>
      <c r="D113" s="435">
        <f>'合并资产负债表 '!G29</f>
        <v>0</v>
      </c>
      <c r="G113" s="585"/>
    </row>
    <row r="114" spans="1:7">
      <c r="A114" s="432" t="s">
        <v>550</v>
      </c>
      <c r="B114" s="432" t="str">
        <f t="shared" si="1"/>
        <v>-</v>
      </c>
      <c r="C114" s="435" t="str">
        <f>IF('合并资产负债表 '!G30=0,"-",TEXT('合并资产负债表 '!G30,"#,##0.00"))</f>
        <v>-</v>
      </c>
      <c r="D114" s="435">
        <f>'合并资产负债表 '!G30</f>
        <v>0</v>
      </c>
      <c r="G114" s="585"/>
    </row>
    <row r="115" spans="1:7">
      <c r="A115" s="432" t="s">
        <v>551</v>
      </c>
      <c r="B115" s="432" t="str">
        <f t="shared" si="1"/>
        <v>-</v>
      </c>
      <c r="C115" s="435" t="str">
        <f>IF('合并资产负债表 '!G31=0,"-",TEXT('合并资产负债表 '!G31,"#,##0.00"))</f>
        <v>-</v>
      </c>
      <c r="D115" s="435">
        <f>'合并资产负债表 '!G31</f>
        <v>0</v>
      </c>
      <c r="G115" s="585"/>
    </row>
    <row r="116" spans="1:7">
      <c r="A116" s="432" t="s">
        <v>552</v>
      </c>
      <c r="B116" s="432" t="str">
        <f t="shared" si="1"/>
        <v>-</v>
      </c>
      <c r="C116" s="435" t="str">
        <f>IF('合并资产负债表 '!G32=0,"-",TEXT('合并资产负债表 '!G32,"#,##0.00"))</f>
        <v>-</v>
      </c>
      <c r="D116" s="435">
        <f>'合并资产负债表 '!G32</f>
        <v>0</v>
      </c>
      <c r="G116" s="585"/>
    </row>
    <row r="117" spans="1:7">
      <c r="A117" s="432" t="s">
        <v>553</v>
      </c>
      <c r="B117" s="432" t="str">
        <f t="shared" si="1"/>
        <v>-</v>
      </c>
      <c r="C117" s="435" t="str">
        <f>IF('合并资产负债表 '!G33=0,"-",TEXT('合并资产负债表 '!G33,"#,##0.00"))</f>
        <v>-</v>
      </c>
      <c r="D117" s="435">
        <f>'合并资产负债表 '!G33</f>
        <v>0</v>
      </c>
      <c r="G117" s="585"/>
    </row>
    <row r="118" spans="1:7">
      <c r="A118" s="432" t="s">
        <v>554</v>
      </c>
      <c r="B118" s="432" t="str">
        <f t="shared" si="1"/>
        <v>-</v>
      </c>
      <c r="C118" s="435" t="str">
        <f>IF('合并资产负债表 '!G34=0,"-",TEXT('合并资产负债表 '!G34,"#,##0.00"))</f>
        <v>-</v>
      </c>
      <c r="D118" s="435">
        <f>'合并资产负债表 '!G34</f>
        <v>0</v>
      </c>
      <c r="G118" s="585"/>
    </row>
    <row r="119" spans="1:7">
      <c r="A119" s="432" t="s">
        <v>555</v>
      </c>
      <c r="B119" s="432" t="str">
        <f t="shared" si="1"/>
        <v>-</v>
      </c>
      <c r="C119" s="435" t="str">
        <f>IF('合并资产负债表 '!G35=0,"-",TEXT('合并资产负债表 '!G35,"#,##0.00"))</f>
        <v>-</v>
      </c>
      <c r="D119" s="435">
        <f>'合并资产负债表 '!G35</f>
        <v>0</v>
      </c>
      <c r="G119" s="585"/>
    </row>
    <row r="120" spans="1:7">
      <c r="A120" s="432" t="s">
        <v>556</v>
      </c>
      <c r="B120" s="432" t="str">
        <f t="shared" si="1"/>
        <v>-</v>
      </c>
      <c r="C120" s="435" t="str">
        <f>IF('合并资产负债表 '!G36=0,"-",TEXT('合并资产负债表 '!G36,"#,##0.00"))</f>
        <v>-</v>
      </c>
      <c r="D120" s="435">
        <f>'合并资产负债表 '!G36</f>
        <v>0</v>
      </c>
      <c r="G120" s="585"/>
    </row>
    <row r="121" spans="1:7">
      <c r="A121" s="432" t="s">
        <v>557</v>
      </c>
      <c r="B121" s="432" t="str">
        <f t="shared" si="1"/>
        <v>-</v>
      </c>
      <c r="C121" s="435" t="str">
        <f>IF('合并资产负债表 '!G37=0,"-",TEXT('合并资产负债表 '!G37,"#,##0.00"))</f>
        <v>-</v>
      </c>
      <c r="D121" s="435">
        <f>'合并资产负债表 '!G37</f>
        <v>0</v>
      </c>
      <c r="G121" s="585"/>
    </row>
    <row r="122" spans="1:7">
      <c r="A122" s="432" t="s">
        <v>558</v>
      </c>
      <c r="B122" s="432" t="str">
        <f t="shared" si="1"/>
        <v>-</v>
      </c>
      <c r="C122" s="435" t="str">
        <f>IF('合并资产负债表 '!G39=0,"-",TEXT('合并资产负债表 '!G39,"#,##0.00"))</f>
        <v>-</v>
      </c>
      <c r="D122" s="435">
        <f>'合并资产负债表 '!G39</f>
        <v>0</v>
      </c>
      <c r="G122" s="585"/>
    </row>
    <row r="123" spans="1:7">
      <c r="A123" s="432" t="s">
        <v>559</v>
      </c>
      <c r="B123" s="432" t="str">
        <f t="shared" si="1"/>
        <v>-</v>
      </c>
      <c r="C123" s="435" t="str">
        <f>IF('合并资产负债表 '!G40=0,"-",TEXT('合并资产负债表 '!G40,"#,##0.00"))</f>
        <v>-</v>
      </c>
      <c r="D123" s="435">
        <f>'合并资产负债表 '!G40</f>
        <v>0</v>
      </c>
      <c r="G123" s="585"/>
    </row>
    <row r="124" spans="1:7">
      <c r="A124" s="432" t="s">
        <v>560</v>
      </c>
      <c r="B124" s="432" t="str">
        <f t="shared" si="1"/>
        <v>-</v>
      </c>
      <c r="C124" s="435" t="str">
        <f>IF('合并资产负债表 '!G41=0,"-",TEXT('合并资产负债表 '!G41,"#,##0.00"))</f>
        <v>-</v>
      </c>
      <c r="D124" s="435">
        <f>'合并资产负债表 '!G41</f>
        <v>0</v>
      </c>
      <c r="G124" s="585"/>
    </row>
    <row r="125" spans="1:7">
      <c r="A125" s="432" t="s">
        <v>561</v>
      </c>
      <c r="B125" s="432" t="str">
        <f t="shared" si="1"/>
        <v>-</v>
      </c>
      <c r="C125" s="435" t="str">
        <f>IF('合并资产负债表 '!G42=0,"-",TEXT('合并资产负债表 '!G42,"#,##0.00"))</f>
        <v>-</v>
      </c>
      <c r="D125" s="435">
        <f>'合并资产负债表 '!G42</f>
        <v>0</v>
      </c>
      <c r="G125" s="585"/>
    </row>
    <row r="126" spans="1:7">
      <c r="A126" s="432" t="s">
        <v>562</v>
      </c>
      <c r="B126" s="432" t="str">
        <f t="shared" si="1"/>
        <v>-</v>
      </c>
      <c r="C126" s="435" t="str">
        <f>IF('合并资产负债表 '!G43=0,"-",TEXT('合并资产负债表 '!G43,"#,##0.00"))</f>
        <v>-</v>
      </c>
      <c r="D126" s="435">
        <f>'合并资产负债表 '!G43</f>
        <v>0</v>
      </c>
      <c r="G126" s="585"/>
    </row>
    <row r="127" spans="1:7">
      <c r="A127" s="432" t="s">
        <v>563</v>
      </c>
      <c r="B127" s="432" t="str">
        <f t="shared" si="1"/>
        <v>-</v>
      </c>
      <c r="C127" s="435" t="str">
        <f>IF('合并资产负债表 '!G44=0,"-",TEXT('合并资产负债表 '!G44,"#,##0.00"))</f>
        <v>-</v>
      </c>
      <c r="D127" s="435">
        <f>'合并资产负债表 '!G44</f>
        <v>0</v>
      </c>
      <c r="G127" s="585"/>
    </row>
    <row r="128" spans="1:7">
      <c r="A128" s="432" t="s">
        <v>564</v>
      </c>
      <c r="B128" s="432" t="str">
        <f t="shared" si="1"/>
        <v>-</v>
      </c>
      <c r="C128" s="435" t="str">
        <f>IF('合并资产负债表 '!G45=0,"-",TEXT('合并资产负债表 '!G45,"#,##0.00"))</f>
        <v>-</v>
      </c>
      <c r="D128" s="435">
        <f>'合并资产负债表 '!G45</f>
        <v>0</v>
      </c>
      <c r="G128" s="585"/>
    </row>
    <row r="129" spans="1:7">
      <c r="A129" s="432" t="s">
        <v>565</v>
      </c>
      <c r="B129" s="432" t="str">
        <f t="shared" si="1"/>
        <v>-</v>
      </c>
      <c r="C129" s="435" t="str">
        <f>IF('合并资产负债表 '!G46=0,"-",TEXT('合并资产负债表 '!G46,"#,##0.00"))</f>
        <v>-</v>
      </c>
      <c r="D129" s="435">
        <f>'合并资产负债表 '!G46</f>
        <v>0</v>
      </c>
      <c r="G129" s="585"/>
    </row>
    <row r="130" spans="1:7">
      <c r="A130" s="432" t="s">
        <v>566</v>
      </c>
      <c r="B130" s="432" t="str">
        <f t="shared" si="1"/>
        <v>-</v>
      </c>
      <c r="C130" s="435" t="str">
        <f>IF('合并资产负债表 '!G47=0,"-",TEXT('合并资产负债表 '!G47,"#,##0.00"))</f>
        <v>-</v>
      </c>
      <c r="D130" s="435">
        <f>'合并资产负债表 '!G47</f>
        <v>0</v>
      </c>
      <c r="G130" s="585"/>
    </row>
    <row r="131" spans="1:7">
      <c r="A131" s="432" t="s">
        <v>567</v>
      </c>
      <c r="B131" s="432" t="str">
        <f t="shared" si="1"/>
        <v>-</v>
      </c>
      <c r="C131" s="435" t="str">
        <f>IF('合并资产负债表 '!G48=0,"-",TEXT('合并资产负债表 '!G48,"#,##0.00"))</f>
        <v>-</v>
      </c>
      <c r="D131" s="435">
        <f>'合并资产负债表 '!G48</f>
        <v>0</v>
      </c>
      <c r="G131" s="585"/>
    </row>
    <row r="132" spans="1:7">
      <c r="A132" s="432" t="s">
        <v>568</v>
      </c>
      <c r="B132" s="432" t="str">
        <f t="shared" ref="B132:B195" si="2">TRIM(C132)</f>
        <v>-</v>
      </c>
      <c r="C132" s="435" t="str">
        <f>IF('合并资产负债表 '!G49=0,"-",TEXT('合并资产负债表 '!G49,"#,##0.00"))</f>
        <v>-</v>
      </c>
      <c r="D132" s="435">
        <f>'合并资产负债表 '!G49</f>
        <v>0</v>
      </c>
      <c r="G132" s="585"/>
    </row>
    <row r="133" spans="1:7">
      <c r="A133" s="432" t="s">
        <v>569</v>
      </c>
      <c r="B133" s="432" t="str">
        <f t="shared" si="2"/>
        <v>-</v>
      </c>
      <c r="C133" s="435" t="str">
        <f>IF('合并资产负债表 '!G50=0,"-",TEXT('合并资产负债表 '!G50,"#,##0.00"))</f>
        <v>-</v>
      </c>
      <c r="D133" s="435">
        <f>'合并资产负债表 '!G50</f>
        <v>0</v>
      </c>
      <c r="G133" s="585"/>
    </row>
    <row r="134" spans="1:7">
      <c r="A134" s="432" t="s">
        <v>570</v>
      </c>
      <c r="B134" s="432" t="str">
        <f t="shared" si="2"/>
        <v>-</v>
      </c>
      <c r="C134" s="435" t="str">
        <f>IF('合并资产负债表 '!G51=0,"-",TEXT('合并资产负债表 '!G51,"#,##0.00"))</f>
        <v>-</v>
      </c>
      <c r="D134" s="435">
        <f>'合并资产负债表 '!G51</f>
        <v>0</v>
      </c>
      <c r="G134" s="585"/>
    </row>
    <row r="135" spans="1:7">
      <c r="A135" s="432" t="s">
        <v>571</v>
      </c>
      <c r="B135" s="432" t="str">
        <f t="shared" si="2"/>
        <v>-</v>
      </c>
      <c r="C135" s="435" t="str">
        <f>IF('合并资产负债表 '!G52=0,"-",TEXT('合并资产负债表 '!G52,"#,##0.00"))</f>
        <v>-</v>
      </c>
      <c r="D135" s="435">
        <f>'合并资产负债表 '!G52</f>
        <v>0</v>
      </c>
      <c r="G135" s="585"/>
    </row>
    <row r="136" spans="1:7">
      <c r="A136" s="432" t="s">
        <v>572</v>
      </c>
      <c r="B136" s="432" t="str">
        <f t="shared" si="2"/>
        <v>-</v>
      </c>
      <c r="C136" s="435" t="str">
        <f>IF('合并资产负债表 '!G53=0,"-",TEXT('合并资产负债表 '!G53,"#,##0.00"))</f>
        <v>-</v>
      </c>
      <c r="D136" s="435">
        <f>'合并资产负债表 '!G53</f>
        <v>0</v>
      </c>
      <c r="G136" s="585"/>
    </row>
    <row r="137" spans="1:7">
      <c r="A137" s="432" t="s">
        <v>573</v>
      </c>
      <c r="B137" s="432" t="str">
        <f t="shared" si="2"/>
        <v>-</v>
      </c>
      <c r="C137" s="435" t="str">
        <f>IF('合并资产负债表 '!G54=0,"-",TEXT('合并资产负债表 '!G54,"#,##0.00"))</f>
        <v>-</v>
      </c>
      <c r="D137" s="435">
        <f>'合并资产负债表 '!G54</f>
        <v>0</v>
      </c>
      <c r="G137" s="585"/>
    </row>
    <row r="138" spans="1:7">
      <c r="A138" s="432" t="s">
        <v>574</v>
      </c>
      <c r="B138" s="432" t="str">
        <f t="shared" si="2"/>
        <v>-</v>
      </c>
      <c r="C138" s="435" t="str">
        <f>IF('合并资产负债表 '!G56=0,"-",TEXT('合并资产负债表 '!G56,"#,##0.00"))</f>
        <v>-</v>
      </c>
      <c r="D138" s="435">
        <f>'合并资产负债表 '!G56</f>
        <v>0</v>
      </c>
      <c r="G138" s="585"/>
    </row>
    <row r="139" spans="1:7">
      <c r="A139" s="432" t="s">
        <v>575</v>
      </c>
      <c r="B139" s="432" t="str">
        <f t="shared" si="2"/>
        <v>-</v>
      </c>
      <c r="C139" s="435" t="str">
        <f>IF('合并资产负债表 '!G57=0,"-",TEXT('合并资产负债表 '!G57,"#,##0.00"))</f>
        <v>-</v>
      </c>
      <c r="D139" s="435">
        <f>'合并资产负债表 '!G57</f>
        <v>0</v>
      </c>
      <c r="G139" s="585"/>
    </row>
    <row r="140" spans="1:7">
      <c r="A140" s="432" t="s">
        <v>576</v>
      </c>
      <c r="B140" s="432" t="str">
        <f t="shared" si="2"/>
        <v>-</v>
      </c>
      <c r="C140" s="435" t="str">
        <f>IF('合并资产负债表 '!G58=0,"-",TEXT('合并资产负债表 '!G58,"#,##0.00"))</f>
        <v>-</v>
      </c>
      <c r="D140" s="435">
        <f>'合并资产负债表 '!G58</f>
        <v>0</v>
      </c>
      <c r="G140" s="585"/>
    </row>
    <row r="141" spans="1:7">
      <c r="A141" s="432" t="s">
        <v>577</v>
      </c>
      <c r="B141" s="432" t="str">
        <f t="shared" si="2"/>
        <v>-</v>
      </c>
      <c r="C141" s="435" t="str">
        <f>IF('合并资产负债表 '!G59=0,"-",TEXT('合并资产负债表 '!G59,"#,##0.00"))</f>
        <v>-</v>
      </c>
      <c r="D141" s="435">
        <f>'合并资产负债表 '!G59</f>
        <v>0</v>
      </c>
      <c r="G141" s="585"/>
    </row>
    <row r="142" spans="1:7">
      <c r="A142" s="432" t="s">
        <v>578</v>
      </c>
      <c r="B142" s="432" t="str">
        <f t="shared" si="2"/>
        <v>-</v>
      </c>
      <c r="C142" s="435" t="str">
        <f>IF('合并资产负债表 '!G60=0,"-",TEXT('合并资产负债表 '!G60,"#,##0.00"))</f>
        <v>-</v>
      </c>
      <c r="D142" s="435">
        <f>'合并资产负债表 '!G60</f>
        <v>0</v>
      </c>
      <c r="G142" s="585"/>
    </row>
    <row r="143" spans="1:7">
      <c r="A143" s="432" t="s">
        <v>579</v>
      </c>
      <c r="B143" s="432" t="str">
        <f t="shared" si="2"/>
        <v>-</v>
      </c>
      <c r="C143" s="435" t="str">
        <f>IF('合并资产负债表 '!G61=0,"-",TEXT('合并资产负债表 '!G61,"#,##0.00"))</f>
        <v>-</v>
      </c>
      <c r="D143" s="435">
        <f>'合并资产负债表 '!G61</f>
        <v>0</v>
      </c>
      <c r="G143" s="585"/>
    </row>
    <row r="144" spans="1:7">
      <c r="A144" s="432" t="s">
        <v>580</v>
      </c>
      <c r="B144" s="432" t="str">
        <f t="shared" si="2"/>
        <v>-</v>
      </c>
      <c r="C144" s="435" t="str">
        <f>IF('合并资产负债表 '!G62=0,"-",TEXT('合并资产负债表 '!G62,"#,##0.00"))</f>
        <v>-</v>
      </c>
      <c r="D144" s="435">
        <f>'合并资产负债表 '!G62</f>
        <v>0</v>
      </c>
      <c r="G144" s="585"/>
    </row>
    <row r="145" spans="1:7">
      <c r="A145" s="432" t="s">
        <v>581</v>
      </c>
      <c r="B145" s="432" t="str">
        <f t="shared" si="2"/>
        <v>-</v>
      </c>
      <c r="C145" s="435" t="str">
        <f>IF('合并资产负债表 '!G63=0,"-",TEXT('合并资产负债表 '!G63,"#,##0.00"))</f>
        <v>-</v>
      </c>
      <c r="D145" s="435">
        <f>'合并资产负债表 '!G63</f>
        <v>0</v>
      </c>
      <c r="G145" s="585"/>
    </row>
    <row r="146" spans="1:7">
      <c r="A146" s="432" t="s">
        <v>582</v>
      </c>
      <c r="B146" s="432" t="str">
        <f t="shared" si="2"/>
        <v>-</v>
      </c>
      <c r="C146" s="435" t="str">
        <f>IF('合并资产负债表 '!G64=0,"-",TEXT('合并资产负债表 '!G64,"#,##0.00"))</f>
        <v>-</v>
      </c>
      <c r="D146" s="435">
        <f>'合并资产负债表 '!G64</f>
        <v>0</v>
      </c>
      <c r="G146" s="585"/>
    </row>
    <row r="147" spans="1:7">
      <c r="A147" s="432" t="s">
        <v>583</v>
      </c>
      <c r="B147" s="432" t="str">
        <f t="shared" si="2"/>
        <v>-</v>
      </c>
      <c r="C147" s="435" t="str">
        <f>IF('合并资产负债表 '!G65=0,"-",TEXT('合并资产负债表 '!G65,"#,##0.00"))</f>
        <v>-</v>
      </c>
      <c r="D147" s="435">
        <f>'合并资产负债表 '!G65</f>
        <v>0</v>
      </c>
      <c r="G147" s="585"/>
    </row>
    <row r="148" spans="1:7">
      <c r="A148" s="432" t="s">
        <v>584</v>
      </c>
      <c r="B148" s="432" t="str">
        <f t="shared" si="2"/>
        <v>-</v>
      </c>
      <c r="C148" s="435" t="str">
        <f>IF('合并资产负债表 '!G66=0,"-",TEXT('合并资产负债表 '!G66,"#,##0.00"))</f>
        <v>-</v>
      </c>
      <c r="D148" s="435">
        <f>'合并资产负债表 '!G66</f>
        <v>0</v>
      </c>
      <c r="G148" s="585"/>
    </row>
    <row r="149" spans="1:7">
      <c r="A149" s="432" t="s">
        <v>585</v>
      </c>
      <c r="B149" s="432" t="str">
        <f t="shared" si="2"/>
        <v>-</v>
      </c>
      <c r="C149" s="435" t="str">
        <f>IF('合并资产负债表 '!G67=0,"-",TEXT('合并资产负债表 '!G67,"#,##0.00"))</f>
        <v>-</v>
      </c>
      <c r="D149" s="435">
        <f>'合并资产负债表 '!G67</f>
        <v>0</v>
      </c>
      <c r="G149" s="585"/>
    </row>
    <row r="150" spans="1:7">
      <c r="A150" s="432" t="s">
        <v>586</v>
      </c>
      <c r="B150" s="432" t="str">
        <f t="shared" si="2"/>
        <v>-</v>
      </c>
      <c r="C150" s="435" t="str">
        <f>IF('合并资产负债表 '!G68=0,"-",TEXT('合并资产负债表 '!G68,"#,##0.00"))</f>
        <v>-</v>
      </c>
      <c r="D150" s="435">
        <f>'合并资产负债表 '!G68</f>
        <v>0</v>
      </c>
      <c r="G150" s="585"/>
    </row>
    <row r="151" spans="1:7">
      <c r="A151" s="432" t="s">
        <v>587</v>
      </c>
      <c r="B151" s="432" t="str">
        <f t="shared" si="2"/>
        <v>-</v>
      </c>
      <c r="C151" s="435" t="str">
        <f>IF('合并资产负债表 '!G70=0,"-",TEXT('合并资产负债表 '!G70,"#,##0.00"))</f>
        <v>-</v>
      </c>
      <c r="D151" s="435">
        <f>'合并资产负债表 '!G70</f>
        <v>0</v>
      </c>
      <c r="G151" s="585"/>
    </row>
    <row r="152" spans="1:7">
      <c r="A152" s="432" t="s">
        <v>588</v>
      </c>
      <c r="B152" s="432" t="str">
        <f t="shared" si="2"/>
        <v>-</v>
      </c>
      <c r="C152" s="435" t="str">
        <f>IF('合并资产负债表 '!G71=0,"-",TEXT('合并资产负债表 '!G71,"#,##0.00"))</f>
        <v>-</v>
      </c>
      <c r="D152" s="435">
        <f>'合并资产负债表 '!G71</f>
        <v>0</v>
      </c>
      <c r="G152" s="585"/>
    </row>
    <row r="153" spans="1:7">
      <c r="A153" s="432" t="s">
        <v>589</v>
      </c>
      <c r="B153" s="432" t="str">
        <f t="shared" si="2"/>
        <v>-</v>
      </c>
      <c r="C153" s="435" t="str">
        <f>IF('合并资产负债表 '!G72=0,"-",TEXT('合并资产负债表 '!G72,"#,##0.00"))</f>
        <v>-</v>
      </c>
      <c r="D153" s="435">
        <f>'合并资产负债表 '!G72</f>
        <v>0</v>
      </c>
      <c r="G153" s="585"/>
    </row>
    <row r="154" spans="1:7">
      <c r="A154" s="432" t="s">
        <v>590</v>
      </c>
      <c r="B154" s="432" t="str">
        <f t="shared" si="2"/>
        <v>-</v>
      </c>
      <c r="C154" s="435" t="str">
        <f>IF('合并资产负债表 '!G73=0,"-",TEXT('合并资产负债表 '!G73,"#,##0.00"))</f>
        <v>-</v>
      </c>
      <c r="D154" s="435">
        <f>'合并资产负债表 '!G73</f>
        <v>0</v>
      </c>
      <c r="G154" s="585"/>
    </row>
    <row r="155" spans="1:7">
      <c r="A155" s="432" t="s">
        <v>591</v>
      </c>
      <c r="B155" s="432" t="str">
        <f t="shared" si="2"/>
        <v>-</v>
      </c>
      <c r="C155" s="435" t="str">
        <f>IF('合并资产负债表 '!G74=0,"-",TEXT('合并资产负债表 '!G74,"#,##0.00"))</f>
        <v>-</v>
      </c>
      <c r="D155" s="435">
        <f>'合并资产负债表 '!G74</f>
        <v>0</v>
      </c>
      <c r="G155" s="585"/>
    </row>
    <row r="156" spans="1:7">
      <c r="A156" s="432" t="s">
        <v>592</v>
      </c>
      <c r="B156" s="432" t="str">
        <f t="shared" si="2"/>
        <v>-</v>
      </c>
      <c r="C156" s="435" t="str">
        <f>IF('合并资产负债表 '!G75=0,"-",TEXT('合并资产负债表 '!G75,"#,##0.00"))</f>
        <v>-</v>
      </c>
      <c r="D156" s="435">
        <f>'合并资产负债表 '!G75</f>
        <v>0</v>
      </c>
      <c r="G156" s="585"/>
    </row>
    <row r="157" spans="1:7">
      <c r="A157" s="432" t="s">
        <v>593</v>
      </c>
      <c r="B157" s="432" t="str">
        <f t="shared" si="2"/>
        <v>-</v>
      </c>
      <c r="C157" s="435" t="str">
        <f>IF('合并资产负债表 '!G76=0,"-",TEXT('合并资产负债表 '!G76,"#,##0.00"))</f>
        <v>-</v>
      </c>
      <c r="D157" s="435">
        <f>'合并资产负债表 '!G76</f>
        <v>0</v>
      </c>
      <c r="G157" s="585"/>
    </row>
    <row r="158" spans="1:7">
      <c r="A158" s="432" t="s">
        <v>594</v>
      </c>
      <c r="B158" s="432" t="str">
        <f t="shared" si="2"/>
        <v>-</v>
      </c>
      <c r="C158" s="435" t="str">
        <f>IF('合并资产负债表 '!G77=0,"-",TEXT('合并资产负债表 '!G77,"#,##0.00"))</f>
        <v>-</v>
      </c>
      <c r="D158" s="435">
        <f>'合并资产负债表 '!G77</f>
        <v>0</v>
      </c>
      <c r="G158" s="585"/>
    </row>
    <row r="159" spans="1:7">
      <c r="A159" s="432" t="s">
        <v>595</v>
      </c>
      <c r="B159" s="432" t="str">
        <f t="shared" si="2"/>
        <v>-</v>
      </c>
      <c r="C159" s="435" t="str">
        <f>IF('合并资产负债表 '!G78=0,"-",TEXT('合并资产负债表 '!G78,"#,##0.00"))</f>
        <v>-</v>
      </c>
      <c r="D159" s="435">
        <f>'合并资产负债表 '!G78</f>
        <v>0</v>
      </c>
      <c r="G159" s="585"/>
    </row>
    <row r="160" spans="1:7">
      <c r="A160" s="432" t="s">
        <v>596</v>
      </c>
      <c r="B160" s="432" t="str">
        <f t="shared" si="2"/>
        <v>-</v>
      </c>
      <c r="C160" s="435" t="str">
        <f>IF('合并资产负债表 '!G79=0,"-",TEXT('合并资产负债表 '!G79,"#,##0.00"))</f>
        <v>-</v>
      </c>
      <c r="D160" s="435">
        <f>'合并资产负债表 '!G79</f>
        <v>0</v>
      </c>
      <c r="G160" s="585"/>
    </row>
    <row r="161" spans="1:7">
      <c r="A161" s="432" t="s">
        <v>597</v>
      </c>
      <c r="B161" s="432" t="str">
        <f t="shared" si="2"/>
        <v>-</v>
      </c>
      <c r="C161" s="435" t="str">
        <f>IF('合并资产负债表 '!G80=0,"-",TEXT('合并资产负债表 '!G80,"#,##0.00"))</f>
        <v>-</v>
      </c>
      <c r="D161" s="435">
        <f>'合并资产负债表 '!G80</f>
        <v>0</v>
      </c>
      <c r="G161" s="585"/>
    </row>
    <row r="162" spans="1:7">
      <c r="A162" s="432" t="s">
        <v>598</v>
      </c>
      <c r="B162" s="432" t="str">
        <f t="shared" si="2"/>
        <v>-</v>
      </c>
      <c r="C162" s="435" t="str">
        <f>IF('合并资产负债表 '!G81=0,"-",TEXT('合并资产负债表 '!G81,"#,##0.00"))</f>
        <v>-</v>
      </c>
      <c r="D162" s="435">
        <f>'合并资产负债表 '!G81</f>
        <v>0</v>
      </c>
      <c r="G162" s="585"/>
    </row>
    <row r="163" spans="1:7">
      <c r="A163" s="432" t="s">
        <v>599</v>
      </c>
      <c r="B163" s="432" t="str">
        <f t="shared" si="2"/>
        <v>-</v>
      </c>
      <c r="C163" s="435" t="str">
        <f>IF('合并资产负债表 '!G82=0,"-",TEXT('合并资产负债表 '!G82,"#,##0.00"))</f>
        <v>-</v>
      </c>
      <c r="D163" s="435">
        <f>'合并资产负债表 '!G82</f>
        <v>0</v>
      </c>
      <c r="G163" s="585"/>
    </row>
    <row r="164" spans="1:7">
      <c r="A164" s="432" t="s">
        <v>600</v>
      </c>
      <c r="B164" s="432" t="str">
        <f t="shared" si="2"/>
        <v>-</v>
      </c>
      <c r="C164" s="435" t="str">
        <f>IF('合并资产负债表 '!H5=0,"-",TEXT('合并资产负债表 '!H5,"#,##0.00"))</f>
        <v>-</v>
      </c>
      <c r="D164" s="435">
        <f>'合并资产负债表 '!H5</f>
        <v>0</v>
      </c>
      <c r="G164" s="585"/>
    </row>
    <row r="165" spans="1:7">
      <c r="A165" s="432" t="s">
        <v>601</v>
      </c>
      <c r="B165" s="432" t="str">
        <f t="shared" si="2"/>
        <v>-</v>
      </c>
      <c r="C165" s="435" t="str">
        <f>IF('合并资产负债表 '!H6=0,"-",TEXT('合并资产负债表 '!H6,"#,##0.00"))</f>
        <v>-</v>
      </c>
      <c r="D165" s="435">
        <f>'合并资产负债表 '!H6</f>
        <v>0</v>
      </c>
      <c r="G165" s="585"/>
    </row>
    <row r="166" spans="1:7">
      <c r="A166" s="432" t="s">
        <v>602</v>
      </c>
      <c r="B166" s="432" t="str">
        <f t="shared" si="2"/>
        <v>-</v>
      </c>
      <c r="C166" s="435" t="str">
        <f>IF('合并资产负债表 '!H7=0,"-",TEXT('合并资产负债表 '!H7,"#,##0.00"))</f>
        <v>-</v>
      </c>
      <c r="D166" s="435">
        <f>'合并资产负债表 '!H7</f>
        <v>0</v>
      </c>
      <c r="G166" s="585"/>
    </row>
    <row r="167" spans="1:7">
      <c r="A167" s="432" t="s">
        <v>603</v>
      </c>
      <c r="B167" s="432" t="str">
        <f t="shared" si="2"/>
        <v>-</v>
      </c>
      <c r="C167" s="435" t="str">
        <f>IF('合并资产负债表 '!H8=0,"-",TEXT('合并资产负债表 '!H8,"#,##0.00"))</f>
        <v>-</v>
      </c>
      <c r="D167" s="435">
        <f>'合并资产负债表 '!H8</f>
        <v>0</v>
      </c>
      <c r="G167" s="585"/>
    </row>
    <row r="168" spans="1:7">
      <c r="A168" s="432" t="s">
        <v>604</v>
      </c>
      <c r="B168" s="432" t="str">
        <f t="shared" si="2"/>
        <v>-</v>
      </c>
      <c r="C168" s="435" t="str">
        <f>IF('合并资产负债表 '!H9=0,"-",TEXT('合并资产负债表 '!H9,"#,##0.00"))</f>
        <v>-</v>
      </c>
      <c r="D168" s="435">
        <f>'合并资产负债表 '!H9</f>
        <v>0</v>
      </c>
      <c r="G168" s="585"/>
    </row>
    <row r="169" spans="1:7">
      <c r="A169" s="432" t="s">
        <v>605</v>
      </c>
      <c r="B169" s="432" t="str">
        <f t="shared" si="2"/>
        <v>-</v>
      </c>
      <c r="C169" s="435" t="str">
        <f>IF('合并资产负债表 '!H10=0,"-",TEXT('合并资产负债表 '!H10,"#,##0.00"))</f>
        <v>-</v>
      </c>
      <c r="D169" s="435">
        <f>'合并资产负债表 '!H10</f>
        <v>0</v>
      </c>
      <c r="G169" s="585"/>
    </row>
    <row r="170" spans="1:7">
      <c r="A170" s="432" t="s">
        <v>606</v>
      </c>
      <c r="B170" s="432" t="str">
        <f t="shared" si="2"/>
        <v>-</v>
      </c>
      <c r="C170" s="435" t="str">
        <f>IF('合并资产负债表 '!H11=0,"-",TEXT('合并资产负债表 '!H11,"#,##0.00"))</f>
        <v>-</v>
      </c>
      <c r="D170" s="435">
        <f>'合并资产负债表 '!H11</f>
        <v>0</v>
      </c>
      <c r="G170" s="585"/>
    </row>
    <row r="171" spans="1:7">
      <c r="A171" s="432" t="s">
        <v>607</v>
      </c>
      <c r="B171" s="432" t="str">
        <f t="shared" si="2"/>
        <v>-</v>
      </c>
      <c r="C171" s="435" t="str">
        <f>IF('合并资产负债表 '!H12=0,"-",TEXT('合并资产负债表 '!H12,"#,##0.00"))</f>
        <v>-</v>
      </c>
      <c r="D171" s="435">
        <f>'合并资产负债表 '!H12</f>
        <v>0</v>
      </c>
      <c r="G171" s="585"/>
    </row>
    <row r="172" spans="1:7">
      <c r="A172" s="432" t="s">
        <v>608</v>
      </c>
      <c r="B172" s="432" t="str">
        <f t="shared" si="2"/>
        <v>-</v>
      </c>
      <c r="C172" s="435" t="str">
        <f>IF('合并资产负债表 '!H13=0,"-",TEXT('合并资产负债表 '!H13,"#,##0.00"))</f>
        <v>-</v>
      </c>
      <c r="D172" s="435">
        <f>'合并资产负债表 '!H13</f>
        <v>0</v>
      </c>
      <c r="G172" s="585"/>
    </row>
    <row r="173" spans="1:7">
      <c r="A173" s="432" t="s">
        <v>609</v>
      </c>
      <c r="B173" s="432" t="str">
        <f t="shared" si="2"/>
        <v>-</v>
      </c>
      <c r="C173" s="435" t="str">
        <f>IF('合并资产负债表 '!H14=0,"-",TEXT('合并资产负债表 '!H14,"#,##0.00"))</f>
        <v>-</v>
      </c>
      <c r="D173" s="435">
        <f>'合并资产负债表 '!H14</f>
        <v>0</v>
      </c>
      <c r="G173" s="585"/>
    </row>
    <row r="174" spans="1:7">
      <c r="A174" s="432" t="s">
        <v>610</v>
      </c>
      <c r="B174" s="432" t="str">
        <f t="shared" si="2"/>
        <v>-</v>
      </c>
      <c r="C174" s="435" t="str">
        <f>IF('合并资产负债表 '!H15=0,"-",TEXT('合并资产负债表 '!H15,"#,##0.00"))</f>
        <v>-</v>
      </c>
      <c r="D174" s="435">
        <f>'合并资产负债表 '!H15</f>
        <v>0</v>
      </c>
      <c r="G174" s="585"/>
    </row>
    <row r="175" spans="1:7">
      <c r="A175" s="432" t="s">
        <v>611</v>
      </c>
      <c r="B175" s="432" t="str">
        <f t="shared" si="2"/>
        <v>-</v>
      </c>
      <c r="C175" s="435" t="str">
        <f>IF('合并资产负债表 '!H16=0,"-",TEXT('合并资产负债表 '!H16,"#,##0.00"))</f>
        <v>-</v>
      </c>
      <c r="D175" s="435">
        <f>'合并资产负债表 '!H16</f>
        <v>0</v>
      </c>
      <c r="G175" s="585"/>
    </row>
    <row r="176" spans="1:7">
      <c r="A176" s="432" t="s">
        <v>612</v>
      </c>
      <c r="B176" s="432" t="str">
        <f t="shared" si="2"/>
        <v>-</v>
      </c>
      <c r="C176" s="435" t="str">
        <f>IF('合并资产负债表 '!H17=0,"-",TEXT('合并资产负债表 '!H17,"#,##0.00"))</f>
        <v>-</v>
      </c>
      <c r="D176" s="435">
        <f>'合并资产负债表 '!H17</f>
        <v>0</v>
      </c>
      <c r="G176" s="585"/>
    </row>
    <row r="177" spans="1:7">
      <c r="A177" s="432" t="s">
        <v>613</v>
      </c>
      <c r="B177" s="432" t="str">
        <f t="shared" si="2"/>
        <v>-</v>
      </c>
      <c r="C177" s="435" t="str">
        <f>IF('合并资产负债表 '!H18=0,"-",TEXT('合并资产负债表 '!H18,"#,##0.00"))</f>
        <v>-</v>
      </c>
      <c r="D177" s="435">
        <f>'合并资产负债表 '!H18</f>
        <v>0</v>
      </c>
      <c r="G177" s="585"/>
    </row>
    <row r="178" spans="1:7">
      <c r="A178" s="432" t="s">
        <v>614</v>
      </c>
      <c r="B178" s="432" t="str">
        <f t="shared" si="2"/>
        <v>-</v>
      </c>
      <c r="C178" s="435" t="str">
        <f>IF('合并资产负债表 '!H19=0,"-",TEXT('合并资产负债表 '!H19,"#,##0.00"))</f>
        <v>-</v>
      </c>
      <c r="D178" s="435">
        <f>'合并资产负债表 '!H19</f>
        <v>0</v>
      </c>
      <c r="G178" s="585"/>
    </row>
    <row r="179" spans="1:7">
      <c r="A179" s="432" t="s">
        <v>615</v>
      </c>
      <c r="B179" s="432" t="str">
        <f t="shared" si="2"/>
        <v>-</v>
      </c>
      <c r="C179" s="435" t="str">
        <f>IF('合并资产负债表 '!H21=0,"-",TEXT('合并资产负债表 '!H21,"#,##0.00"))</f>
        <v>-</v>
      </c>
      <c r="D179" s="435">
        <f>'合并资产负债表 '!H21</f>
        <v>0</v>
      </c>
      <c r="G179" s="585"/>
    </row>
    <row r="180" spans="1:7">
      <c r="A180" s="432" t="s">
        <v>616</v>
      </c>
      <c r="B180" s="432" t="str">
        <f t="shared" si="2"/>
        <v>-</v>
      </c>
      <c r="C180" s="435" t="str">
        <f>IF('合并资产负债表 '!H22=0,"-",TEXT('合并资产负债表 '!H22,"#,##0.00"))</f>
        <v>-</v>
      </c>
      <c r="D180" s="435">
        <f>'合并资产负债表 '!H22</f>
        <v>0</v>
      </c>
      <c r="G180" s="585"/>
    </row>
    <row r="181" spans="1:7">
      <c r="A181" s="432" t="s">
        <v>617</v>
      </c>
      <c r="B181" s="432" t="str">
        <f t="shared" si="2"/>
        <v>-</v>
      </c>
      <c r="C181" s="435" t="str">
        <f>IF('合并资产负债表 '!H23=0,"-",TEXT('合并资产负债表 '!H23,"#,##0.00"))</f>
        <v>-</v>
      </c>
      <c r="D181" s="435">
        <f>'合并资产负债表 '!H23</f>
        <v>0</v>
      </c>
      <c r="G181" s="585"/>
    </row>
    <row r="182" spans="1:7">
      <c r="A182" s="432" t="s">
        <v>618</v>
      </c>
      <c r="B182" s="432" t="str">
        <f t="shared" si="2"/>
        <v>-</v>
      </c>
      <c r="C182" s="435" t="str">
        <f>IF('合并资产负债表 '!H24=0,"-",TEXT('合并资产负债表 '!H24,"#,##0.00"))</f>
        <v>-</v>
      </c>
      <c r="D182" s="435">
        <f>'合并资产负债表 '!H24</f>
        <v>0</v>
      </c>
      <c r="G182" s="585"/>
    </row>
    <row r="183" spans="1:7">
      <c r="A183" s="432" t="s">
        <v>619</v>
      </c>
      <c r="B183" s="432" t="str">
        <f t="shared" si="2"/>
        <v>-</v>
      </c>
      <c r="C183" s="435" t="str">
        <f>IF('合并资产负债表 '!H25=0,"-",TEXT('合并资产负债表 '!H25,"#,##0.00"))</f>
        <v>-</v>
      </c>
      <c r="D183" s="435">
        <f>'合并资产负债表 '!H25</f>
        <v>0</v>
      </c>
      <c r="G183" s="585"/>
    </row>
    <row r="184" spans="1:7">
      <c r="A184" s="432" t="s">
        <v>620</v>
      </c>
      <c r="B184" s="432" t="str">
        <f t="shared" si="2"/>
        <v>-</v>
      </c>
      <c r="C184" s="435" t="str">
        <f>IF('合并资产负债表 '!H26=0,"-",TEXT('合并资产负债表 '!H26,"#,##0.00"))</f>
        <v>-</v>
      </c>
      <c r="D184" s="435">
        <f>'合并资产负债表 '!H26</f>
        <v>0</v>
      </c>
      <c r="G184" s="585"/>
    </row>
    <row r="185" spans="1:7">
      <c r="A185" s="432" t="s">
        <v>621</v>
      </c>
      <c r="B185" s="432" t="str">
        <f t="shared" si="2"/>
        <v>-</v>
      </c>
      <c r="C185" s="435" t="str">
        <f>IF('合并资产负债表 '!H27=0,"-",TEXT('合并资产负债表 '!H27,"#,##0.00"))</f>
        <v>-</v>
      </c>
      <c r="D185" s="435">
        <f>'合并资产负债表 '!H27</f>
        <v>0</v>
      </c>
      <c r="G185" s="585"/>
    </row>
    <row r="186" spans="1:7">
      <c r="A186" s="432" t="s">
        <v>622</v>
      </c>
      <c r="B186" s="432" t="str">
        <f t="shared" si="2"/>
        <v>-</v>
      </c>
      <c r="C186" s="435" t="str">
        <f>IF('合并资产负债表 '!H28=0,"-",TEXT('合并资产负债表 '!H28,"#,##0.00"))</f>
        <v>-</v>
      </c>
      <c r="D186" s="435">
        <f>'合并资产负债表 '!H28</f>
        <v>0</v>
      </c>
      <c r="G186" s="585"/>
    </row>
    <row r="187" spans="1:7">
      <c r="A187" s="432" t="s">
        <v>623</v>
      </c>
      <c r="B187" s="432" t="str">
        <f t="shared" si="2"/>
        <v>-</v>
      </c>
      <c r="C187" s="435" t="str">
        <f>IF('合并资产负债表 '!H29=0,"-",TEXT('合并资产负债表 '!H29,"#,##0.00"))</f>
        <v>-</v>
      </c>
      <c r="D187" s="435">
        <f>'合并资产负债表 '!H29</f>
        <v>0</v>
      </c>
      <c r="G187" s="585"/>
    </row>
    <row r="188" spans="1:7">
      <c r="A188" s="432" t="s">
        <v>624</v>
      </c>
      <c r="B188" s="432" t="str">
        <f t="shared" si="2"/>
        <v>-</v>
      </c>
      <c r="C188" s="435" t="str">
        <f>IF('合并资产负债表 '!H30=0,"-",TEXT('合并资产负债表 '!H30,"#,##0.00"))</f>
        <v>-</v>
      </c>
      <c r="D188" s="435">
        <f>'合并资产负债表 '!H30</f>
        <v>0</v>
      </c>
      <c r="G188" s="585"/>
    </row>
    <row r="189" spans="1:7">
      <c r="A189" s="432" t="s">
        <v>625</v>
      </c>
      <c r="B189" s="432" t="str">
        <f t="shared" si="2"/>
        <v>-</v>
      </c>
      <c r="C189" s="435" t="str">
        <f>IF('合并资产负债表 '!H31=0,"-",TEXT('合并资产负债表 '!H31,"#,##0.00"))</f>
        <v>-</v>
      </c>
      <c r="D189" s="435">
        <f>'合并资产负债表 '!H31</f>
        <v>0</v>
      </c>
      <c r="G189" s="585"/>
    </row>
    <row r="190" spans="1:7">
      <c r="A190" s="432" t="s">
        <v>626</v>
      </c>
      <c r="B190" s="432" t="str">
        <f t="shared" si="2"/>
        <v>-</v>
      </c>
      <c r="C190" s="435" t="str">
        <f>IF('合并资产负债表 '!H32=0,"-",TEXT('合并资产负债表 '!H32,"#,##0.00"))</f>
        <v>-</v>
      </c>
      <c r="D190" s="435">
        <f>'合并资产负债表 '!H32</f>
        <v>0</v>
      </c>
      <c r="G190" s="585"/>
    </row>
    <row r="191" spans="1:7">
      <c r="A191" s="432" t="s">
        <v>627</v>
      </c>
      <c r="B191" s="432" t="str">
        <f t="shared" si="2"/>
        <v>-</v>
      </c>
      <c r="C191" s="435" t="str">
        <f>IF('合并资产负债表 '!H33=0,"-",TEXT('合并资产负债表 '!H33,"#,##0.00"))</f>
        <v>-</v>
      </c>
      <c r="D191" s="435">
        <f>'合并资产负债表 '!H33</f>
        <v>0</v>
      </c>
      <c r="G191" s="585"/>
    </row>
    <row r="192" spans="1:7">
      <c r="A192" s="432" t="s">
        <v>628</v>
      </c>
      <c r="B192" s="432" t="str">
        <f t="shared" si="2"/>
        <v>-</v>
      </c>
      <c r="C192" s="435" t="str">
        <f>IF('合并资产负债表 '!H34=0,"-",TEXT('合并资产负债表 '!H34,"#,##0.00"))</f>
        <v>-</v>
      </c>
      <c r="D192" s="435">
        <f>'合并资产负债表 '!H34</f>
        <v>0</v>
      </c>
      <c r="G192" s="585"/>
    </row>
    <row r="193" spans="1:7">
      <c r="A193" s="432" t="s">
        <v>629</v>
      </c>
      <c r="B193" s="432" t="str">
        <f t="shared" si="2"/>
        <v>-</v>
      </c>
      <c r="C193" s="435" t="str">
        <f>IF('合并资产负债表 '!H35=0,"-",TEXT('合并资产负债表 '!H35,"#,##0.00"))</f>
        <v>-</v>
      </c>
      <c r="D193" s="435">
        <f>'合并资产负债表 '!H35</f>
        <v>0</v>
      </c>
      <c r="G193" s="585"/>
    </row>
    <row r="194" spans="1:7">
      <c r="A194" s="432" t="s">
        <v>630</v>
      </c>
      <c r="B194" s="432" t="str">
        <f t="shared" si="2"/>
        <v>-</v>
      </c>
      <c r="C194" s="435" t="str">
        <f>IF('合并资产负债表 '!H36=0,"-",TEXT('合并资产负债表 '!H36,"#,##0.00"))</f>
        <v>-</v>
      </c>
      <c r="D194" s="435">
        <f>'合并资产负债表 '!H36</f>
        <v>0</v>
      </c>
      <c r="G194" s="585"/>
    </row>
    <row r="195" spans="1:7">
      <c r="A195" s="432" t="s">
        <v>631</v>
      </c>
      <c r="B195" s="432" t="str">
        <f t="shared" si="2"/>
        <v>-</v>
      </c>
      <c r="C195" s="435" t="str">
        <f>IF('合并资产负债表 '!H37=0,"-",TEXT('合并资产负债表 '!H37,"#,##0.00"))</f>
        <v>-</v>
      </c>
      <c r="D195" s="435">
        <f>'合并资产负债表 '!H37</f>
        <v>0</v>
      </c>
      <c r="G195" s="585"/>
    </row>
    <row r="196" spans="1:7">
      <c r="A196" s="432" t="s">
        <v>632</v>
      </c>
      <c r="B196" s="432" t="str">
        <f t="shared" ref="B196:B259" si="3">TRIM(C196)</f>
        <v>-</v>
      </c>
      <c r="C196" s="435" t="str">
        <f>IF('合并资产负债表 '!H39=0,"-",TEXT('合并资产负债表 '!H39,"#,##0.00"))</f>
        <v>-</v>
      </c>
      <c r="D196" s="435">
        <f>'合并资产负债表 '!H39</f>
        <v>0</v>
      </c>
      <c r="G196" s="585"/>
    </row>
    <row r="197" spans="1:7">
      <c r="A197" s="432" t="s">
        <v>633</v>
      </c>
      <c r="B197" s="432" t="str">
        <f t="shared" si="3"/>
        <v>-</v>
      </c>
      <c r="C197" s="435" t="str">
        <f>IF('合并资产负债表 '!H40=0,"-",TEXT('合并资产负债表 '!H40,"#,##0.00"))</f>
        <v>-</v>
      </c>
      <c r="D197" s="435">
        <f>'合并资产负债表 '!H40</f>
        <v>0</v>
      </c>
      <c r="G197" s="585"/>
    </row>
    <row r="198" spans="1:7">
      <c r="A198" s="432" t="s">
        <v>634</v>
      </c>
      <c r="B198" s="432" t="str">
        <f t="shared" si="3"/>
        <v>-</v>
      </c>
      <c r="C198" s="435" t="str">
        <f>IF('合并资产负债表 '!H41=0,"-",TEXT('合并资产负债表 '!H41,"#,##0.00"))</f>
        <v>-</v>
      </c>
      <c r="D198" s="435">
        <f>'合并资产负债表 '!H41</f>
        <v>0</v>
      </c>
      <c r="G198" s="585"/>
    </row>
    <row r="199" spans="1:7">
      <c r="A199" s="432" t="s">
        <v>635</v>
      </c>
      <c r="B199" s="432" t="str">
        <f t="shared" si="3"/>
        <v>-</v>
      </c>
      <c r="C199" s="435" t="str">
        <f>IF('合并资产负债表 '!H42=0,"-",TEXT('合并资产负债表 '!H42,"#,##0.00"))</f>
        <v>-</v>
      </c>
      <c r="D199" s="435">
        <f>'合并资产负债表 '!H42</f>
        <v>0</v>
      </c>
      <c r="G199" s="585"/>
    </row>
    <row r="200" spans="1:7">
      <c r="A200" s="432" t="s">
        <v>636</v>
      </c>
      <c r="B200" s="432" t="str">
        <f t="shared" si="3"/>
        <v>-</v>
      </c>
      <c r="C200" s="435" t="str">
        <f>IF('合并资产负债表 '!H43=0,"-",TEXT('合并资产负债表 '!H43,"#,##0.00"))</f>
        <v>-</v>
      </c>
      <c r="D200" s="435">
        <f>'合并资产负债表 '!H43</f>
        <v>0</v>
      </c>
      <c r="G200" s="585"/>
    </row>
    <row r="201" spans="1:7">
      <c r="A201" s="432" t="s">
        <v>637</v>
      </c>
      <c r="B201" s="432" t="str">
        <f t="shared" si="3"/>
        <v>-</v>
      </c>
      <c r="C201" s="435" t="str">
        <f>IF('合并资产负债表 '!H44=0,"-",TEXT('合并资产负债表 '!H44,"#,##0.00"))</f>
        <v>-</v>
      </c>
      <c r="D201" s="435">
        <f>'合并资产负债表 '!H44</f>
        <v>0</v>
      </c>
      <c r="G201" s="585"/>
    </row>
    <row r="202" spans="1:7">
      <c r="A202" s="432" t="s">
        <v>638</v>
      </c>
      <c r="B202" s="432" t="str">
        <f t="shared" si="3"/>
        <v>-</v>
      </c>
      <c r="C202" s="435" t="str">
        <f>IF('合并资产负债表 '!H45=0,"-",TEXT('合并资产负债表 '!H45,"#,##0.00"))</f>
        <v>-</v>
      </c>
      <c r="D202" s="435">
        <f>'合并资产负债表 '!H45</f>
        <v>0</v>
      </c>
      <c r="G202" s="585"/>
    </row>
    <row r="203" spans="1:7">
      <c r="A203" s="432" t="s">
        <v>639</v>
      </c>
      <c r="B203" s="432" t="str">
        <f t="shared" si="3"/>
        <v>-</v>
      </c>
      <c r="C203" s="435" t="str">
        <f>IF('合并资产负债表 '!H46=0,"-",TEXT('合并资产负债表 '!H46,"#,##0.00"))</f>
        <v>-</v>
      </c>
      <c r="D203" s="435">
        <f>'合并资产负债表 '!H46</f>
        <v>0</v>
      </c>
      <c r="G203" s="585"/>
    </row>
    <row r="204" spans="1:7">
      <c r="A204" s="432" t="s">
        <v>640</v>
      </c>
      <c r="B204" s="432" t="str">
        <f t="shared" si="3"/>
        <v>-</v>
      </c>
      <c r="C204" s="435" t="str">
        <f>IF('合并资产负债表 '!H47=0,"-",TEXT('合并资产负债表 '!H47,"#,##0.00"))</f>
        <v>-</v>
      </c>
      <c r="D204" s="435">
        <f>'合并资产负债表 '!H47</f>
        <v>0</v>
      </c>
      <c r="G204" s="585"/>
    </row>
    <row r="205" spans="1:7">
      <c r="A205" s="432" t="s">
        <v>641</v>
      </c>
      <c r="B205" s="432" t="str">
        <f t="shared" si="3"/>
        <v>-</v>
      </c>
      <c r="C205" s="435" t="str">
        <f>IF('合并资产负债表 '!H48=0,"-",TEXT('合并资产负债表 '!H48,"#,##0.00"))</f>
        <v>-</v>
      </c>
      <c r="D205" s="435">
        <f>'合并资产负债表 '!H48</f>
        <v>0</v>
      </c>
      <c r="G205" s="585"/>
    </row>
    <row r="206" spans="1:7">
      <c r="A206" s="432" t="s">
        <v>642</v>
      </c>
      <c r="B206" s="432" t="str">
        <f t="shared" si="3"/>
        <v>-</v>
      </c>
      <c r="C206" s="435" t="str">
        <f>IF('合并资产负债表 '!H49=0,"-",TEXT('合并资产负债表 '!H49,"#,##0.00"))</f>
        <v>-</v>
      </c>
      <c r="D206" s="435">
        <f>'合并资产负债表 '!H49</f>
        <v>0</v>
      </c>
      <c r="G206" s="585"/>
    </row>
    <row r="207" spans="1:7">
      <c r="A207" s="432" t="s">
        <v>643</v>
      </c>
      <c r="B207" s="432" t="str">
        <f t="shared" si="3"/>
        <v>-</v>
      </c>
      <c r="C207" s="435" t="str">
        <f>IF('合并资产负债表 '!H50=0,"-",TEXT('合并资产负债表 '!H50,"#,##0.00"))</f>
        <v>-</v>
      </c>
      <c r="D207" s="435">
        <f>'合并资产负债表 '!H50</f>
        <v>0</v>
      </c>
      <c r="G207" s="585"/>
    </row>
    <row r="208" spans="1:7">
      <c r="A208" s="432" t="s">
        <v>644</v>
      </c>
      <c r="B208" s="432" t="str">
        <f t="shared" si="3"/>
        <v>-</v>
      </c>
      <c r="C208" s="435" t="str">
        <f>IF('合并资产负债表 '!H51=0,"-",TEXT('合并资产负债表 '!H51,"#,##0.00"))</f>
        <v>-</v>
      </c>
      <c r="D208" s="435">
        <f>'合并资产负债表 '!H51</f>
        <v>0</v>
      </c>
      <c r="G208" s="585"/>
    </row>
    <row r="209" spans="1:7">
      <c r="A209" s="432" t="s">
        <v>645</v>
      </c>
      <c r="B209" s="432" t="str">
        <f t="shared" si="3"/>
        <v>-</v>
      </c>
      <c r="C209" s="435" t="str">
        <f>IF('合并资产负债表 '!H52=0,"-",TEXT('合并资产负债表 '!H52,"#,##0.00"))</f>
        <v>-</v>
      </c>
      <c r="D209" s="435">
        <f>'合并资产负债表 '!H52</f>
        <v>0</v>
      </c>
      <c r="G209" s="585"/>
    </row>
    <row r="210" spans="1:7">
      <c r="A210" s="432" t="s">
        <v>646</v>
      </c>
      <c r="B210" s="432" t="str">
        <f t="shared" si="3"/>
        <v>-</v>
      </c>
      <c r="C210" s="435" t="str">
        <f>IF('合并资产负债表 '!H53=0,"-",TEXT('合并资产负债表 '!H53,"#,##0.00"))</f>
        <v>-</v>
      </c>
      <c r="D210" s="435">
        <f>'合并资产负债表 '!H53</f>
        <v>0</v>
      </c>
      <c r="G210" s="585"/>
    </row>
    <row r="211" spans="1:7">
      <c r="A211" s="432" t="s">
        <v>647</v>
      </c>
      <c r="B211" s="432" t="str">
        <f t="shared" si="3"/>
        <v>-</v>
      </c>
      <c r="C211" s="435" t="str">
        <f>IF('合并资产负债表 '!H54=0,"-",TEXT('合并资产负债表 '!H54,"#,##0.00"))</f>
        <v>-</v>
      </c>
      <c r="D211" s="435">
        <f>'合并资产负债表 '!H54</f>
        <v>0</v>
      </c>
      <c r="G211" s="585"/>
    </row>
    <row r="212" spans="1:7">
      <c r="A212" s="432" t="s">
        <v>648</v>
      </c>
      <c r="B212" s="432" t="str">
        <f t="shared" si="3"/>
        <v>-</v>
      </c>
      <c r="C212" s="435" t="str">
        <f>IF('合并资产负债表 '!H56=0,"-",TEXT('合并资产负债表 '!H56,"#,##0.00"))</f>
        <v>-</v>
      </c>
      <c r="D212" s="435">
        <f>'合并资产负债表 '!H56</f>
        <v>0</v>
      </c>
      <c r="G212" s="585"/>
    </row>
    <row r="213" spans="1:7">
      <c r="A213" s="432" t="s">
        <v>649</v>
      </c>
      <c r="B213" s="432" t="str">
        <f t="shared" si="3"/>
        <v>-</v>
      </c>
      <c r="C213" s="435" t="str">
        <f>IF('合并资产负债表 '!H57=0,"-",TEXT('合并资产负债表 '!H57,"#,##0.00"))</f>
        <v>-</v>
      </c>
      <c r="D213" s="435">
        <f>'合并资产负债表 '!H57</f>
        <v>0</v>
      </c>
      <c r="G213" s="585"/>
    </row>
    <row r="214" spans="1:7">
      <c r="A214" s="432" t="s">
        <v>650</v>
      </c>
      <c r="B214" s="432" t="str">
        <f t="shared" si="3"/>
        <v>-</v>
      </c>
      <c r="C214" s="435" t="str">
        <f>IF('合并资产负债表 '!H58=0,"-",TEXT('合并资产负债表 '!H58,"#,##0.00"))</f>
        <v>-</v>
      </c>
      <c r="D214" s="435">
        <f>'合并资产负债表 '!H58</f>
        <v>0</v>
      </c>
      <c r="G214" s="585"/>
    </row>
    <row r="215" spans="1:7">
      <c r="A215" s="432" t="s">
        <v>651</v>
      </c>
      <c r="B215" s="432" t="str">
        <f t="shared" si="3"/>
        <v>-</v>
      </c>
      <c r="C215" s="435" t="str">
        <f>IF('合并资产负债表 '!H59=0,"-",TEXT('合并资产负债表 '!H59,"#,##0.00"))</f>
        <v>-</v>
      </c>
      <c r="D215" s="435">
        <f>'合并资产负债表 '!H59</f>
        <v>0</v>
      </c>
      <c r="G215" s="585"/>
    </row>
    <row r="216" spans="1:7">
      <c r="A216" s="432" t="s">
        <v>652</v>
      </c>
      <c r="B216" s="432" t="str">
        <f t="shared" si="3"/>
        <v>-</v>
      </c>
      <c r="C216" s="435" t="str">
        <f>IF('合并资产负债表 '!H60=0,"-",TEXT('合并资产负债表 '!H60,"#,##0.00"))</f>
        <v>-</v>
      </c>
      <c r="D216" s="435">
        <f>'合并资产负债表 '!H60</f>
        <v>0</v>
      </c>
      <c r="G216" s="585"/>
    </row>
    <row r="217" spans="1:7">
      <c r="A217" s="432" t="s">
        <v>653</v>
      </c>
      <c r="B217" s="432" t="str">
        <f t="shared" si="3"/>
        <v>-</v>
      </c>
      <c r="C217" s="435" t="str">
        <f>IF('合并资产负债表 '!H61=0,"-",TEXT('合并资产负债表 '!H61,"#,##0.00"))</f>
        <v>-</v>
      </c>
      <c r="D217" s="435">
        <f>'合并资产负债表 '!H61</f>
        <v>0</v>
      </c>
      <c r="G217" s="585"/>
    </row>
    <row r="218" spans="1:7">
      <c r="A218" s="432" t="s">
        <v>654</v>
      </c>
      <c r="B218" s="432" t="str">
        <f t="shared" si="3"/>
        <v>-</v>
      </c>
      <c r="C218" s="435" t="str">
        <f>IF('合并资产负债表 '!H62=0,"-",TEXT('合并资产负债表 '!H62,"#,##0.00"))</f>
        <v>-</v>
      </c>
      <c r="D218" s="435">
        <f>'合并资产负债表 '!H62</f>
        <v>0</v>
      </c>
      <c r="G218" s="585"/>
    </row>
    <row r="219" spans="1:7">
      <c r="A219" s="432" t="s">
        <v>655</v>
      </c>
      <c r="B219" s="432" t="str">
        <f t="shared" si="3"/>
        <v>-</v>
      </c>
      <c r="C219" s="435" t="str">
        <f>IF('合并资产负债表 '!H63=0,"-",TEXT('合并资产负债表 '!H63,"#,##0.00"))</f>
        <v>-</v>
      </c>
      <c r="D219" s="435">
        <f>'合并资产负债表 '!H63</f>
        <v>0</v>
      </c>
      <c r="G219" s="585"/>
    </row>
    <row r="220" spans="1:7">
      <c r="A220" s="432" t="s">
        <v>656</v>
      </c>
      <c r="B220" s="432" t="str">
        <f t="shared" si="3"/>
        <v>-</v>
      </c>
      <c r="C220" s="435" t="str">
        <f>IF('合并资产负债表 '!H64=0,"-",TEXT('合并资产负债表 '!H64,"#,##0.00"))</f>
        <v>-</v>
      </c>
      <c r="D220" s="435">
        <f>'合并资产负债表 '!H64</f>
        <v>0</v>
      </c>
      <c r="G220" s="585"/>
    </row>
    <row r="221" spans="1:7">
      <c r="A221" s="432" t="s">
        <v>657</v>
      </c>
      <c r="B221" s="432" t="str">
        <f t="shared" si="3"/>
        <v>-</v>
      </c>
      <c r="C221" s="435" t="str">
        <f>IF('合并资产负债表 '!H65=0,"-",TEXT('合并资产负债表 '!H65,"#,##0.00"))</f>
        <v>-</v>
      </c>
      <c r="D221" s="435">
        <f>'合并资产负债表 '!H65</f>
        <v>0</v>
      </c>
      <c r="G221" s="585"/>
    </row>
    <row r="222" spans="1:7">
      <c r="A222" s="432" t="s">
        <v>658</v>
      </c>
      <c r="B222" s="432" t="str">
        <f t="shared" si="3"/>
        <v>-</v>
      </c>
      <c r="C222" s="435" t="str">
        <f>IF('合并资产负债表 '!H66=0,"-",TEXT('合并资产负债表 '!H66,"#,##0.00"))</f>
        <v>-</v>
      </c>
      <c r="D222" s="435">
        <f>'合并资产负债表 '!H66</f>
        <v>0</v>
      </c>
      <c r="G222" s="585"/>
    </row>
    <row r="223" spans="1:7">
      <c r="A223" s="432" t="s">
        <v>659</v>
      </c>
      <c r="B223" s="432" t="str">
        <f t="shared" si="3"/>
        <v>-</v>
      </c>
      <c r="C223" s="435" t="str">
        <f>IF('合并资产负债表 '!H67=0,"-",TEXT('合并资产负债表 '!H67,"#,##0.00"))</f>
        <v>-</v>
      </c>
      <c r="D223" s="435">
        <f>'合并资产负债表 '!H67</f>
        <v>0</v>
      </c>
      <c r="G223" s="585"/>
    </row>
    <row r="224" spans="1:7">
      <c r="A224" s="432" t="s">
        <v>660</v>
      </c>
      <c r="B224" s="432" t="str">
        <f t="shared" si="3"/>
        <v>-</v>
      </c>
      <c r="C224" s="435" t="str">
        <f>IF('合并资产负债表 '!H68=0,"-",TEXT('合并资产负债表 '!H68,"#,##0.00"))</f>
        <v>-</v>
      </c>
      <c r="D224" s="435">
        <f>'合并资产负债表 '!H68</f>
        <v>0</v>
      </c>
      <c r="G224" s="585"/>
    </row>
    <row r="225" spans="1:7">
      <c r="A225" s="432" t="s">
        <v>661</v>
      </c>
      <c r="B225" s="432" t="str">
        <f t="shared" si="3"/>
        <v>-</v>
      </c>
      <c r="C225" s="435" t="str">
        <f>IF('合并资产负债表 '!H70=0,"-",TEXT('合并资产负债表 '!H70,"#,##0.00"))</f>
        <v>-</v>
      </c>
      <c r="D225" s="435">
        <f>'合并资产负债表 '!H70</f>
        <v>0</v>
      </c>
      <c r="G225" s="585"/>
    </row>
    <row r="226" spans="1:7">
      <c r="A226" s="432" t="s">
        <v>662</v>
      </c>
      <c r="B226" s="432" t="str">
        <f t="shared" si="3"/>
        <v>-</v>
      </c>
      <c r="C226" s="435" t="str">
        <f>IF('合并资产负债表 '!H71=0,"-",TEXT('合并资产负债表 '!H71,"#,##0.00"))</f>
        <v>-</v>
      </c>
      <c r="D226" s="435">
        <f>'合并资产负债表 '!H71</f>
        <v>0</v>
      </c>
      <c r="G226" s="585"/>
    </row>
    <row r="227" spans="1:7">
      <c r="A227" s="432" t="s">
        <v>663</v>
      </c>
      <c r="B227" s="432" t="str">
        <f t="shared" si="3"/>
        <v>-</v>
      </c>
      <c r="C227" s="435" t="str">
        <f>IF('合并资产负债表 '!H72=0,"-",TEXT('合并资产负债表 '!H72,"#,##0.00"))</f>
        <v>-</v>
      </c>
      <c r="D227" s="435">
        <f>'合并资产负债表 '!H72</f>
        <v>0</v>
      </c>
      <c r="G227" s="585"/>
    </row>
    <row r="228" spans="1:7">
      <c r="A228" s="432" t="s">
        <v>664</v>
      </c>
      <c r="B228" s="432" t="str">
        <f t="shared" si="3"/>
        <v>-</v>
      </c>
      <c r="C228" s="435" t="str">
        <f>IF('合并资产负债表 '!H73=0,"-",TEXT('合并资产负债表 '!H73,"#,##0.00"))</f>
        <v>-</v>
      </c>
      <c r="D228" s="435">
        <f>'合并资产负债表 '!H73</f>
        <v>0</v>
      </c>
      <c r="G228" s="585"/>
    </row>
    <row r="229" spans="1:7">
      <c r="A229" s="432" t="s">
        <v>665</v>
      </c>
      <c r="B229" s="432" t="str">
        <f t="shared" si="3"/>
        <v>-</v>
      </c>
      <c r="C229" s="435" t="str">
        <f>IF('合并资产负债表 '!H74=0,"-",TEXT('合并资产负债表 '!H74,"#,##0.00"))</f>
        <v>-</v>
      </c>
      <c r="D229" s="435">
        <f>'合并资产负债表 '!H74</f>
        <v>0</v>
      </c>
      <c r="G229" s="585"/>
    </row>
    <row r="230" spans="1:7">
      <c r="A230" s="432" t="s">
        <v>666</v>
      </c>
      <c r="B230" s="432" t="str">
        <f t="shared" si="3"/>
        <v>-</v>
      </c>
      <c r="C230" s="435" t="str">
        <f>IF('合并资产负债表 '!H75=0,"-",TEXT('合并资产负债表 '!H75,"#,##0.00"))</f>
        <v>-</v>
      </c>
      <c r="D230" s="435">
        <f>'合并资产负债表 '!H75</f>
        <v>0</v>
      </c>
      <c r="G230" s="585"/>
    </row>
    <row r="231" spans="1:7">
      <c r="A231" s="432" t="s">
        <v>667</v>
      </c>
      <c r="B231" s="432" t="str">
        <f t="shared" si="3"/>
        <v>-</v>
      </c>
      <c r="C231" s="435" t="str">
        <f>IF('合并资产负债表 '!H76=0,"-",TEXT('合并资产负债表 '!H76,"#,##0.00"))</f>
        <v>-</v>
      </c>
      <c r="D231" s="435">
        <f>'合并资产负债表 '!H76</f>
        <v>0</v>
      </c>
      <c r="G231" s="585"/>
    </row>
    <row r="232" spans="1:7">
      <c r="A232" s="432" t="s">
        <v>668</v>
      </c>
      <c r="B232" s="432" t="str">
        <f t="shared" si="3"/>
        <v>-</v>
      </c>
      <c r="C232" s="435" t="str">
        <f>IF('合并资产负债表 '!H77=0,"-",TEXT('合并资产负债表 '!H77,"#,##0.00"))</f>
        <v>-</v>
      </c>
      <c r="D232" s="435">
        <f>'合并资产负债表 '!H77</f>
        <v>0</v>
      </c>
      <c r="G232" s="585"/>
    </row>
    <row r="233" spans="1:7">
      <c r="A233" s="432" t="s">
        <v>669</v>
      </c>
      <c r="B233" s="432" t="str">
        <f t="shared" si="3"/>
        <v>-</v>
      </c>
      <c r="C233" s="435" t="str">
        <f>IF('合并资产负债表 '!H78=0,"-",TEXT('合并资产负债表 '!H78,"#,##0.00"))</f>
        <v>-</v>
      </c>
      <c r="D233" s="435">
        <f>'合并资产负债表 '!H78</f>
        <v>0</v>
      </c>
      <c r="G233" s="585"/>
    </row>
    <row r="234" spans="1:7">
      <c r="A234" s="432" t="s">
        <v>670</v>
      </c>
      <c r="B234" s="432" t="str">
        <f t="shared" si="3"/>
        <v>-</v>
      </c>
      <c r="C234" s="435" t="str">
        <f>IF('合并资产负债表 '!H79=0,"-",TEXT('合并资产负债表 '!H79,"#,##0.00"))</f>
        <v>-</v>
      </c>
      <c r="D234" s="435">
        <f>'合并资产负债表 '!H79</f>
        <v>0</v>
      </c>
      <c r="G234" s="585"/>
    </row>
    <row r="235" spans="1:7">
      <c r="A235" s="432" t="s">
        <v>671</v>
      </c>
      <c r="B235" s="432" t="str">
        <f t="shared" si="3"/>
        <v>-</v>
      </c>
      <c r="C235" s="435" t="str">
        <f>IF('合并资产负债表 '!H80=0,"-",TEXT('合并资产负债表 '!H80,"#,##0.00"))</f>
        <v>-</v>
      </c>
      <c r="D235" s="435">
        <f>'合并资产负债表 '!H80</f>
        <v>0</v>
      </c>
      <c r="G235" s="585"/>
    </row>
    <row r="236" spans="1:7">
      <c r="A236" s="432" t="s">
        <v>672</v>
      </c>
      <c r="B236" s="432" t="str">
        <f t="shared" si="3"/>
        <v>-</v>
      </c>
      <c r="C236" s="435" t="str">
        <f>IF('合并资产负债表 '!H81=0,"-",TEXT('合并资产负债表 '!H81,"#,##0.00"))</f>
        <v>-</v>
      </c>
      <c r="D236" s="435">
        <f>'合并资产负债表 '!H81</f>
        <v>0</v>
      </c>
      <c r="G236" s="585"/>
    </row>
    <row r="237" spans="1:7">
      <c r="A237" s="432" t="s">
        <v>673</v>
      </c>
      <c r="B237" s="432" t="str">
        <f t="shared" si="3"/>
        <v>-</v>
      </c>
      <c r="C237" s="435" t="str">
        <f>IF('合并资产负债表 '!H82=0,"-",TEXT('合并资产负债表 '!H82,"#,##0.00"))</f>
        <v>-</v>
      </c>
      <c r="D237" s="435">
        <f>'合并资产负债表 '!H82</f>
        <v>0</v>
      </c>
      <c r="G237" s="585"/>
    </row>
    <row r="238" spans="1:7">
      <c r="A238" s="432" t="s">
        <v>674</v>
      </c>
      <c r="B238" s="432" t="str">
        <f t="shared" si="3"/>
        <v>-</v>
      </c>
      <c r="C238" s="435" t="str">
        <f>IF('合并资产负债表 '!I5=0,"-",TEXT('合并资产负债表 '!I5,"#,##0.00"))</f>
        <v>-</v>
      </c>
      <c r="D238" s="435">
        <f>'合并资产负债表 '!I5</f>
        <v>0</v>
      </c>
      <c r="G238" s="585"/>
    </row>
    <row r="239" spans="1:7">
      <c r="A239" s="432" t="s">
        <v>675</v>
      </c>
      <c r="B239" s="432" t="str">
        <f t="shared" si="3"/>
        <v>-</v>
      </c>
      <c r="C239" s="435" t="str">
        <f>IF('合并资产负债表 '!I6=0,"-",TEXT('合并资产负债表 '!I6,"#,##0.00"))</f>
        <v>-</v>
      </c>
      <c r="D239" s="435">
        <f>'合并资产负债表 '!I6</f>
        <v>0</v>
      </c>
      <c r="G239" s="585"/>
    </row>
    <row r="240" spans="1:7">
      <c r="A240" s="432" t="s">
        <v>676</v>
      </c>
      <c r="B240" s="432" t="str">
        <f t="shared" si="3"/>
        <v>-</v>
      </c>
      <c r="C240" s="435" t="str">
        <f>IF('合并资产负债表 '!I7=0,"-",TEXT('合并资产负债表 '!I7,"#,##0.00"))</f>
        <v>-</v>
      </c>
      <c r="D240" s="435">
        <f>'合并资产负债表 '!I7</f>
        <v>0</v>
      </c>
      <c r="G240" s="585"/>
    </row>
    <row r="241" spans="1:7">
      <c r="A241" s="432" t="s">
        <v>677</v>
      </c>
      <c r="B241" s="432" t="str">
        <f t="shared" si="3"/>
        <v>-</v>
      </c>
      <c r="C241" s="435" t="str">
        <f>IF('合并资产负债表 '!I8=0,"-",TEXT('合并资产负债表 '!I8,"#,##0.00"))</f>
        <v>-</v>
      </c>
      <c r="D241" s="435">
        <f>'合并资产负债表 '!I8</f>
        <v>0</v>
      </c>
      <c r="G241" s="585"/>
    </row>
    <row r="242" spans="1:7">
      <c r="A242" s="432" t="s">
        <v>678</v>
      </c>
      <c r="B242" s="432" t="str">
        <f t="shared" si="3"/>
        <v>-</v>
      </c>
      <c r="C242" s="435" t="str">
        <f>IF('合并资产负债表 '!I9=0,"-",TEXT('合并资产负债表 '!I9,"#,##0.00"))</f>
        <v>-</v>
      </c>
      <c r="D242" s="435">
        <f>'合并资产负债表 '!I9</f>
        <v>0</v>
      </c>
      <c r="G242" s="585"/>
    </row>
    <row r="243" spans="1:7">
      <c r="A243" s="432" t="s">
        <v>679</v>
      </c>
      <c r="B243" s="432" t="str">
        <f t="shared" si="3"/>
        <v>-</v>
      </c>
      <c r="C243" s="435" t="str">
        <f>IF('合并资产负债表 '!I10=0,"-",TEXT('合并资产负债表 '!I10,"#,##0.00"))</f>
        <v>-</v>
      </c>
      <c r="D243" s="435">
        <f>'合并资产负债表 '!I10</f>
        <v>0</v>
      </c>
      <c r="G243" s="585"/>
    </row>
    <row r="244" spans="1:7">
      <c r="A244" s="432" t="s">
        <v>680</v>
      </c>
      <c r="B244" s="432" t="str">
        <f t="shared" si="3"/>
        <v>-</v>
      </c>
      <c r="C244" s="435" t="str">
        <f>IF('合并资产负债表 '!I11=0,"-",TEXT('合并资产负债表 '!I11,"#,##0.00"))</f>
        <v>-</v>
      </c>
      <c r="D244" s="435">
        <f>'合并资产负债表 '!I11</f>
        <v>0</v>
      </c>
      <c r="G244" s="585"/>
    </row>
    <row r="245" spans="1:7">
      <c r="A245" s="432" t="s">
        <v>681</v>
      </c>
      <c r="B245" s="432" t="str">
        <f t="shared" si="3"/>
        <v>-</v>
      </c>
      <c r="C245" s="435" t="str">
        <f>IF('合并资产负债表 '!I12=0,"-",TEXT('合并资产负债表 '!I12,"#,##0.00"))</f>
        <v>-</v>
      </c>
      <c r="D245" s="435">
        <f>'合并资产负债表 '!I12</f>
        <v>0</v>
      </c>
      <c r="G245" s="585"/>
    </row>
    <row r="246" spans="1:7">
      <c r="A246" s="432" t="s">
        <v>682</v>
      </c>
      <c r="B246" s="432" t="str">
        <f t="shared" si="3"/>
        <v>-</v>
      </c>
      <c r="C246" s="435" t="str">
        <f>IF('合并资产负债表 '!I13=0,"-",TEXT('合并资产负债表 '!I13,"#,##0.00"))</f>
        <v>-</v>
      </c>
      <c r="D246" s="435">
        <f>'合并资产负债表 '!I13</f>
        <v>0</v>
      </c>
      <c r="G246" s="585"/>
    </row>
    <row r="247" spans="1:7">
      <c r="A247" s="432" t="s">
        <v>683</v>
      </c>
      <c r="B247" s="432" t="str">
        <f t="shared" si="3"/>
        <v>-</v>
      </c>
      <c r="C247" s="435" t="str">
        <f>IF('合并资产负债表 '!I14=0,"-",TEXT('合并资产负债表 '!I14,"#,##0.00"))</f>
        <v>-</v>
      </c>
      <c r="D247" s="435">
        <f>'合并资产负债表 '!I14</f>
        <v>0</v>
      </c>
      <c r="G247" s="585"/>
    </row>
    <row r="248" spans="1:7">
      <c r="A248" s="432" t="s">
        <v>684</v>
      </c>
      <c r="B248" s="432" t="str">
        <f t="shared" si="3"/>
        <v>-</v>
      </c>
      <c r="C248" s="435" t="str">
        <f>IF('合并资产负债表 '!I15=0,"-",TEXT('合并资产负债表 '!I15,"#,##0.00"))</f>
        <v>-</v>
      </c>
      <c r="D248" s="435">
        <f>'合并资产负债表 '!I15</f>
        <v>0</v>
      </c>
      <c r="G248" s="585"/>
    </row>
    <row r="249" spans="1:7">
      <c r="A249" s="432" t="s">
        <v>685</v>
      </c>
      <c r="B249" s="432" t="str">
        <f t="shared" si="3"/>
        <v>-</v>
      </c>
      <c r="C249" s="435" t="str">
        <f>IF('合并资产负债表 '!I16=0,"-",TEXT('合并资产负债表 '!I16,"#,##0.00"))</f>
        <v>-</v>
      </c>
      <c r="D249" s="435">
        <f>'合并资产负债表 '!I16</f>
        <v>0</v>
      </c>
      <c r="G249" s="585"/>
    </row>
    <row r="250" spans="1:7">
      <c r="A250" s="432" t="s">
        <v>686</v>
      </c>
      <c r="B250" s="432" t="str">
        <f t="shared" si="3"/>
        <v>-</v>
      </c>
      <c r="C250" s="435" t="str">
        <f>IF('合并资产负债表 '!I17=0,"-",TEXT('合并资产负债表 '!I17,"#,##0.00"))</f>
        <v>-</v>
      </c>
      <c r="D250" s="435">
        <f>'合并资产负债表 '!I17</f>
        <v>0</v>
      </c>
      <c r="G250" s="585"/>
    </row>
    <row r="251" spans="1:7">
      <c r="A251" s="432" t="s">
        <v>687</v>
      </c>
      <c r="B251" s="432" t="str">
        <f t="shared" si="3"/>
        <v>-</v>
      </c>
      <c r="C251" s="435" t="str">
        <f>IF('合并资产负债表 '!I18=0,"-",TEXT('合并资产负债表 '!I18,"#,##0.00"))</f>
        <v>-</v>
      </c>
      <c r="D251" s="435">
        <f>'合并资产负债表 '!I18</f>
        <v>0</v>
      </c>
      <c r="G251" s="585"/>
    </row>
    <row r="252" spans="1:7">
      <c r="A252" s="432" t="s">
        <v>688</v>
      </c>
      <c r="B252" s="432" t="str">
        <f t="shared" si="3"/>
        <v>-</v>
      </c>
      <c r="C252" s="435" t="str">
        <f>IF('合并资产负债表 '!I19=0,"-",TEXT('合并资产负债表 '!I19,"#,##0.00"))</f>
        <v>-</v>
      </c>
      <c r="D252" s="435">
        <f>'合并资产负债表 '!I19</f>
        <v>0</v>
      </c>
      <c r="G252" s="585"/>
    </row>
    <row r="253" spans="1:7">
      <c r="A253" s="432" t="s">
        <v>689</v>
      </c>
      <c r="B253" s="432" t="str">
        <f t="shared" si="3"/>
        <v>-</v>
      </c>
      <c r="C253" s="435" t="str">
        <f>IF('合并资产负债表 '!I21=0,"-",TEXT('合并资产负债表 '!I21,"#,##0.00"))</f>
        <v>-</v>
      </c>
      <c r="D253" s="435">
        <f>'合并资产负债表 '!I21</f>
        <v>0</v>
      </c>
      <c r="G253" s="585"/>
    </row>
    <row r="254" spans="1:7">
      <c r="A254" s="432" t="s">
        <v>690</v>
      </c>
      <c r="B254" s="432" t="str">
        <f t="shared" si="3"/>
        <v>-</v>
      </c>
      <c r="C254" s="435" t="str">
        <f>IF('合并资产负债表 '!I22=0,"-",TEXT('合并资产负债表 '!I22,"#,##0.00"))</f>
        <v>-</v>
      </c>
      <c r="D254" s="435">
        <f>'合并资产负债表 '!I22</f>
        <v>0</v>
      </c>
      <c r="G254" s="585"/>
    </row>
    <row r="255" spans="1:7">
      <c r="A255" s="432" t="s">
        <v>691</v>
      </c>
      <c r="B255" s="432" t="str">
        <f t="shared" si="3"/>
        <v>-</v>
      </c>
      <c r="C255" s="435" t="str">
        <f>IF('合并资产负债表 '!I23=0,"-",TEXT('合并资产负债表 '!I23,"#,##0.00"))</f>
        <v>-</v>
      </c>
      <c r="D255" s="435">
        <f>'合并资产负债表 '!I23</f>
        <v>0</v>
      </c>
      <c r="G255" s="585"/>
    </row>
    <row r="256" spans="1:7">
      <c r="A256" s="432" t="s">
        <v>692</v>
      </c>
      <c r="B256" s="432" t="str">
        <f t="shared" si="3"/>
        <v>-</v>
      </c>
      <c r="C256" s="435" t="str">
        <f>IF('合并资产负债表 '!I24=0,"-",TEXT('合并资产负债表 '!I24,"#,##0.00"))</f>
        <v>-</v>
      </c>
      <c r="D256" s="435">
        <f>'合并资产负债表 '!I24</f>
        <v>0</v>
      </c>
      <c r="G256" s="585"/>
    </row>
    <row r="257" spans="1:7">
      <c r="A257" s="432" t="s">
        <v>693</v>
      </c>
      <c r="B257" s="432" t="str">
        <f t="shared" si="3"/>
        <v>-</v>
      </c>
      <c r="C257" s="435" t="str">
        <f>IF('合并资产负债表 '!I25=0,"-",TEXT('合并资产负债表 '!I25,"#,##0.00"))</f>
        <v>-</v>
      </c>
      <c r="D257" s="435">
        <f>'合并资产负债表 '!I25</f>
        <v>0</v>
      </c>
      <c r="G257" s="585"/>
    </row>
    <row r="258" spans="1:7">
      <c r="A258" s="432" t="s">
        <v>694</v>
      </c>
      <c r="B258" s="432" t="str">
        <f t="shared" si="3"/>
        <v>-</v>
      </c>
      <c r="C258" s="435" t="str">
        <f>IF('合并资产负债表 '!I26=0,"-",TEXT('合并资产负债表 '!I26,"#,##0.00"))</f>
        <v>-</v>
      </c>
      <c r="D258" s="435">
        <f>'合并资产负债表 '!I26</f>
        <v>0</v>
      </c>
      <c r="G258" s="585"/>
    </row>
    <row r="259" spans="1:7">
      <c r="A259" s="432" t="s">
        <v>695</v>
      </c>
      <c r="B259" s="432" t="str">
        <f t="shared" si="3"/>
        <v>-</v>
      </c>
      <c r="C259" s="435" t="str">
        <f>IF('合并资产负债表 '!I27=0,"-",TEXT('合并资产负债表 '!I27,"#,##0.00"))</f>
        <v>-</v>
      </c>
      <c r="D259" s="435">
        <f>'合并资产负债表 '!I27</f>
        <v>0</v>
      </c>
      <c r="G259" s="585"/>
    </row>
    <row r="260" spans="1:7">
      <c r="A260" s="432" t="s">
        <v>696</v>
      </c>
      <c r="B260" s="432" t="str">
        <f t="shared" ref="B260:B323" si="4">TRIM(C260)</f>
        <v>-</v>
      </c>
      <c r="C260" s="435" t="str">
        <f>IF('合并资产负债表 '!I28=0,"-",TEXT('合并资产负债表 '!I28,"#,##0.00"))</f>
        <v>-</v>
      </c>
      <c r="D260" s="435">
        <f>'合并资产负债表 '!I28</f>
        <v>0</v>
      </c>
      <c r="G260" s="585"/>
    </row>
    <row r="261" spans="1:7">
      <c r="A261" s="432" t="s">
        <v>697</v>
      </c>
      <c r="B261" s="432" t="str">
        <f t="shared" si="4"/>
        <v>-</v>
      </c>
      <c r="C261" s="435" t="str">
        <f>IF('合并资产负债表 '!I29=0,"-",TEXT('合并资产负债表 '!I29,"#,##0.00"))</f>
        <v>-</v>
      </c>
      <c r="D261" s="435">
        <f>'合并资产负债表 '!I29</f>
        <v>0</v>
      </c>
      <c r="G261" s="585"/>
    </row>
    <row r="262" spans="1:7">
      <c r="A262" s="432" t="s">
        <v>698</v>
      </c>
      <c r="B262" s="432" t="str">
        <f t="shared" si="4"/>
        <v>-</v>
      </c>
      <c r="C262" s="435" t="str">
        <f>IF('合并资产负债表 '!I30=0,"-",TEXT('合并资产负债表 '!I30,"#,##0.00"))</f>
        <v>-</v>
      </c>
      <c r="D262" s="435">
        <f>'合并资产负债表 '!I30</f>
        <v>0</v>
      </c>
      <c r="G262" s="585"/>
    </row>
    <row r="263" spans="1:7">
      <c r="A263" s="432" t="s">
        <v>699</v>
      </c>
      <c r="B263" s="432" t="str">
        <f t="shared" si="4"/>
        <v>-</v>
      </c>
      <c r="C263" s="435" t="str">
        <f>IF('合并资产负债表 '!I31=0,"-",TEXT('合并资产负债表 '!I31,"#,##0.00"))</f>
        <v>-</v>
      </c>
      <c r="D263" s="435">
        <f>'合并资产负债表 '!I31</f>
        <v>0</v>
      </c>
      <c r="G263" s="585"/>
    </row>
    <row r="264" spans="1:7">
      <c r="A264" s="432" t="s">
        <v>700</v>
      </c>
      <c r="B264" s="432" t="str">
        <f t="shared" si="4"/>
        <v>-</v>
      </c>
      <c r="C264" s="435" t="str">
        <f>IF('合并资产负债表 '!I32=0,"-",TEXT('合并资产负债表 '!I32,"#,##0.00"))</f>
        <v>-</v>
      </c>
      <c r="D264" s="435">
        <f>'合并资产负债表 '!I32</f>
        <v>0</v>
      </c>
      <c r="G264" s="585"/>
    </row>
    <row r="265" spans="1:7">
      <c r="A265" s="432" t="s">
        <v>701</v>
      </c>
      <c r="B265" s="432" t="str">
        <f t="shared" si="4"/>
        <v>-</v>
      </c>
      <c r="C265" s="435" t="str">
        <f>IF('合并资产负债表 '!I33=0,"-",TEXT('合并资产负债表 '!I33,"#,##0.00"))</f>
        <v>-</v>
      </c>
      <c r="D265" s="435">
        <f>'合并资产负债表 '!I33</f>
        <v>0</v>
      </c>
      <c r="G265" s="585"/>
    </row>
    <row r="266" spans="1:7">
      <c r="A266" s="432" t="s">
        <v>702</v>
      </c>
      <c r="B266" s="432" t="str">
        <f t="shared" si="4"/>
        <v>-</v>
      </c>
      <c r="C266" s="435" t="str">
        <f>IF('合并资产负债表 '!I34=0,"-",TEXT('合并资产负债表 '!I34,"#,##0.00"))</f>
        <v>-</v>
      </c>
      <c r="D266" s="435">
        <f>'合并资产负债表 '!I34</f>
        <v>0</v>
      </c>
      <c r="G266" s="585"/>
    </row>
    <row r="267" spans="1:7">
      <c r="A267" s="432" t="s">
        <v>703</v>
      </c>
      <c r="B267" s="432" t="str">
        <f t="shared" si="4"/>
        <v>-</v>
      </c>
      <c r="C267" s="435" t="str">
        <f>IF('合并资产负债表 '!I35=0,"-",TEXT('合并资产负债表 '!I35,"#,##0.00"))</f>
        <v>-</v>
      </c>
      <c r="D267" s="435">
        <f>'合并资产负债表 '!I35</f>
        <v>0</v>
      </c>
      <c r="G267" s="585"/>
    </row>
    <row r="268" spans="1:7">
      <c r="A268" s="432" t="s">
        <v>704</v>
      </c>
      <c r="B268" s="432" t="str">
        <f t="shared" si="4"/>
        <v>-</v>
      </c>
      <c r="C268" s="435" t="str">
        <f>IF('合并资产负债表 '!I36=0,"-",TEXT('合并资产负债表 '!I36,"#,##0.00"))</f>
        <v>-</v>
      </c>
      <c r="D268" s="435">
        <f>'合并资产负债表 '!I36</f>
        <v>0</v>
      </c>
      <c r="G268" s="585"/>
    </row>
    <row r="269" spans="1:7">
      <c r="A269" s="432" t="s">
        <v>705</v>
      </c>
      <c r="B269" s="432" t="str">
        <f t="shared" si="4"/>
        <v>-</v>
      </c>
      <c r="C269" s="435" t="str">
        <f>IF('合并资产负债表 '!I37=0,"-",TEXT('合并资产负债表 '!I37,"#,##0.00"))</f>
        <v>-</v>
      </c>
      <c r="D269" s="435">
        <f>'合并资产负债表 '!I37</f>
        <v>0</v>
      </c>
      <c r="G269" s="585"/>
    </row>
    <row r="270" spans="1:7">
      <c r="A270" s="432" t="s">
        <v>706</v>
      </c>
      <c r="B270" s="432" t="str">
        <f t="shared" si="4"/>
        <v>-</v>
      </c>
      <c r="C270" s="435" t="str">
        <f>IF('合并资产负债表 '!I39=0,"-",TEXT('合并资产负债表 '!I39,"#,##0.00"))</f>
        <v>-</v>
      </c>
      <c r="D270" s="435">
        <f>'合并资产负债表 '!I39</f>
        <v>0</v>
      </c>
      <c r="G270" s="585"/>
    </row>
    <row r="271" spans="1:7">
      <c r="A271" s="432" t="s">
        <v>707</v>
      </c>
      <c r="B271" s="432" t="str">
        <f t="shared" si="4"/>
        <v>-</v>
      </c>
      <c r="C271" s="435" t="str">
        <f>IF('合并资产负债表 '!I40=0,"-",TEXT('合并资产负债表 '!I40,"#,##0.00"))</f>
        <v>-</v>
      </c>
      <c r="D271" s="435">
        <f>'合并资产负债表 '!I40</f>
        <v>0</v>
      </c>
      <c r="G271" s="585"/>
    </row>
    <row r="272" spans="1:7">
      <c r="A272" s="432" t="s">
        <v>708</v>
      </c>
      <c r="B272" s="432" t="str">
        <f t="shared" si="4"/>
        <v>-</v>
      </c>
      <c r="C272" s="435" t="str">
        <f>IF('合并资产负债表 '!I41=0,"-",TEXT('合并资产负债表 '!I41,"#,##0.00"))</f>
        <v>-</v>
      </c>
      <c r="D272" s="435">
        <f>'合并资产负债表 '!I41</f>
        <v>0</v>
      </c>
      <c r="G272" s="585"/>
    </row>
    <row r="273" spans="1:7">
      <c r="A273" s="432" t="s">
        <v>709</v>
      </c>
      <c r="B273" s="432" t="str">
        <f t="shared" si="4"/>
        <v>-</v>
      </c>
      <c r="C273" s="435" t="str">
        <f>IF('合并资产负债表 '!I42=0,"-",TEXT('合并资产负债表 '!I42,"#,##0.00"))</f>
        <v>-</v>
      </c>
      <c r="D273" s="435">
        <f>'合并资产负债表 '!I42</f>
        <v>0</v>
      </c>
      <c r="G273" s="585"/>
    </row>
    <row r="274" spans="1:7">
      <c r="A274" s="432" t="s">
        <v>710</v>
      </c>
      <c r="B274" s="432" t="str">
        <f t="shared" si="4"/>
        <v>-</v>
      </c>
      <c r="C274" s="435" t="str">
        <f>IF('合并资产负债表 '!I43=0,"-",TEXT('合并资产负债表 '!I43,"#,##0.00"))</f>
        <v>-</v>
      </c>
      <c r="D274" s="435">
        <f>'合并资产负债表 '!I43</f>
        <v>0</v>
      </c>
      <c r="G274" s="585"/>
    </row>
    <row r="275" spans="1:7">
      <c r="A275" s="432" t="s">
        <v>711</v>
      </c>
      <c r="B275" s="432" t="str">
        <f t="shared" si="4"/>
        <v>-</v>
      </c>
      <c r="C275" s="435" t="str">
        <f>IF('合并资产负债表 '!I44=0,"-",TEXT('合并资产负债表 '!I44,"#,##0.00"))</f>
        <v>-</v>
      </c>
      <c r="D275" s="435">
        <f>'合并资产负债表 '!I44</f>
        <v>0</v>
      </c>
      <c r="G275" s="585"/>
    </row>
    <row r="276" spans="1:7">
      <c r="A276" s="432" t="s">
        <v>712</v>
      </c>
      <c r="B276" s="432" t="str">
        <f t="shared" si="4"/>
        <v>-</v>
      </c>
      <c r="C276" s="435" t="str">
        <f>IF('合并资产负债表 '!I45=0,"-",TEXT('合并资产负债表 '!I45,"#,##0.00"))</f>
        <v>-</v>
      </c>
      <c r="D276" s="435">
        <f>'合并资产负债表 '!I45</f>
        <v>0</v>
      </c>
      <c r="G276" s="585"/>
    </row>
    <row r="277" spans="1:7">
      <c r="A277" s="432" t="s">
        <v>713</v>
      </c>
      <c r="B277" s="432" t="str">
        <f t="shared" si="4"/>
        <v>-</v>
      </c>
      <c r="C277" s="435" t="str">
        <f>IF('合并资产负债表 '!I46=0,"-",TEXT('合并资产负债表 '!I46,"#,##0.00"))</f>
        <v>-</v>
      </c>
      <c r="D277" s="435">
        <f>'合并资产负债表 '!I46</f>
        <v>0</v>
      </c>
      <c r="G277" s="585"/>
    </row>
    <row r="278" spans="1:7">
      <c r="A278" s="432" t="s">
        <v>3311</v>
      </c>
      <c r="B278" s="432" t="str">
        <f t="shared" si="4"/>
        <v>-</v>
      </c>
      <c r="C278" s="435" t="str">
        <f>IF('合并资产负债表 '!I47=0,"-",TEXT('合并资产负债表 '!I47,"#,##0.00"))</f>
        <v>-</v>
      </c>
      <c r="D278" s="435">
        <f>'合并资产负债表 '!I47</f>
        <v>0</v>
      </c>
      <c r="G278" s="585"/>
    </row>
    <row r="279" spans="1:7">
      <c r="A279" s="432" t="s">
        <v>714</v>
      </c>
      <c r="B279" s="432" t="str">
        <f t="shared" si="4"/>
        <v>-</v>
      </c>
      <c r="C279" s="435" t="str">
        <f>IF('合并资产负债表 '!I48=0,"-",TEXT('合并资产负债表 '!I48,"#,##0.00"))</f>
        <v>-</v>
      </c>
      <c r="D279" s="435">
        <f>'合并资产负债表 '!I48</f>
        <v>0</v>
      </c>
      <c r="G279" s="585"/>
    </row>
    <row r="280" spans="1:7">
      <c r="A280" s="432" t="s">
        <v>715</v>
      </c>
      <c r="B280" s="432" t="str">
        <f t="shared" si="4"/>
        <v>-</v>
      </c>
      <c r="C280" s="435" t="str">
        <f>IF('合并资产负债表 '!I49=0,"-",TEXT('合并资产负债表 '!I49,"#,##0.00"))</f>
        <v>-</v>
      </c>
      <c r="D280" s="435">
        <f>'合并资产负债表 '!I49</f>
        <v>0</v>
      </c>
      <c r="G280" s="585"/>
    </row>
    <row r="281" spans="1:7">
      <c r="A281" s="432" t="s">
        <v>716</v>
      </c>
      <c r="B281" s="432" t="str">
        <f t="shared" si="4"/>
        <v>-</v>
      </c>
      <c r="C281" s="435" t="str">
        <f>IF('合并资产负债表 '!I50=0,"-",TEXT('合并资产负债表 '!I50,"#,##0.00"))</f>
        <v>-</v>
      </c>
      <c r="D281" s="435">
        <f>'合并资产负债表 '!I50</f>
        <v>0</v>
      </c>
      <c r="G281" s="585"/>
    </row>
    <row r="282" spans="1:7">
      <c r="A282" s="432" t="s">
        <v>717</v>
      </c>
      <c r="B282" s="432" t="str">
        <f t="shared" si="4"/>
        <v>-</v>
      </c>
      <c r="C282" s="435" t="str">
        <f>IF('合并资产负债表 '!I51=0,"-",TEXT('合并资产负债表 '!I51,"#,##0.00"))</f>
        <v>-</v>
      </c>
      <c r="D282" s="435">
        <f>'合并资产负债表 '!I51</f>
        <v>0</v>
      </c>
      <c r="G282" s="585"/>
    </row>
    <row r="283" spans="1:7">
      <c r="A283" s="432" t="s">
        <v>718</v>
      </c>
      <c r="B283" s="432" t="str">
        <f t="shared" si="4"/>
        <v>-</v>
      </c>
      <c r="C283" s="435" t="str">
        <f>IF('合并资产负债表 '!I52=0,"-",TEXT('合并资产负债表 '!I52,"#,##0.00"))</f>
        <v>-</v>
      </c>
      <c r="D283" s="435">
        <f>'合并资产负债表 '!I52</f>
        <v>0</v>
      </c>
      <c r="G283" s="585"/>
    </row>
    <row r="284" spans="1:7">
      <c r="A284" s="432" t="s">
        <v>719</v>
      </c>
      <c r="B284" s="432" t="str">
        <f t="shared" si="4"/>
        <v>-</v>
      </c>
      <c r="C284" s="435" t="str">
        <f>IF('合并资产负债表 '!I53=0,"-",TEXT('合并资产负债表 '!I53,"#,##0.00"))</f>
        <v>-</v>
      </c>
      <c r="D284" s="435">
        <f>'合并资产负债表 '!I53</f>
        <v>0</v>
      </c>
      <c r="G284" s="585"/>
    </row>
    <row r="285" spans="1:7">
      <c r="A285" s="432" t="s">
        <v>720</v>
      </c>
      <c r="B285" s="432" t="str">
        <f t="shared" si="4"/>
        <v>-</v>
      </c>
      <c r="C285" s="435" t="str">
        <f>IF('合并资产负债表 '!I54=0,"-",TEXT('合并资产负债表 '!I54,"#,##0.00"))</f>
        <v>-</v>
      </c>
      <c r="D285" s="435">
        <f>'合并资产负债表 '!I54</f>
        <v>0</v>
      </c>
      <c r="G285" s="585"/>
    </row>
    <row r="286" spans="1:7">
      <c r="A286" s="432" t="s">
        <v>721</v>
      </c>
      <c r="B286" s="432" t="str">
        <f t="shared" si="4"/>
        <v>-</v>
      </c>
      <c r="C286" s="435" t="str">
        <f>IF('合并资产负债表 '!I56=0,"-",TEXT('合并资产负债表 '!I56,"#,##0.00"))</f>
        <v>-</v>
      </c>
      <c r="D286" s="435">
        <f>'合并资产负债表 '!I56</f>
        <v>0</v>
      </c>
      <c r="G286" s="585"/>
    </row>
    <row r="287" spans="1:7">
      <c r="A287" s="432" t="s">
        <v>722</v>
      </c>
      <c r="B287" s="432" t="str">
        <f t="shared" si="4"/>
        <v>-</v>
      </c>
      <c r="C287" s="435" t="str">
        <f>IF('合并资产负债表 '!I57=0,"-",TEXT('合并资产负债表 '!I57,"#,##0.00"))</f>
        <v>-</v>
      </c>
      <c r="D287" s="435">
        <f>'合并资产负债表 '!I57</f>
        <v>0</v>
      </c>
      <c r="G287" s="585"/>
    </row>
    <row r="288" spans="1:7">
      <c r="A288" s="432" t="s">
        <v>723</v>
      </c>
      <c r="B288" s="432" t="str">
        <f t="shared" si="4"/>
        <v>-</v>
      </c>
      <c r="C288" s="435" t="str">
        <f>IF('合并资产负债表 '!I58=0,"-",TEXT('合并资产负债表 '!I58,"#,##0.00"))</f>
        <v>-</v>
      </c>
      <c r="D288" s="435">
        <f>'合并资产负债表 '!I58</f>
        <v>0</v>
      </c>
      <c r="G288" s="585"/>
    </row>
    <row r="289" spans="1:7">
      <c r="A289" s="432" t="s">
        <v>724</v>
      </c>
      <c r="B289" s="432" t="str">
        <f t="shared" si="4"/>
        <v>-</v>
      </c>
      <c r="C289" s="435" t="str">
        <f>IF('合并资产负债表 '!I59=0,"-",TEXT('合并资产负债表 '!I59,"#,##0.00"))</f>
        <v>-</v>
      </c>
      <c r="D289" s="435">
        <f>'合并资产负债表 '!I59</f>
        <v>0</v>
      </c>
      <c r="G289" s="585"/>
    </row>
    <row r="290" spans="1:7">
      <c r="A290" s="432" t="s">
        <v>725</v>
      </c>
      <c r="B290" s="432" t="str">
        <f t="shared" si="4"/>
        <v>-</v>
      </c>
      <c r="C290" s="435" t="str">
        <f>IF('合并资产负债表 '!I60=0,"-",TEXT('合并资产负债表 '!I60,"#,##0.00"))</f>
        <v>-</v>
      </c>
      <c r="D290" s="435">
        <f>'合并资产负债表 '!I60</f>
        <v>0</v>
      </c>
      <c r="G290" s="585"/>
    </row>
    <row r="291" spans="1:7">
      <c r="A291" s="432" t="s">
        <v>726</v>
      </c>
      <c r="B291" s="432" t="str">
        <f t="shared" si="4"/>
        <v>-</v>
      </c>
      <c r="C291" s="435" t="str">
        <f>IF('合并资产负债表 '!I61=0,"-",TEXT('合并资产负债表 '!I61,"#,##0.00"))</f>
        <v>-</v>
      </c>
      <c r="D291" s="435">
        <f>'合并资产负债表 '!I61</f>
        <v>0</v>
      </c>
      <c r="G291" s="585"/>
    </row>
    <row r="292" spans="1:7">
      <c r="A292" s="432" t="s">
        <v>727</v>
      </c>
      <c r="B292" s="432" t="str">
        <f t="shared" si="4"/>
        <v>-</v>
      </c>
      <c r="C292" s="435" t="str">
        <f>IF('合并资产负债表 '!I62=0,"-",TEXT('合并资产负债表 '!I62,"#,##0.00"))</f>
        <v>-</v>
      </c>
      <c r="D292" s="435">
        <f>'合并资产负债表 '!I62</f>
        <v>0</v>
      </c>
      <c r="G292" s="585"/>
    </row>
    <row r="293" spans="1:7">
      <c r="A293" s="432" t="s">
        <v>728</v>
      </c>
      <c r="B293" s="432" t="str">
        <f t="shared" si="4"/>
        <v>-</v>
      </c>
      <c r="C293" s="435" t="str">
        <f>IF('合并资产负债表 '!I63=0,"-",TEXT('合并资产负债表 '!I63,"#,##0.00"))</f>
        <v>-</v>
      </c>
      <c r="D293" s="435">
        <f>'合并资产负债表 '!I63</f>
        <v>0</v>
      </c>
      <c r="G293" s="585"/>
    </row>
    <row r="294" spans="1:7">
      <c r="A294" s="432" t="s">
        <v>729</v>
      </c>
      <c r="B294" s="432" t="str">
        <f t="shared" si="4"/>
        <v>-</v>
      </c>
      <c r="C294" s="435" t="str">
        <f>IF('合并资产负债表 '!I64=0,"-",TEXT('合并资产负债表 '!I64,"#,##0.00"))</f>
        <v>-</v>
      </c>
      <c r="D294" s="435">
        <f>'合并资产负债表 '!I64</f>
        <v>0</v>
      </c>
      <c r="G294" s="585"/>
    </row>
    <row r="295" spans="1:7">
      <c r="A295" s="432" t="s">
        <v>730</v>
      </c>
      <c r="B295" s="432" t="str">
        <f t="shared" si="4"/>
        <v>-</v>
      </c>
      <c r="C295" s="435" t="str">
        <f>IF('合并资产负债表 '!I65=0,"-",TEXT('合并资产负债表 '!I65,"#,##0.00"))</f>
        <v>-</v>
      </c>
      <c r="D295" s="435">
        <f>'合并资产负债表 '!I65</f>
        <v>0</v>
      </c>
      <c r="G295" s="585"/>
    </row>
    <row r="296" spans="1:7">
      <c r="A296" s="432" t="s">
        <v>731</v>
      </c>
      <c r="B296" s="432" t="str">
        <f t="shared" si="4"/>
        <v>-</v>
      </c>
      <c r="C296" s="435" t="str">
        <f>IF('合并资产负债表 '!I66=0,"-",TEXT('合并资产负债表 '!I66,"#,##0.00"))</f>
        <v>-</v>
      </c>
      <c r="D296" s="435">
        <f>'合并资产负债表 '!I66</f>
        <v>0</v>
      </c>
      <c r="G296" s="585"/>
    </row>
    <row r="297" spans="1:7">
      <c r="A297" s="432" t="s">
        <v>732</v>
      </c>
      <c r="B297" s="432" t="str">
        <f t="shared" si="4"/>
        <v>-</v>
      </c>
      <c r="C297" s="435" t="str">
        <f>IF('合并资产负债表 '!I67=0,"-",TEXT('合并资产负债表 '!I67,"#,##0.00"))</f>
        <v>-</v>
      </c>
      <c r="D297" s="435">
        <f>'合并资产负债表 '!I67</f>
        <v>0</v>
      </c>
      <c r="G297" s="585"/>
    </row>
    <row r="298" spans="1:7">
      <c r="A298" s="432" t="s">
        <v>733</v>
      </c>
      <c r="B298" s="432" t="str">
        <f t="shared" si="4"/>
        <v>-</v>
      </c>
      <c r="C298" s="435" t="str">
        <f>IF('合并资产负债表 '!I68=0,"-",TEXT('合并资产负债表 '!I68,"#,##0.00"))</f>
        <v>-</v>
      </c>
      <c r="D298" s="435">
        <f>'合并资产负债表 '!I68</f>
        <v>0</v>
      </c>
      <c r="G298" s="585"/>
    </row>
    <row r="299" spans="1:7">
      <c r="A299" s="432" t="s">
        <v>734</v>
      </c>
      <c r="B299" s="432" t="str">
        <f t="shared" si="4"/>
        <v>-</v>
      </c>
      <c r="C299" s="435" t="str">
        <f>IF('合并资产负债表 '!I70=0,"-",TEXT('合并资产负债表 '!I70,"#,##0.00"))</f>
        <v>-</v>
      </c>
      <c r="D299" s="435">
        <f>'合并资产负债表 '!I70</f>
        <v>0</v>
      </c>
      <c r="G299" s="585"/>
    </row>
    <row r="300" spans="1:7">
      <c r="A300" s="432" t="s">
        <v>735</v>
      </c>
      <c r="B300" s="432" t="str">
        <f t="shared" si="4"/>
        <v>-</v>
      </c>
      <c r="C300" s="435" t="str">
        <f>IF('合并资产负债表 '!I71=0,"-",TEXT('合并资产负债表 '!I71,"#,##0.00"))</f>
        <v>-</v>
      </c>
      <c r="D300" s="435">
        <f>'合并资产负债表 '!I71</f>
        <v>0</v>
      </c>
      <c r="G300" s="585"/>
    </row>
    <row r="301" spans="1:7">
      <c r="A301" s="432" t="s">
        <v>736</v>
      </c>
      <c r="B301" s="432" t="str">
        <f t="shared" si="4"/>
        <v>-</v>
      </c>
      <c r="C301" s="435" t="str">
        <f>IF('合并资产负债表 '!I72=0,"-",TEXT('合并资产负债表 '!I72,"#,##0.00"))</f>
        <v>-</v>
      </c>
      <c r="D301" s="435">
        <f>'合并资产负债表 '!I72</f>
        <v>0</v>
      </c>
      <c r="G301" s="585"/>
    </row>
    <row r="302" spans="1:7">
      <c r="A302" s="432" t="s">
        <v>737</v>
      </c>
      <c r="B302" s="432" t="str">
        <f t="shared" si="4"/>
        <v>-</v>
      </c>
      <c r="C302" s="435" t="str">
        <f>IF('合并资产负债表 '!I73=0,"-",TEXT('合并资产负债表 '!I73,"#,##0.00"))</f>
        <v>-</v>
      </c>
      <c r="D302" s="435">
        <f>'合并资产负债表 '!I73</f>
        <v>0</v>
      </c>
      <c r="G302" s="585"/>
    </row>
    <row r="303" spans="1:7">
      <c r="A303" s="432" t="s">
        <v>738</v>
      </c>
      <c r="B303" s="432" t="str">
        <f t="shared" si="4"/>
        <v>-</v>
      </c>
      <c r="C303" s="435" t="str">
        <f>IF('合并资产负债表 '!I74=0,"-",TEXT('合并资产负债表 '!I74,"#,##0.00"))</f>
        <v>-</v>
      </c>
      <c r="D303" s="435">
        <f>'合并资产负债表 '!I74</f>
        <v>0</v>
      </c>
      <c r="G303" s="585"/>
    </row>
    <row r="304" spans="1:7">
      <c r="A304" s="432" t="s">
        <v>739</v>
      </c>
      <c r="B304" s="432" t="str">
        <f t="shared" si="4"/>
        <v>-</v>
      </c>
      <c r="C304" s="435" t="str">
        <f>IF('合并资产负债表 '!I75=0,"-",TEXT('合并资产负债表 '!I75,"#,##0.00"))</f>
        <v>-</v>
      </c>
      <c r="D304" s="435">
        <f>'合并资产负债表 '!I75</f>
        <v>0</v>
      </c>
      <c r="G304" s="585"/>
    </row>
    <row r="305" spans="1:7">
      <c r="A305" s="432" t="s">
        <v>740</v>
      </c>
      <c r="B305" s="432" t="str">
        <f t="shared" si="4"/>
        <v>-</v>
      </c>
      <c r="C305" s="435" t="str">
        <f>IF('合并资产负债表 '!I76=0,"-",TEXT('合并资产负债表 '!I76,"#,##0.00"))</f>
        <v>-</v>
      </c>
      <c r="D305" s="435">
        <f>'合并资产负债表 '!I76</f>
        <v>0</v>
      </c>
      <c r="G305" s="585"/>
    </row>
    <row r="306" spans="1:7">
      <c r="A306" s="432" t="s">
        <v>741</v>
      </c>
      <c r="B306" s="432" t="str">
        <f t="shared" si="4"/>
        <v>-</v>
      </c>
      <c r="C306" s="435" t="str">
        <f>IF('合并资产负债表 '!I77=0,"-",TEXT('合并资产负债表 '!I77,"#,##0.00"))</f>
        <v>-</v>
      </c>
      <c r="D306" s="435">
        <f>'合并资产负债表 '!I77</f>
        <v>0</v>
      </c>
      <c r="G306" s="585"/>
    </row>
    <row r="307" spans="1:7">
      <c r="A307" s="432" t="s">
        <v>742</v>
      </c>
      <c r="B307" s="432" t="str">
        <f t="shared" si="4"/>
        <v>-</v>
      </c>
      <c r="C307" s="435" t="str">
        <f>IF('合并资产负债表 '!I78=0,"-",TEXT('合并资产负债表 '!I78,"#,##0.00"))</f>
        <v>-</v>
      </c>
      <c r="D307" s="435">
        <f>'合并资产负债表 '!I78</f>
        <v>0</v>
      </c>
      <c r="G307" s="585"/>
    </row>
    <row r="308" spans="1:7">
      <c r="A308" s="432" t="s">
        <v>743</v>
      </c>
      <c r="B308" s="432" t="str">
        <f t="shared" si="4"/>
        <v>-</v>
      </c>
      <c r="C308" s="435" t="str">
        <f>IF('合并资产负债表 '!I79=0,"-",TEXT('合并资产负债表 '!I79,"#,##0.00"))</f>
        <v>-</v>
      </c>
      <c r="D308" s="435">
        <f>'合并资产负债表 '!I79</f>
        <v>0</v>
      </c>
      <c r="G308" s="585"/>
    </row>
    <row r="309" spans="1:7">
      <c r="A309" s="432" t="s">
        <v>744</v>
      </c>
      <c r="B309" s="432" t="str">
        <f t="shared" si="4"/>
        <v>-</v>
      </c>
      <c r="C309" s="435" t="str">
        <f>IF('合并资产负债表 '!I80=0,"-",TEXT('合并资产负债表 '!I80,"#,##0.00"))</f>
        <v>-</v>
      </c>
      <c r="D309" s="435">
        <f>'合并资产负债表 '!I80</f>
        <v>0</v>
      </c>
      <c r="G309" s="585"/>
    </row>
    <row r="310" spans="1:7">
      <c r="A310" s="432" t="s">
        <v>745</v>
      </c>
      <c r="B310" s="432" t="str">
        <f t="shared" si="4"/>
        <v>-</v>
      </c>
      <c r="C310" s="435" t="str">
        <f>IF('合并资产负债表 '!I81=0,"-",TEXT('合并资产负债表 '!I81,"#,##0.00"))</f>
        <v>-</v>
      </c>
      <c r="D310" s="435">
        <f>'合并资产负债表 '!I81</f>
        <v>0</v>
      </c>
      <c r="G310" s="585"/>
    </row>
    <row r="311" spans="1:7">
      <c r="A311" s="432" t="s">
        <v>746</v>
      </c>
      <c r="B311" s="432" t="str">
        <f t="shared" si="4"/>
        <v>-</v>
      </c>
      <c r="C311" s="435" t="str">
        <f>IF('合并资产负债表 '!I82=0,"-",TEXT('合并资产负债表 '!I82,"#,##0.00"))</f>
        <v>-</v>
      </c>
      <c r="D311" s="435">
        <f>'合并资产负债表 '!I82</f>
        <v>0</v>
      </c>
      <c r="G311" s="585"/>
    </row>
    <row r="312" spans="1:7">
      <c r="A312" s="432" t="s">
        <v>2252</v>
      </c>
      <c r="B312" s="432" t="str">
        <f t="shared" si="4"/>
        <v>-</v>
      </c>
      <c r="C312" s="435" t="str">
        <f>IF('母公司资产负债表  '!F5=0,"-",TEXT('母公司资产负债表  '!F5,"#,##0.00"))</f>
        <v>-</v>
      </c>
      <c r="D312" s="435">
        <f>'母公司资产负债表  '!F5</f>
        <v>0</v>
      </c>
      <c r="E312" s="436" t="s">
        <v>2269</v>
      </c>
      <c r="G312" s="585"/>
    </row>
    <row r="313" spans="1:7">
      <c r="A313" s="432" t="s">
        <v>2253</v>
      </c>
      <c r="B313" s="432" t="str">
        <f t="shared" si="4"/>
        <v>-</v>
      </c>
      <c r="C313" s="435" t="str">
        <f>IF('母公司资产负债表  '!F6=0,"-",TEXT('母公司资产负债表  '!F6,"#,##0.00"))</f>
        <v>-</v>
      </c>
      <c r="D313" s="435">
        <f>'母公司资产负债表  '!F6</f>
        <v>0</v>
      </c>
      <c r="G313" s="585"/>
    </row>
    <row r="314" spans="1:7">
      <c r="A314" s="432" t="s">
        <v>2254</v>
      </c>
      <c r="B314" s="432" t="str">
        <f t="shared" si="4"/>
        <v>-</v>
      </c>
      <c r="C314" s="435" t="str">
        <f>IF('母公司资产负债表  '!F7=0,"-",TEXT('母公司资产负债表  '!F7,"#,##0.00"))</f>
        <v>-</v>
      </c>
      <c r="D314" s="435">
        <f>'母公司资产负债表  '!F7</f>
        <v>0</v>
      </c>
      <c r="G314" s="585"/>
    </row>
    <row r="315" spans="1:7">
      <c r="A315" s="432" t="s">
        <v>2255</v>
      </c>
      <c r="B315" s="432" t="str">
        <f t="shared" si="4"/>
        <v>-</v>
      </c>
      <c r="C315" s="435" t="str">
        <f>IF('母公司资产负债表  '!F8=0,"-",TEXT('母公司资产负债表  '!F8,"#,##0.00"))</f>
        <v>-</v>
      </c>
      <c r="D315" s="435">
        <f>'母公司资产负债表  '!F8</f>
        <v>0</v>
      </c>
      <c r="G315" s="585"/>
    </row>
    <row r="316" spans="1:7">
      <c r="A316" s="432" t="s">
        <v>2256</v>
      </c>
      <c r="B316" s="432" t="str">
        <f t="shared" si="4"/>
        <v>-</v>
      </c>
      <c r="C316" s="435" t="str">
        <f>IF('母公司资产负债表  '!F9=0,"-",TEXT('母公司资产负债表  '!F9,"#,##0.00"))</f>
        <v>-</v>
      </c>
      <c r="D316" s="435">
        <f>'母公司资产负债表  '!F9</f>
        <v>0</v>
      </c>
      <c r="G316" s="585"/>
    </row>
    <row r="317" spans="1:7">
      <c r="A317" s="432" t="s">
        <v>2257</v>
      </c>
      <c r="B317" s="432" t="str">
        <f t="shared" si="4"/>
        <v>-</v>
      </c>
      <c r="C317" s="435" t="str">
        <f>IF('母公司资产负债表  '!F10=0,"-",TEXT('母公司资产负债表  '!F10,"#,##0.00"))</f>
        <v>-</v>
      </c>
      <c r="D317" s="435">
        <f>'母公司资产负债表  '!F10</f>
        <v>0</v>
      </c>
      <c r="G317" s="585"/>
    </row>
    <row r="318" spans="1:7">
      <c r="A318" s="432" t="s">
        <v>2258</v>
      </c>
      <c r="B318" s="432" t="str">
        <f t="shared" si="4"/>
        <v>-</v>
      </c>
      <c r="C318" s="435" t="str">
        <f>IF('母公司资产负债表  '!F11=0,"-",TEXT('母公司资产负债表  '!F11,"#,##0.00"))</f>
        <v>-</v>
      </c>
      <c r="D318" s="435">
        <f>'母公司资产负债表  '!F11</f>
        <v>0</v>
      </c>
      <c r="G318" s="585"/>
    </row>
    <row r="319" spans="1:7">
      <c r="A319" s="432" t="s">
        <v>2259</v>
      </c>
      <c r="B319" s="432" t="str">
        <f t="shared" si="4"/>
        <v>-</v>
      </c>
      <c r="C319" s="435" t="str">
        <f>IF('母公司资产负债表  '!F12=0,"-",TEXT('母公司资产负债表  '!F12,"#,##0.00"))</f>
        <v>-</v>
      </c>
      <c r="D319" s="435">
        <f>'母公司资产负债表  '!F12</f>
        <v>0</v>
      </c>
      <c r="G319" s="585"/>
    </row>
    <row r="320" spans="1:7">
      <c r="A320" s="432" t="s">
        <v>2260</v>
      </c>
      <c r="B320" s="432" t="str">
        <f t="shared" si="4"/>
        <v>-</v>
      </c>
      <c r="C320" s="435" t="str">
        <f>IF('母公司资产负债表  '!F13=0,"-",TEXT('母公司资产负债表  '!F13,"#,##0.00"))</f>
        <v>-</v>
      </c>
      <c r="D320" s="435">
        <f>'母公司资产负债表  '!F13</f>
        <v>0</v>
      </c>
      <c r="G320" s="585"/>
    </row>
    <row r="321" spans="1:7">
      <c r="A321" s="432" t="s">
        <v>2261</v>
      </c>
      <c r="B321" s="432" t="str">
        <f t="shared" si="4"/>
        <v>-</v>
      </c>
      <c r="C321" s="435" t="str">
        <f>IF('母公司资产负债表  '!F14=0,"-",TEXT('母公司资产负债表  '!F14,"#,##0.00"))</f>
        <v>-</v>
      </c>
      <c r="D321" s="435">
        <f>'母公司资产负债表  '!F14</f>
        <v>0</v>
      </c>
      <c r="G321" s="585"/>
    </row>
    <row r="322" spans="1:7">
      <c r="A322" s="432" t="s">
        <v>2262</v>
      </c>
      <c r="B322" s="432" t="str">
        <f t="shared" si="4"/>
        <v>-</v>
      </c>
      <c r="C322" s="435" t="str">
        <f>IF('母公司资产负债表  '!F15=0,"-",TEXT('母公司资产负债表  '!F15,"#,##0.00"))</f>
        <v>-</v>
      </c>
      <c r="D322" s="435">
        <f>'母公司资产负债表  '!F15</f>
        <v>0</v>
      </c>
      <c r="G322" s="585"/>
    </row>
    <row r="323" spans="1:7">
      <c r="A323" s="432" t="s">
        <v>2263</v>
      </c>
      <c r="B323" s="432" t="str">
        <f t="shared" si="4"/>
        <v>-</v>
      </c>
      <c r="C323" s="435" t="str">
        <f>IF('母公司资产负债表  '!F16=0,"-",TEXT('母公司资产负债表  '!F16,"#,##0.00"))</f>
        <v>-</v>
      </c>
      <c r="D323" s="435">
        <f>'母公司资产负债表  '!F16</f>
        <v>0</v>
      </c>
      <c r="G323" s="585"/>
    </row>
    <row r="324" spans="1:7">
      <c r="A324" s="432" t="s">
        <v>2264</v>
      </c>
      <c r="B324" s="432" t="str">
        <f t="shared" ref="B324:B387" si="5">TRIM(C324)</f>
        <v>-</v>
      </c>
      <c r="C324" s="435" t="str">
        <f>IF('母公司资产负债表  '!F17=0,"-",TEXT('母公司资产负债表  '!F17,"#,##0.00"))</f>
        <v>-</v>
      </c>
      <c r="D324" s="435">
        <f>'母公司资产负债表  '!F17</f>
        <v>0</v>
      </c>
    </row>
    <row r="325" spans="1:7">
      <c r="A325" s="432" t="s">
        <v>2265</v>
      </c>
      <c r="B325" s="432" t="str">
        <f t="shared" si="5"/>
        <v>-</v>
      </c>
      <c r="C325" s="435" t="str">
        <f>IF('母公司资产负债表  '!F18=0,"-",TEXT('母公司资产负债表  '!F18,"#,##0.00"))</f>
        <v>-</v>
      </c>
      <c r="D325" s="435">
        <f>'母公司资产负债表  '!F18</f>
        <v>0</v>
      </c>
    </row>
    <row r="326" spans="1:7">
      <c r="A326" s="432" t="s">
        <v>2266</v>
      </c>
      <c r="B326" s="432" t="str">
        <f t="shared" si="5"/>
        <v>-</v>
      </c>
      <c r="C326" s="435" t="str">
        <f>IF('母公司资产负债表  '!F19=0,"-",TEXT('母公司资产负债表  '!F19,"#,##0.00"))</f>
        <v>-</v>
      </c>
      <c r="D326" s="435">
        <f>'母公司资产负债表  '!F19</f>
        <v>0</v>
      </c>
    </row>
    <row r="327" spans="1:7">
      <c r="A327" s="432" t="s">
        <v>2267</v>
      </c>
      <c r="B327" s="432" t="str">
        <f t="shared" si="5"/>
        <v>-</v>
      </c>
      <c r="C327" s="435" t="str">
        <f>IF('母公司资产负债表  '!F21=0,"-",TEXT('母公司资产负债表  '!F21,"#,##0.00"))</f>
        <v>-</v>
      </c>
      <c r="D327" s="435">
        <f>'母公司资产负债表  '!F21</f>
        <v>0</v>
      </c>
    </row>
    <row r="328" spans="1:7">
      <c r="A328" s="432" t="s">
        <v>2268</v>
      </c>
      <c r="B328" s="432" t="str">
        <f t="shared" si="5"/>
        <v>-</v>
      </c>
      <c r="C328" s="435" t="str">
        <f>IF('母公司资产负债表  '!F22=0,"-",TEXT('母公司资产负债表  '!F22,"#,##0.00"))</f>
        <v>-</v>
      </c>
      <c r="D328" s="435">
        <f>'母公司资产负债表  '!F22</f>
        <v>0</v>
      </c>
    </row>
    <row r="329" spans="1:7">
      <c r="A329" s="432" t="s">
        <v>761</v>
      </c>
      <c r="B329" s="432" t="str">
        <f t="shared" si="5"/>
        <v>-</v>
      </c>
      <c r="C329" s="435" t="str">
        <f>IF('母公司资产负债表  '!F23=0,"-",TEXT('母公司资产负债表  '!F23,"#,##0.00"))</f>
        <v>-</v>
      </c>
      <c r="D329" s="435">
        <f>'母公司资产负债表  '!F23</f>
        <v>0</v>
      </c>
    </row>
    <row r="330" spans="1:7">
      <c r="A330" s="432" t="s">
        <v>762</v>
      </c>
      <c r="B330" s="432" t="str">
        <f t="shared" si="5"/>
        <v>-</v>
      </c>
      <c r="C330" s="435" t="str">
        <f>IF('母公司资产负债表  '!F24=0,"-",TEXT('母公司资产负债表  '!F24,"#,##0.00"))</f>
        <v>-</v>
      </c>
      <c r="D330" s="435">
        <f>'母公司资产负债表  '!F24</f>
        <v>0</v>
      </c>
    </row>
    <row r="331" spans="1:7">
      <c r="A331" s="432" t="s">
        <v>763</v>
      </c>
      <c r="B331" s="432" t="str">
        <f t="shared" si="5"/>
        <v>-</v>
      </c>
      <c r="C331" s="435" t="str">
        <f>IF('母公司资产负债表  '!F25=0,"-",TEXT('母公司资产负债表  '!F25,"#,##0.00"))</f>
        <v>-</v>
      </c>
      <c r="D331" s="435">
        <f>'母公司资产负债表  '!F25</f>
        <v>0</v>
      </c>
    </row>
    <row r="332" spans="1:7">
      <c r="A332" s="432" t="s">
        <v>764</v>
      </c>
      <c r="B332" s="432" t="str">
        <f t="shared" si="5"/>
        <v>-</v>
      </c>
      <c r="C332" s="435" t="str">
        <f>IF('母公司资产负债表  '!F26=0,"-",TEXT('母公司资产负债表  '!F26,"#,##0.00"))</f>
        <v>-</v>
      </c>
      <c r="D332" s="435">
        <f>'母公司资产负债表  '!F26</f>
        <v>0</v>
      </c>
    </row>
    <row r="333" spans="1:7">
      <c r="A333" s="432" t="s">
        <v>765</v>
      </c>
      <c r="B333" s="432" t="str">
        <f t="shared" si="5"/>
        <v>-</v>
      </c>
      <c r="C333" s="435" t="str">
        <f>IF('母公司资产负债表  '!F27=0,"-",TEXT('母公司资产负债表  '!F27,"#,##0.00"))</f>
        <v>-</v>
      </c>
      <c r="D333" s="435">
        <f>'母公司资产负债表  '!F27</f>
        <v>0</v>
      </c>
    </row>
    <row r="334" spans="1:7">
      <c r="A334" s="432" t="s">
        <v>766</v>
      </c>
      <c r="B334" s="432" t="str">
        <f t="shared" si="5"/>
        <v>-</v>
      </c>
      <c r="C334" s="435" t="str">
        <f>IF('母公司资产负债表  '!F28=0,"-",TEXT('母公司资产负债表  '!F28,"#,##0.00"))</f>
        <v>-</v>
      </c>
      <c r="D334" s="435">
        <f>'母公司资产负债表  '!F28</f>
        <v>0</v>
      </c>
    </row>
    <row r="335" spans="1:7">
      <c r="A335" s="432" t="s">
        <v>767</v>
      </c>
      <c r="B335" s="432" t="str">
        <f t="shared" si="5"/>
        <v>-</v>
      </c>
      <c r="C335" s="435" t="str">
        <f>IF('母公司资产负债表  '!F29=0,"-",TEXT('母公司资产负债表  '!F29,"#,##0.00"))</f>
        <v>-</v>
      </c>
      <c r="D335" s="435">
        <f>'母公司资产负债表  '!F29</f>
        <v>0</v>
      </c>
    </row>
    <row r="336" spans="1:7">
      <c r="A336" s="432" t="s">
        <v>768</v>
      </c>
      <c r="B336" s="432" t="str">
        <f t="shared" si="5"/>
        <v>-</v>
      </c>
      <c r="C336" s="435" t="str">
        <f>IF('母公司资产负债表  '!F30=0,"-",TEXT('母公司资产负债表  '!F30,"#,##0.00"))</f>
        <v>-</v>
      </c>
      <c r="D336" s="435">
        <f>'母公司资产负债表  '!F30</f>
        <v>0</v>
      </c>
    </row>
    <row r="337" spans="1:4">
      <c r="A337" s="432" t="s">
        <v>769</v>
      </c>
      <c r="B337" s="432" t="str">
        <f t="shared" si="5"/>
        <v>-</v>
      </c>
      <c r="C337" s="435" t="str">
        <f>IF('母公司资产负债表  '!F31=0,"-",TEXT('母公司资产负债表  '!F31,"#,##0.00"))</f>
        <v>-</v>
      </c>
      <c r="D337" s="435">
        <f>'母公司资产负债表  '!F31</f>
        <v>0</v>
      </c>
    </row>
    <row r="338" spans="1:4">
      <c r="A338" s="432" t="s">
        <v>770</v>
      </c>
      <c r="B338" s="432" t="str">
        <f t="shared" si="5"/>
        <v>-</v>
      </c>
      <c r="C338" s="435" t="str">
        <f>IF('母公司资产负债表  '!F32=0,"-",TEXT('母公司资产负债表  '!F32,"#,##0.00"))</f>
        <v>-</v>
      </c>
      <c r="D338" s="435">
        <f>'母公司资产负债表  '!F32</f>
        <v>0</v>
      </c>
    </row>
    <row r="339" spans="1:4">
      <c r="A339" s="432" t="s">
        <v>771</v>
      </c>
      <c r="B339" s="432" t="str">
        <f t="shared" si="5"/>
        <v>-</v>
      </c>
      <c r="C339" s="435" t="str">
        <f>IF('母公司资产负债表  '!F33=0,"-",TEXT('母公司资产负债表  '!F33,"#,##0.00"))</f>
        <v>-</v>
      </c>
      <c r="D339" s="435">
        <f>'母公司资产负债表  '!F33</f>
        <v>0</v>
      </c>
    </row>
    <row r="340" spans="1:4">
      <c r="A340" s="432" t="s">
        <v>772</v>
      </c>
      <c r="B340" s="432" t="str">
        <f t="shared" si="5"/>
        <v>-</v>
      </c>
      <c r="C340" s="435" t="str">
        <f>IF('母公司资产负债表  '!F34=0,"-",TEXT('母公司资产负债表  '!F34,"#,##0.00"))</f>
        <v>-</v>
      </c>
      <c r="D340" s="435">
        <f>'母公司资产负债表  '!F34</f>
        <v>0</v>
      </c>
    </row>
    <row r="341" spans="1:4">
      <c r="A341" s="432" t="s">
        <v>773</v>
      </c>
      <c r="B341" s="432" t="str">
        <f t="shared" si="5"/>
        <v>-</v>
      </c>
      <c r="C341" s="435" t="str">
        <f>IF('母公司资产负债表  '!F35=0,"-",TEXT('母公司资产负债表  '!F35,"#,##0.00"))</f>
        <v>-</v>
      </c>
      <c r="D341" s="435">
        <f>'母公司资产负债表  '!F35</f>
        <v>0</v>
      </c>
    </row>
    <row r="342" spans="1:4">
      <c r="A342" s="432" t="s">
        <v>774</v>
      </c>
      <c r="B342" s="432" t="str">
        <f t="shared" si="5"/>
        <v>-</v>
      </c>
      <c r="C342" s="435" t="str">
        <f>IF('母公司资产负债表  '!F36=0,"-",TEXT('母公司资产负债表  '!F36,"#,##0.00"))</f>
        <v>-</v>
      </c>
      <c r="D342" s="435">
        <f>'母公司资产负债表  '!F36</f>
        <v>0</v>
      </c>
    </row>
    <row r="343" spans="1:4">
      <c r="A343" s="432" t="s">
        <v>775</v>
      </c>
      <c r="B343" s="432" t="str">
        <f t="shared" si="5"/>
        <v>-</v>
      </c>
      <c r="C343" s="435" t="str">
        <f>IF('母公司资产负债表  '!F37=0,"-",TEXT('母公司资产负债表  '!F37,"#,##0.00"))</f>
        <v>-</v>
      </c>
      <c r="D343" s="435">
        <f>'母公司资产负债表  '!F37</f>
        <v>0</v>
      </c>
    </row>
    <row r="344" spans="1:4">
      <c r="A344" s="432" t="s">
        <v>776</v>
      </c>
      <c r="B344" s="432" t="str">
        <f t="shared" si="5"/>
        <v>-</v>
      </c>
      <c r="C344" s="435" t="str">
        <f>IF('母公司资产负债表  '!F39=0,"-",TEXT('母公司资产负债表  '!F39,"#,##0.00"))</f>
        <v>-</v>
      </c>
      <c r="D344" s="435">
        <f>'母公司资产负债表  '!F39</f>
        <v>0</v>
      </c>
    </row>
    <row r="345" spans="1:4">
      <c r="A345" s="432" t="s">
        <v>777</v>
      </c>
      <c r="B345" s="432" t="str">
        <f t="shared" si="5"/>
        <v>-</v>
      </c>
      <c r="C345" s="435" t="str">
        <f>IF('母公司资产负债表  '!F40=0,"-",TEXT('母公司资产负债表  '!F40,"#,##0.00"))</f>
        <v>-</v>
      </c>
      <c r="D345" s="435">
        <f>'母公司资产负债表  '!F40</f>
        <v>0</v>
      </c>
    </row>
    <row r="346" spans="1:4">
      <c r="A346" s="432" t="s">
        <v>778</v>
      </c>
      <c r="B346" s="432" t="str">
        <f t="shared" si="5"/>
        <v>-</v>
      </c>
      <c r="C346" s="435" t="str">
        <f>IF('母公司资产负债表  '!F41=0,"-",TEXT('母公司资产负债表  '!F41,"#,##0.00"))</f>
        <v>-</v>
      </c>
      <c r="D346" s="435">
        <f>'母公司资产负债表  '!F41</f>
        <v>0</v>
      </c>
    </row>
    <row r="347" spans="1:4">
      <c r="A347" s="432" t="s">
        <v>779</v>
      </c>
      <c r="B347" s="432" t="str">
        <f t="shared" si="5"/>
        <v>-</v>
      </c>
      <c r="C347" s="435" t="str">
        <f>IF('母公司资产负债表  '!F42=0,"-",TEXT('母公司资产负债表  '!F42,"#,##0.00"))</f>
        <v>-</v>
      </c>
      <c r="D347" s="435">
        <f>'母公司资产负债表  '!F42</f>
        <v>0</v>
      </c>
    </row>
    <row r="348" spans="1:4">
      <c r="A348" s="432" t="s">
        <v>780</v>
      </c>
      <c r="B348" s="432" t="str">
        <f t="shared" si="5"/>
        <v>-</v>
      </c>
      <c r="C348" s="435" t="str">
        <f>IF('母公司资产负债表  '!F43=0,"-",TEXT('母公司资产负债表  '!F43,"#,##0.00"))</f>
        <v>-</v>
      </c>
      <c r="D348" s="435">
        <f>'母公司资产负债表  '!F43</f>
        <v>0</v>
      </c>
    </row>
    <row r="349" spans="1:4">
      <c r="A349" s="432" t="s">
        <v>781</v>
      </c>
      <c r="B349" s="432" t="str">
        <f t="shared" si="5"/>
        <v>-</v>
      </c>
      <c r="C349" s="435" t="str">
        <f>IF('母公司资产负债表  '!F44=0,"-",TEXT('母公司资产负债表  '!F44,"#,##0.00"))</f>
        <v>-</v>
      </c>
      <c r="D349" s="435">
        <f>'母公司资产负债表  '!F44</f>
        <v>0</v>
      </c>
    </row>
    <row r="350" spans="1:4">
      <c r="A350" s="432" t="s">
        <v>782</v>
      </c>
      <c r="B350" s="432" t="str">
        <f t="shared" si="5"/>
        <v>-</v>
      </c>
      <c r="C350" s="435" t="str">
        <f>IF('母公司资产负债表  '!F45=0,"-",TEXT('母公司资产负债表  '!F45,"#,##0.00"))</f>
        <v>-</v>
      </c>
      <c r="D350" s="435">
        <f>'母公司资产负债表  '!F45</f>
        <v>0</v>
      </c>
    </row>
    <row r="351" spans="1:4">
      <c r="A351" s="432" t="s">
        <v>783</v>
      </c>
      <c r="B351" s="432" t="str">
        <f t="shared" si="5"/>
        <v>-</v>
      </c>
      <c r="C351" s="435" t="str">
        <f>IF('母公司资产负债表  '!F46=0,"-",TEXT('母公司资产负债表  '!F46,"#,##0.00"))</f>
        <v>-</v>
      </c>
      <c r="D351" s="435">
        <f>'母公司资产负债表  '!F46</f>
        <v>0</v>
      </c>
    </row>
    <row r="352" spans="1:4">
      <c r="A352" s="432" t="s">
        <v>784</v>
      </c>
      <c r="B352" s="432" t="str">
        <f t="shared" si="5"/>
        <v>-</v>
      </c>
      <c r="C352" s="435" t="str">
        <f>IF('母公司资产负债表  '!F47=0,"-",TEXT('母公司资产负债表  '!F47,"#,##0.00"))</f>
        <v>-</v>
      </c>
      <c r="D352" s="435">
        <f>'母公司资产负债表  '!F47</f>
        <v>0</v>
      </c>
    </row>
    <row r="353" spans="1:4">
      <c r="A353" s="432" t="s">
        <v>785</v>
      </c>
      <c r="B353" s="432" t="str">
        <f t="shared" si="5"/>
        <v>-</v>
      </c>
      <c r="C353" s="435" t="str">
        <f>IF('母公司资产负债表  '!F48=0,"-",TEXT('母公司资产负债表  '!F48,"#,##0.00"))</f>
        <v>-</v>
      </c>
      <c r="D353" s="435">
        <f>'母公司资产负债表  '!F48</f>
        <v>0</v>
      </c>
    </row>
    <row r="354" spans="1:4">
      <c r="A354" s="432" t="s">
        <v>786</v>
      </c>
      <c r="B354" s="432" t="str">
        <f t="shared" si="5"/>
        <v>-</v>
      </c>
      <c r="C354" s="435" t="str">
        <f>IF('母公司资产负债表  '!F49=0,"-",TEXT('母公司资产负债表  '!F49,"#,##0.00"))</f>
        <v>-</v>
      </c>
      <c r="D354" s="435">
        <f>'母公司资产负债表  '!F49</f>
        <v>0</v>
      </c>
    </row>
    <row r="355" spans="1:4">
      <c r="A355" s="432" t="s">
        <v>787</v>
      </c>
      <c r="B355" s="432" t="str">
        <f t="shared" si="5"/>
        <v>-</v>
      </c>
      <c r="C355" s="435" t="str">
        <f>IF('母公司资产负债表  '!F50=0,"-",TEXT('母公司资产负债表  '!F50,"#,##0.00"))</f>
        <v>-</v>
      </c>
      <c r="D355" s="435">
        <f>'母公司资产负债表  '!F50</f>
        <v>0</v>
      </c>
    </row>
    <row r="356" spans="1:4">
      <c r="A356" s="432" t="s">
        <v>788</v>
      </c>
      <c r="B356" s="432" t="str">
        <f t="shared" si="5"/>
        <v>-</v>
      </c>
      <c r="C356" s="435" t="str">
        <f>IF('母公司资产负债表  '!F51=0,"-",TEXT('母公司资产负债表  '!F51,"#,##0.00"))</f>
        <v>-</v>
      </c>
      <c r="D356" s="435">
        <f>'母公司资产负债表  '!F51</f>
        <v>0</v>
      </c>
    </row>
    <row r="357" spans="1:4">
      <c r="A357" s="432" t="s">
        <v>789</v>
      </c>
      <c r="B357" s="432" t="str">
        <f t="shared" si="5"/>
        <v>-</v>
      </c>
      <c r="C357" s="435" t="str">
        <f>IF('母公司资产负债表  '!F52=0,"-",TEXT('母公司资产负债表  '!F52,"#,##0.00"))</f>
        <v>-</v>
      </c>
      <c r="D357" s="435">
        <f>'母公司资产负债表  '!F52</f>
        <v>0</v>
      </c>
    </row>
    <row r="358" spans="1:4">
      <c r="A358" s="432" t="s">
        <v>790</v>
      </c>
      <c r="B358" s="432" t="str">
        <f t="shared" si="5"/>
        <v>-</v>
      </c>
      <c r="C358" s="435" t="str">
        <f>IF('母公司资产负债表  '!F53=0,"-",TEXT('母公司资产负债表  '!F53,"#,##0.00"))</f>
        <v>-</v>
      </c>
      <c r="D358" s="435">
        <f>'母公司资产负债表  '!F53</f>
        <v>0</v>
      </c>
    </row>
    <row r="359" spans="1:4">
      <c r="A359" s="432" t="s">
        <v>791</v>
      </c>
      <c r="B359" s="432" t="str">
        <f t="shared" si="5"/>
        <v>-</v>
      </c>
      <c r="C359" s="435" t="str">
        <f>IF('母公司资产负债表  '!F54=0,"-",TEXT('母公司资产负债表  '!F54,"#,##0.00"))</f>
        <v>-</v>
      </c>
      <c r="D359" s="435">
        <f>'母公司资产负债表  '!F54</f>
        <v>0</v>
      </c>
    </row>
    <row r="360" spans="1:4">
      <c r="A360" s="432" t="s">
        <v>792</v>
      </c>
      <c r="B360" s="432" t="str">
        <f t="shared" si="5"/>
        <v>-</v>
      </c>
      <c r="C360" s="435" t="str">
        <f>IF('母公司资产负债表  '!F56=0,"-",TEXT('母公司资产负债表  '!F56,"#,##0.00"))</f>
        <v>-</v>
      </c>
      <c r="D360" s="435">
        <f>'母公司资产负债表  '!F56</f>
        <v>0</v>
      </c>
    </row>
    <row r="361" spans="1:4">
      <c r="A361" s="432" t="s">
        <v>793</v>
      </c>
      <c r="B361" s="432" t="str">
        <f t="shared" si="5"/>
        <v>-</v>
      </c>
      <c r="C361" s="435" t="str">
        <f>IF('母公司资产负债表  '!F57=0,"-",TEXT('母公司资产负债表  '!F57,"#,##0.00"))</f>
        <v>-</v>
      </c>
      <c r="D361" s="435">
        <f>'母公司资产负债表  '!F57</f>
        <v>0</v>
      </c>
    </row>
    <row r="362" spans="1:4">
      <c r="A362" s="432" t="s">
        <v>794</v>
      </c>
      <c r="B362" s="432" t="str">
        <f t="shared" si="5"/>
        <v>-</v>
      </c>
      <c r="C362" s="435" t="str">
        <f>IF('母公司资产负债表  '!F58=0,"-",TEXT('母公司资产负债表  '!F58,"#,##0.00"))</f>
        <v>-</v>
      </c>
      <c r="D362" s="435">
        <f>'母公司资产负债表  '!F58</f>
        <v>0</v>
      </c>
    </row>
    <row r="363" spans="1:4">
      <c r="A363" s="432" t="s">
        <v>795</v>
      </c>
      <c r="B363" s="432" t="str">
        <f t="shared" si="5"/>
        <v>-</v>
      </c>
      <c r="C363" s="435" t="str">
        <f>IF('母公司资产负债表  '!F59=0,"-",TEXT('母公司资产负债表  '!F59,"#,##0.00"))</f>
        <v>-</v>
      </c>
      <c r="D363" s="435">
        <f>'母公司资产负债表  '!F59</f>
        <v>0</v>
      </c>
    </row>
    <row r="364" spans="1:4">
      <c r="A364" s="432" t="s">
        <v>796</v>
      </c>
      <c r="B364" s="432" t="str">
        <f t="shared" si="5"/>
        <v>-</v>
      </c>
      <c r="C364" s="435" t="str">
        <f>IF('母公司资产负债表  '!F60=0,"-",TEXT('母公司资产负债表  '!F60,"#,##0.00"))</f>
        <v>-</v>
      </c>
      <c r="D364" s="435">
        <f>'母公司资产负债表  '!F60</f>
        <v>0</v>
      </c>
    </row>
    <row r="365" spans="1:4">
      <c r="A365" s="432" t="s">
        <v>797</v>
      </c>
      <c r="B365" s="432" t="str">
        <f t="shared" si="5"/>
        <v>-</v>
      </c>
      <c r="C365" s="435" t="str">
        <f>IF('母公司资产负债表  '!F61=0,"-",TEXT('母公司资产负债表  '!F61,"#,##0.00"))</f>
        <v>-</v>
      </c>
      <c r="D365" s="435">
        <f>'母公司资产负债表  '!F61</f>
        <v>0</v>
      </c>
    </row>
    <row r="366" spans="1:4">
      <c r="A366" s="432" t="s">
        <v>798</v>
      </c>
      <c r="B366" s="432" t="str">
        <f t="shared" si="5"/>
        <v>-</v>
      </c>
      <c r="C366" s="435" t="str">
        <f>IF('母公司资产负债表  '!F62=0,"-",TEXT('母公司资产负债表  '!F62,"#,##0.00"))</f>
        <v>-</v>
      </c>
      <c r="D366" s="435">
        <f>'母公司资产负债表  '!F62</f>
        <v>0</v>
      </c>
    </row>
    <row r="367" spans="1:4">
      <c r="A367" s="432" t="s">
        <v>799</v>
      </c>
      <c r="B367" s="432" t="str">
        <f t="shared" si="5"/>
        <v>-</v>
      </c>
      <c r="C367" s="435" t="str">
        <f>IF('母公司资产负债表  '!F63=0,"-",TEXT('母公司资产负债表  '!F63,"#,##0.00"))</f>
        <v>-</v>
      </c>
      <c r="D367" s="435">
        <f>'母公司资产负债表  '!F63</f>
        <v>0</v>
      </c>
    </row>
    <row r="368" spans="1:4">
      <c r="A368" s="432" t="s">
        <v>800</v>
      </c>
      <c r="B368" s="432" t="str">
        <f t="shared" si="5"/>
        <v>-</v>
      </c>
      <c r="C368" s="435" t="str">
        <f>IF('母公司资产负债表  '!F64=0,"-",TEXT('母公司资产负债表  '!F64,"#,##0.00"))</f>
        <v>-</v>
      </c>
      <c r="D368" s="435">
        <f>'母公司资产负债表  '!F64</f>
        <v>0</v>
      </c>
    </row>
    <row r="369" spans="1:4">
      <c r="A369" s="432" t="s">
        <v>801</v>
      </c>
      <c r="B369" s="432" t="str">
        <f t="shared" si="5"/>
        <v>-</v>
      </c>
      <c r="C369" s="435" t="str">
        <f>IF('母公司资产负债表  '!F65=0,"-",TEXT('母公司资产负债表  '!F65,"#,##0.00"))</f>
        <v>-</v>
      </c>
      <c r="D369" s="435">
        <f>'母公司资产负债表  '!F65</f>
        <v>0</v>
      </c>
    </row>
    <row r="370" spans="1:4">
      <c r="A370" s="432" t="s">
        <v>802</v>
      </c>
      <c r="B370" s="432" t="str">
        <f t="shared" si="5"/>
        <v>-</v>
      </c>
      <c r="C370" s="435" t="str">
        <f>IF('母公司资产负债表  '!F66=0,"-",TEXT('母公司资产负债表  '!F66,"#,##0.00"))</f>
        <v>-</v>
      </c>
      <c r="D370" s="435">
        <f>'母公司资产负债表  '!F66</f>
        <v>0</v>
      </c>
    </row>
    <row r="371" spans="1:4">
      <c r="A371" s="432" t="s">
        <v>803</v>
      </c>
      <c r="B371" s="432" t="str">
        <f t="shared" si="5"/>
        <v>-</v>
      </c>
      <c r="C371" s="435" t="str">
        <f>IF('母公司资产负债表  '!F67=0,"-",TEXT('母公司资产负债表  '!F67,"#,##0.00"))</f>
        <v>-</v>
      </c>
      <c r="D371" s="435">
        <f>'母公司资产负债表  '!F67</f>
        <v>0</v>
      </c>
    </row>
    <row r="372" spans="1:4">
      <c r="A372" s="432" t="s">
        <v>804</v>
      </c>
      <c r="B372" s="432" t="str">
        <f t="shared" si="5"/>
        <v>-</v>
      </c>
      <c r="C372" s="435" t="str">
        <f>IF('母公司资产负债表  '!F68=0,"-",TEXT('母公司资产负债表  '!F68,"#,##0.00"))</f>
        <v>-</v>
      </c>
      <c r="D372" s="435">
        <f>'母公司资产负债表  '!F68</f>
        <v>0</v>
      </c>
    </row>
    <row r="373" spans="1:4">
      <c r="A373" s="432" t="s">
        <v>805</v>
      </c>
      <c r="B373" s="432" t="str">
        <f t="shared" si="5"/>
        <v>-</v>
      </c>
      <c r="C373" s="435" t="str">
        <f>IF('母公司资产负债表  '!F70=0,"-",TEXT('母公司资产负债表  '!F70,"#,##0.00"))</f>
        <v>-</v>
      </c>
      <c r="D373" s="435">
        <f>'母公司资产负债表  '!F70</f>
        <v>0</v>
      </c>
    </row>
    <row r="374" spans="1:4">
      <c r="A374" s="432" t="s">
        <v>806</v>
      </c>
      <c r="B374" s="432" t="str">
        <f t="shared" si="5"/>
        <v>-</v>
      </c>
      <c r="C374" s="435" t="str">
        <f>IF('母公司资产负债表  '!F71=0,"-",TEXT('母公司资产负债表  '!F71,"#,##0.00"))</f>
        <v>-</v>
      </c>
      <c r="D374" s="435">
        <f>'母公司资产负债表  '!F71</f>
        <v>0</v>
      </c>
    </row>
    <row r="375" spans="1:4">
      <c r="A375" s="432" t="s">
        <v>807</v>
      </c>
      <c r="B375" s="432" t="str">
        <f t="shared" si="5"/>
        <v>-</v>
      </c>
      <c r="C375" s="435" t="str">
        <f>IF('母公司资产负债表  '!F72=0,"-",TEXT('母公司资产负债表  '!F72,"#,##0.00"))</f>
        <v>-</v>
      </c>
      <c r="D375" s="435">
        <f>'母公司资产负债表  '!F72</f>
        <v>0</v>
      </c>
    </row>
    <row r="376" spans="1:4">
      <c r="A376" s="432" t="s">
        <v>808</v>
      </c>
      <c r="B376" s="432" t="str">
        <f t="shared" si="5"/>
        <v>-</v>
      </c>
      <c r="C376" s="435" t="str">
        <f>IF('母公司资产负债表  '!F73=0,"-",TEXT('母公司资产负债表  '!F73,"#,##0.00"))</f>
        <v>-</v>
      </c>
      <c r="D376" s="435">
        <f>'母公司资产负债表  '!F73</f>
        <v>0</v>
      </c>
    </row>
    <row r="377" spans="1:4">
      <c r="A377" s="432" t="s">
        <v>809</v>
      </c>
      <c r="B377" s="432" t="str">
        <f t="shared" si="5"/>
        <v>-</v>
      </c>
      <c r="C377" s="435" t="str">
        <f>IF('母公司资产负债表  '!F74=0,"-",TEXT('母公司资产负债表  '!F74,"#,##0.00"))</f>
        <v>-</v>
      </c>
      <c r="D377" s="435">
        <f>'母公司资产负债表  '!F74</f>
        <v>0</v>
      </c>
    </row>
    <row r="378" spans="1:4">
      <c r="A378" s="432" t="s">
        <v>810</v>
      </c>
      <c r="B378" s="432" t="str">
        <f t="shared" si="5"/>
        <v>-</v>
      </c>
      <c r="C378" s="435" t="str">
        <f>IF('母公司资产负债表  '!F75=0,"-",TEXT('母公司资产负债表  '!F75,"#,##0.00"))</f>
        <v>-</v>
      </c>
      <c r="D378" s="435">
        <f>'母公司资产负债表  '!F75</f>
        <v>0</v>
      </c>
    </row>
    <row r="379" spans="1:4">
      <c r="A379" s="432" t="s">
        <v>811</v>
      </c>
      <c r="B379" s="432" t="str">
        <f t="shared" si="5"/>
        <v>-</v>
      </c>
      <c r="C379" s="435" t="str">
        <f>IF('母公司资产负债表  '!F76=0,"-",TEXT('母公司资产负债表  '!F76,"#,##0.00"))</f>
        <v>-</v>
      </c>
      <c r="D379" s="435">
        <f>'母公司资产负债表  '!F76</f>
        <v>0</v>
      </c>
    </row>
    <row r="380" spans="1:4">
      <c r="A380" s="432" t="s">
        <v>812</v>
      </c>
      <c r="B380" s="432" t="str">
        <f t="shared" si="5"/>
        <v>-</v>
      </c>
      <c r="C380" s="435" t="str">
        <f>IF('母公司资产负债表  '!F77=0,"-",TEXT('母公司资产负债表  '!F77,"#,##0.00"))</f>
        <v>-</v>
      </c>
      <c r="D380" s="435">
        <f>'母公司资产负债表  '!F77</f>
        <v>0</v>
      </c>
    </row>
    <row r="381" spans="1:4">
      <c r="A381" s="432" t="s">
        <v>813</v>
      </c>
      <c r="B381" s="432" t="str">
        <f t="shared" si="5"/>
        <v>-</v>
      </c>
      <c r="C381" s="435" t="str">
        <f>IF('母公司资产负债表  '!F78=0,"-",TEXT('母公司资产负债表  '!F78,"#,##0.00"))</f>
        <v>-</v>
      </c>
      <c r="D381" s="435">
        <f>'母公司资产负债表  '!F78</f>
        <v>0</v>
      </c>
    </row>
    <row r="382" spans="1:4">
      <c r="A382" s="432" t="s">
        <v>814</v>
      </c>
      <c r="B382" s="432" t="str">
        <f t="shared" si="5"/>
        <v>-</v>
      </c>
      <c r="C382" s="435" t="str">
        <f>IF('母公司资产负债表  '!F79=0,"-",TEXT('母公司资产负债表  '!F79,"#,##0.00"))</f>
        <v>-</v>
      </c>
      <c r="D382" s="435">
        <f>'母公司资产负债表  '!F79</f>
        <v>0</v>
      </c>
    </row>
    <row r="383" spans="1:4">
      <c r="A383" s="432" t="s">
        <v>815</v>
      </c>
      <c r="B383" s="432" t="str">
        <f t="shared" si="5"/>
        <v>-</v>
      </c>
      <c r="C383" s="435" t="str">
        <f>IF('母公司资产负债表  '!F80=0,"-",TEXT('母公司资产负债表  '!F80,"#,##0.00"))</f>
        <v>-</v>
      </c>
      <c r="D383" s="435">
        <f>'母公司资产负债表  '!F80</f>
        <v>0</v>
      </c>
    </row>
    <row r="384" spans="1:4">
      <c r="A384" s="432" t="s">
        <v>816</v>
      </c>
      <c r="B384" s="432" t="str">
        <f t="shared" si="5"/>
        <v>-</v>
      </c>
      <c r="C384" s="435" t="str">
        <f>IF('母公司资产负债表  '!G5=0,"-",TEXT('母公司资产负债表  '!G5,"#,##0.00"))</f>
        <v>-</v>
      </c>
      <c r="D384" s="435">
        <f>'母公司资产负债表  '!G5</f>
        <v>0</v>
      </c>
    </row>
    <row r="385" spans="1:4">
      <c r="A385" s="432" t="s">
        <v>817</v>
      </c>
      <c r="B385" s="432" t="str">
        <f t="shared" si="5"/>
        <v>-</v>
      </c>
      <c r="C385" s="435" t="str">
        <f>IF('母公司资产负债表  '!G6=0,"-",TEXT('母公司资产负债表  '!G6,"#,##0.00"))</f>
        <v>-</v>
      </c>
      <c r="D385" s="435">
        <f>'母公司资产负债表  '!G6</f>
        <v>0</v>
      </c>
    </row>
    <row r="386" spans="1:4">
      <c r="A386" s="432" t="s">
        <v>3207</v>
      </c>
      <c r="B386" s="432" t="str">
        <f t="shared" si="5"/>
        <v>-</v>
      </c>
      <c r="C386" s="435" t="str">
        <f>IF('母公司资产负债表  '!G7=0,"-",TEXT('母公司资产负债表  '!G7,"#,##0.00"))</f>
        <v>-</v>
      </c>
      <c r="D386" s="435">
        <f>'母公司资产负债表  '!G7</f>
        <v>0</v>
      </c>
    </row>
    <row r="387" spans="1:4">
      <c r="A387" s="432" t="s">
        <v>3208</v>
      </c>
      <c r="B387" s="432" t="str">
        <f t="shared" si="5"/>
        <v>-</v>
      </c>
      <c r="C387" s="435" t="str">
        <f>IF('母公司资产负债表  '!G8=0,"-",TEXT('母公司资产负债表  '!G8,"#,##0.00"))</f>
        <v>-</v>
      </c>
      <c r="D387" s="435">
        <f>'母公司资产负债表  '!G8</f>
        <v>0</v>
      </c>
    </row>
    <row r="388" spans="1:4">
      <c r="A388" s="432" t="s">
        <v>818</v>
      </c>
      <c r="B388" s="432" t="str">
        <f t="shared" ref="B388:B451" si="6">TRIM(C388)</f>
        <v>-</v>
      </c>
      <c r="C388" s="435" t="str">
        <f>IF('母公司资产负债表  '!G9=0,"-",TEXT('母公司资产负债表  '!G9,"#,##0.00"))</f>
        <v>-</v>
      </c>
      <c r="D388" s="435">
        <f>'母公司资产负债表  '!G9</f>
        <v>0</v>
      </c>
    </row>
    <row r="389" spans="1:4">
      <c r="A389" s="432" t="s">
        <v>819</v>
      </c>
      <c r="B389" s="432" t="str">
        <f t="shared" si="6"/>
        <v>-</v>
      </c>
      <c r="C389" s="435" t="str">
        <f>IF('母公司资产负债表  '!G10=0,"-",TEXT('母公司资产负债表  '!G10,"#,##0.00"))</f>
        <v>-</v>
      </c>
      <c r="D389" s="435">
        <f>'母公司资产负债表  '!G10</f>
        <v>0</v>
      </c>
    </row>
    <row r="390" spans="1:4">
      <c r="A390" s="432" t="s">
        <v>820</v>
      </c>
      <c r="B390" s="432" t="str">
        <f t="shared" si="6"/>
        <v>-</v>
      </c>
      <c r="C390" s="435" t="str">
        <f>IF('母公司资产负债表  '!G11=0,"-",TEXT('母公司资产负债表  '!G11,"#,##0.00"))</f>
        <v>-</v>
      </c>
      <c r="D390" s="435">
        <f>'母公司资产负债表  '!G11</f>
        <v>0</v>
      </c>
    </row>
    <row r="391" spans="1:4">
      <c r="A391" s="432" t="s">
        <v>821</v>
      </c>
      <c r="B391" s="432" t="str">
        <f t="shared" si="6"/>
        <v>-</v>
      </c>
      <c r="C391" s="435" t="str">
        <f>IF('母公司资产负债表  '!G12=0,"-",TEXT('母公司资产负债表  '!G12,"#,##0.00"))</f>
        <v>-</v>
      </c>
      <c r="D391" s="435">
        <f>'母公司资产负债表  '!G12</f>
        <v>0</v>
      </c>
    </row>
    <row r="392" spans="1:4">
      <c r="A392" s="432" t="s">
        <v>822</v>
      </c>
      <c r="B392" s="432" t="str">
        <f t="shared" si="6"/>
        <v>-</v>
      </c>
      <c r="C392" s="435" t="str">
        <f>IF('母公司资产负债表  '!G13=0,"-",TEXT('母公司资产负债表  '!G13,"#,##0.00"))</f>
        <v>-</v>
      </c>
      <c r="D392" s="435">
        <f>'母公司资产负债表  '!G13</f>
        <v>0</v>
      </c>
    </row>
    <row r="393" spans="1:4">
      <c r="A393" s="432" t="s">
        <v>823</v>
      </c>
      <c r="B393" s="432" t="str">
        <f t="shared" si="6"/>
        <v>-</v>
      </c>
      <c r="C393" s="435" t="str">
        <f>IF('母公司资产负债表  '!G14=0,"-",TEXT('母公司资产负债表  '!G14,"#,##0.00"))</f>
        <v>-</v>
      </c>
      <c r="D393" s="435">
        <f>'母公司资产负债表  '!G14</f>
        <v>0</v>
      </c>
    </row>
    <row r="394" spans="1:4">
      <c r="A394" s="432" t="s">
        <v>824</v>
      </c>
      <c r="B394" s="432" t="str">
        <f t="shared" si="6"/>
        <v>-</v>
      </c>
      <c r="C394" s="435" t="str">
        <f>IF('母公司资产负债表  '!G15=0,"-",TEXT('母公司资产负债表  '!G15,"#,##0.00"))</f>
        <v>-</v>
      </c>
      <c r="D394" s="435">
        <f>'母公司资产负债表  '!G15</f>
        <v>0</v>
      </c>
    </row>
    <row r="395" spans="1:4">
      <c r="A395" s="432" t="s">
        <v>825</v>
      </c>
      <c r="B395" s="432" t="str">
        <f t="shared" si="6"/>
        <v>-</v>
      </c>
      <c r="C395" s="435" t="str">
        <f>IF('母公司资产负债表  '!G16=0,"-",TEXT('母公司资产负债表  '!G16,"#,##0.00"))</f>
        <v>-</v>
      </c>
      <c r="D395" s="435">
        <f>'母公司资产负债表  '!G16</f>
        <v>0</v>
      </c>
    </row>
    <row r="396" spans="1:4">
      <c r="A396" s="432" t="s">
        <v>826</v>
      </c>
      <c r="B396" s="432" t="str">
        <f t="shared" si="6"/>
        <v>-</v>
      </c>
      <c r="C396" s="435" t="str">
        <f>IF('母公司资产负债表  '!G17=0,"-",TEXT('母公司资产负债表  '!G17,"#,##0.00"))</f>
        <v>-</v>
      </c>
      <c r="D396" s="435">
        <f>'母公司资产负债表  '!G17</f>
        <v>0</v>
      </c>
    </row>
    <row r="397" spans="1:4">
      <c r="A397" s="432" t="s">
        <v>827</v>
      </c>
      <c r="B397" s="432" t="str">
        <f t="shared" si="6"/>
        <v>-</v>
      </c>
      <c r="C397" s="435" t="str">
        <f>IF('母公司资产负债表  '!G18=0,"-",TEXT('母公司资产负债表  '!G18,"#,##0.00"))</f>
        <v>-</v>
      </c>
      <c r="D397" s="435">
        <f>'母公司资产负债表  '!G18</f>
        <v>0</v>
      </c>
    </row>
    <row r="398" spans="1:4">
      <c r="A398" s="432" t="s">
        <v>828</v>
      </c>
      <c r="B398" s="432" t="str">
        <f t="shared" si="6"/>
        <v>-</v>
      </c>
      <c r="C398" s="435" t="str">
        <f>IF('母公司资产负债表  '!G19=0,"-",TEXT('母公司资产负债表  '!G19,"#,##0.00"))</f>
        <v>-</v>
      </c>
      <c r="D398" s="435">
        <f>'母公司资产负债表  '!G19</f>
        <v>0</v>
      </c>
    </row>
    <row r="399" spans="1:4">
      <c r="A399" s="432" t="s">
        <v>829</v>
      </c>
      <c r="B399" s="432" t="str">
        <f t="shared" si="6"/>
        <v>-</v>
      </c>
      <c r="C399" s="435" t="str">
        <f>IF('母公司资产负债表  '!G21=0,"-",TEXT('母公司资产负债表  '!G21,"#,##0.00"))</f>
        <v>-</v>
      </c>
      <c r="D399" s="435">
        <f>'母公司资产负债表  '!G21</f>
        <v>0</v>
      </c>
    </row>
    <row r="400" spans="1:4">
      <c r="A400" s="432" t="s">
        <v>830</v>
      </c>
      <c r="B400" s="432" t="str">
        <f t="shared" si="6"/>
        <v>-</v>
      </c>
      <c r="C400" s="435" t="str">
        <f>IF('母公司资产负债表  '!G22=0,"-",TEXT('母公司资产负债表  '!G22,"#,##0.00"))</f>
        <v>-</v>
      </c>
      <c r="D400" s="435">
        <f>'母公司资产负债表  '!G22</f>
        <v>0</v>
      </c>
    </row>
    <row r="401" spans="1:4">
      <c r="A401" s="432" t="s">
        <v>831</v>
      </c>
      <c r="B401" s="432" t="str">
        <f t="shared" si="6"/>
        <v>-</v>
      </c>
      <c r="C401" s="435" t="str">
        <f>IF('母公司资产负债表  '!G23=0,"-",TEXT('母公司资产负债表  '!G23,"#,##0.00"))</f>
        <v>-</v>
      </c>
      <c r="D401" s="435">
        <f>'母公司资产负债表  '!G23</f>
        <v>0</v>
      </c>
    </row>
    <row r="402" spans="1:4">
      <c r="A402" s="432" t="s">
        <v>832</v>
      </c>
      <c r="B402" s="432" t="str">
        <f t="shared" si="6"/>
        <v>-</v>
      </c>
      <c r="C402" s="435" t="str">
        <f>IF('母公司资产负债表  '!G24=0,"-",TEXT('母公司资产负债表  '!G24,"#,##0.00"))</f>
        <v>-</v>
      </c>
      <c r="D402" s="435">
        <f>'母公司资产负债表  '!G24</f>
        <v>0</v>
      </c>
    </row>
    <row r="403" spans="1:4">
      <c r="A403" s="432" t="s">
        <v>833</v>
      </c>
      <c r="B403" s="432" t="str">
        <f t="shared" si="6"/>
        <v>-</v>
      </c>
      <c r="C403" s="435" t="str">
        <f>IF('母公司资产负债表  '!G25=0,"-",TEXT('母公司资产负债表  '!G25,"#,##0.00"))</f>
        <v>-</v>
      </c>
      <c r="D403" s="435">
        <f>'母公司资产负债表  '!G25</f>
        <v>0</v>
      </c>
    </row>
    <row r="404" spans="1:4">
      <c r="A404" s="432" t="s">
        <v>834</v>
      </c>
      <c r="B404" s="432" t="str">
        <f t="shared" si="6"/>
        <v>-</v>
      </c>
      <c r="C404" s="435" t="str">
        <f>IF('母公司资产负债表  '!G26=0,"-",TEXT('母公司资产负债表  '!G26,"#,##0.00"))</f>
        <v>-</v>
      </c>
      <c r="D404" s="435">
        <f>'母公司资产负债表  '!G26</f>
        <v>0</v>
      </c>
    </row>
    <row r="405" spans="1:4">
      <c r="A405" s="432" t="s">
        <v>835</v>
      </c>
      <c r="B405" s="432" t="str">
        <f t="shared" si="6"/>
        <v>-</v>
      </c>
      <c r="C405" s="435" t="str">
        <f>IF('母公司资产负债表  '!G27=0,"-",TEXT('母公司资产负债表  '!G27,"#,##0.00"))</f>
        <v>-</v>
      </c>
      <c r="D405" s="435">
        <f>'母公司资产负债表  '!G27</f>
        <v>0</v>
      </c>
    </row>
    <row r="406" spans="1:4">
      <c r="A406" s="432" t="s">
        <v>836</v>
      </c>
      <c r="B406" s="432" t="str">
        <f t="shared" si="6"/>
        <v>-</v>
      </c>
      <c r="C406" s="435" t="str">
        <f>IF('母公司资产负债表  '!G28=0,"-",TEXT('母公司资产负债表  '!G28,"#,##0.00"))</f>
        <v>-</v>
      </c>
      <c r="D406" s="435">
        <f>'母公司资产负债表  '!G28</f>
        <v>0</v>
      </c>
    </row>
    <row r="407" spans="1:4">
      <c r="A407" s="432" t="s">
        <v>837</v>
      </c>
      <c r="B407" s="432" t="str">
        <f t="shared" si="6"/>
        <v>-</v>
      </c>
      <c r="C407" s="435" t="str">
        <f>IF('母公司资产负债表  '!G29=0,"-",TEXT('母公司资产负债表  '!G29,"#,##0.00"))</f>
        <v>-</v>
      </c>
      <c r="D407" s="435">
        <f>'母公司资产负债表  '!G29</f>
        <v>0</v>
      </c>
    </row>
    <row r="408" spans="1:4">
      <c r="A408" s="432" t="s">
        <v>838</v>
      </c>
      <c r="B408" s="432" t="str">
        <f t="shared" si="6"/>
        <v>-</v>
      </c>
      <c r="C408" s="435" t="str">
        <f>IF('母公司资产负债表  '!G30=0,"-",TEXT('母公司资产负债表  '!G30,"#,##0.00"))</f>
        <v>-</v>
      </c>
      <c r="D408" s="435">
        <f>'母公司资产负债表  '!G30</f>
        <v>0</v>
      </c>
    </row>
    <row r="409" spans="1:4">
      <c r="A409" s="432" t="s">
        <v>839</v>
      </c>
      <c r="B409" s="432" t="str">
        <f t="shared" si="6"/>
        <v>-</v>
      </c>
      <c r="C409" s="435" t="str">
        <f>IF('母公司资产负债表  '!G31=0,"-",TEXT('母公司资产负债表  '!G31,"#,##0.00"))</f>
        <v>-</v>
      </c>
      <c r="D409" s="435">
        <f>'母公司资产负债表  '!G31</f>
        <v>0</v>
      </c>
    </row>
    <row r="410" spans="1:4">
      <c r="A410" s="432" t="s">
        <v>840</v>
      </c>
      <c r="B410" s="432" t="str">
        <f t="shared" si="6"/>
        <v>-</v>
      </c>
      <c r="C410" s="435" t="str">
        <f>IF('母公司资产负债表  '!G32=0,"-",TEXT('母公司资产负债表  '!G32,"#,##0.00"))</f>
        <v>-</v>
      </c>
      <c r="D410" s="435">
        <f>'母公司资产负债表  '!G32</f>
        <v>0</v>
      </c>
    </row>
    <row r="411" spans="1:4">
      <c r="A411" s="432" t="s">
        <v>841</v>
      </c>
      <c r="B411" s="432" t="str">
        <f t="shared" si="6"/>
        <v>-</v>
      </c>
      <c r="C411" s="435" t="str">
        <f>IF('母公司资产负债表  '!G33=0,"-",TEXT('母公司资产负债表  '!G33,"#,##0.00"))</f>
        <v>-</v>
      </c>
      <c r="D411" s="435">
        <f>'母公司资产负债表  '!G33</f>
        <v>0</v>
      </c>
    </row>
    <row r="412" spans="1:4">
      <c r="A412" s="432" t="s">
        <v>842</v>
      </c>
      <c r="B412" s="432" t="str">
        <f t="shared" si="6"/>
        <v>-</v>
      </c>
      <c r="C412" s="435" t="str">
        <f>IF('母公司资产负债表  '!G34=0,"-",TEXT('母公司资产负债表  '!G34,"#,##0.00"))</f>
        <v>-</v>
      </c>
      <c r="D412" s="435">
        <f>'母公司资产负债表  '!G34</f>
        <v>0</v>
      </c>
    </row>
    <row r="413" spans="1:4">
      <c r="A413" s="432" t="s">
        <v>843</v>
      </c>
      <c r="B413" s="432" t="str">
        <f t="shared" si="6"/>
        <v>-</v>
      </c>
      <c r="C413" s="435" t="str">
        <f>IF('母公司资产负债表  '!G35=0,"-",TEXT('母公司资产负债表  '!G35,"#,##0.00"))</f>
        <v>-</v>
      </c>
      <c r="D413" s="435">
        <f>'母公司资产负债表  '!G35</f>
        <v>0</v>
      </c>
    </row>
    <row r="414" spans="1:4">
      <c r="A414" s="432" t="s">
        <v>844</v>
      </c>
      <c r="B414" s="432" t="str">
        <f t="shared" si="6"/>
        <v>-</v>
      </c>
      <c r="C414" s="435" t="str">
        <f>IF('母公司资产负债表  '!G36=0,"-",TEXT('母公司资产负债表  '!G36,"#,##0.00"))</f>
        <v>-</v>
      </c>
      <c r="D414" s="435">
        <f>'母公司资产负债表  '!G36</f>
        <v>0</v>
      </c>
    </row>
    <row r="415" spans="1:4">
      <c r="A415" s="432" t="s">
        <v>845</v>
      </c>
      <c r="B415" s="432" t="str">
        <f t="shared" si="6"/>
        <v>-</v>
      </c>
      <c r="C415" s="435" t="str">
        <f>IF('母公司资产负债表  '!G37=0,"-",TEXT('母公司资产负债表  '!G37,"#,##0.00"))</f>
        <v>-</v>
      </c>
      <c r="D415" s="435">
        <f>'母公司资产负债表  '!G37</f>
        <v>0</v>
      </c>
    </row>
    <row r="416" spans="1:4">
      <c r="A416" s="432" t="s">
        <v>846</v>
      </c>
      <c r="B416" s="432" t="str">
        <f t="shared" si="6"/>
        <v>-</v>
      </c>
      <c r="C416" s="435" t="str">
        <f>IF('母公司资产负债表  '!G39=0,"-",TEXT('母公司资产负债表  '!G39,"#,##0.00"))</f>
        <v>-</v>
      </c>
      <c r="D416" s="435">
        <f>'母公司资产负债表  '!G39</f>
        <v>0</v>
      </c>
    </row>
    <row r="417" spans="1:4">
      <c r="A417" s="432" t="s">
        <v>847</v>
      </c>
      <c r="B417" s="432" t="str">
        <f t="shared" si="6"/>
        <v>-</v>
      </c>
      <c r="C417" s="435" t="str">
        <f>IF('母公司资产负债表  '!G40=0,"-",TEXT('母公司资产负债表  '!G40,"#,##0.00"))</f>
        <v>-</v>
      </c>
      <c r="D417" s="435">
        <f>'母公司资产负债表  '!G40</f>
        <v>0</v>
      </c>
    </row>
    <row r="418" spans="1:4">
      <c r="A418" s="432" t="s">
        <v>848</v>
      </c>
      <c r="B418" s="432" t="str">
        <f t="shared" si="6"/>
        <v>-</v>
      </c>
      <c r="C418" s="435" t="str">
        <f>IF('母公司资产负债表  '!G41=0,"-",TEXT('母公司资产负债表  '!G41,"#,##0.00"))</f>
        <v>-</v>
      </c>
      <c r="D418" s="435">
        <f>'母公司资产负债表  '!G41</f>
        <v>0</v>
      </c>
    </row>
    <row r="419" spans="1:4">
      <c r="A419" s="432" t="s">
        <v>849</v>
      </c>
      <c r="B419" s="432" t="str">
        <f t="shared" si="6"/>
        <v>-</v>
      </c>
      <c r="C419" s="435" t="str">
        <f>IF('母公司资产负债表  '!G42=0,"-",TEXT('母公司资产负债表  '!G42,"#,##0.00"))</f>
        <v>-</v>
      </c>
      <c r="D419" s="435">
        <f>'母公司资产负债表  '!G42</f>
        <v>0</v>
      </c>
    </row>
    <row r="420" spans="1:4">
      <c r="A420" s="432" t="s">
        <v>850</v>
      </c>
      <c r="B420" s="432" t="str">
        <f t="shared" si="6"/>
        <v>-</v>
      </c>
      <c r="C420" s="435" t="str">
        <f>IF('母公司资产负债表  '!G43=0,"-",TEXT('母公司资产负债表  '!G43,"#,##0.00"))</f>
        <v>-</v>
      </c>
      <c r="D420" s="435">
        <f>'母公司资产负债表  '!G43</f>
        <v>0</v>
      </c>
    </row>
    <row r="421" spans="1:4">
      <c r="A421" s="432" t="s">
        <v>851</v>
      </c>
      <c r="B421" s="432" t="str">
        <f t="shared" si="6"/>
        <v>-</v>
      </c>
      <c r="C421" s="435" t="str">
        <f>IF('母公司资产负债表  '!G44=0,"-",TEXT('母公司资产负债表  '!G44,"#,##0.00"))</f>
        <v>-</v>
      </c>
      <c r="D421" s="435">
        <f>'母公司资产负债表  '!G44</f>
        <v>0</v>
      </c>
    </row>
    <row r="422" spans="1:4">
      <c r="A422" s="432" t="s">
        <v>852</v>
      </c>
      <c r="B422" s="432" t="str">
        <f t="shared" si="6"/>
        <v>-</v>
      </c>
      <c r="C422" s="435" t="str">
        <f>IF('母公司资产负债表  '!G45=0,"-",TEXT('母公司资产负债表  '!G45,"#,##0.00"))</f>
        <v>-</v>
      </c>
      <c r="D422" s="435">
        <f>'母公司资产负债表  '!G45</f>
        <v>0</v>
      </c>
    </row>
    <row r="423" spans="1:4">
      <c r="A423" s="432" t="s">
        <v>853</v>
      </c>
      <c r="B423" s="432" t="str">
        <f t="shared" si="6"/>
        <v>-</v>
      </c>
      <c r="C423" s="435" t="str">
        <f>IF('母公司资产负债表  '!G46=0,"-",TEXT('母公司资产负债表  '!G46,"#,##0.00"))</f>
        <v>-</v>
      </c>
      <c r="D423" s="435">
        <f>'母公司资产负债表  '!G46</f>
        <v>0</v>
      </c>
    </row>
    <row r="424" spans="1:4">
      <c r="A424" s="432" t="s">
        <v>854</v>
      </c>
      <c r="B424" s="432" t="str">
        <f t="shared" si="6"/>
        <v>-</v>
      </c>
      <c r="C424" s="435" t="str">
        <f>IF('母公司资产负债表  '!G47=0,"-",TEXT('母公司资产负债表  '!G47,"#,##0.00"))</f>
        <v>-</v>
      </c>
      <c r="D424" s="435">
        <f>'母公司资产负债表  '!G47</f>
        <v>0</v>
      </c>
    </row>
    <row r="425" spans="1:4">
      <c r="A425" s="432" t="s">
        <v>855</v>
      </c>
      <c r="B425" s="432" t="str">
        <f t="shared" si="6"/>
        <v>-</v>
      </c>
      <c r="C425" s="435" t="str">
        <f>IF('母公司资产负债表  '!G48=0,"-",TEXT('母公司资产负债表  '!G48,"#,##0.00"))</f>
        <v>-</v>
      </c>
      <c r="D425" s="435">
        <f>'母公司资产负债表  '!G48</f>
        <v>0</v>
      </c>
    </row>
    <row r="426" spans="1:4">
      <c r="A426" s="432" t="s">
        <v>856</v>
      </c>
      <c r="B426" s="432" t="str">
        <f t="shared" si="6"/>
        <v>-</v>
      </c>
      <c r="C426" s="435" t="str">
        <f>IF('母公司资产负债表  '!G49=0,"-",TEXT('母公司资产负债表  '!G49,"#,##0.00"))</f>
        <v>-</v>
      </c>
      <c r="D426" s="435">
        <f>'母公司资产负债表  '!G49</f>
        <v>0</v>
      </c>
    </row>
    <row r="427" spans="1:4">
      <c r="A427" s="432" t="s">
        <v>857</v>
      </c>
      <c r="B427" s="432" t="str">
        <f t="shared" si="6"/>
        <v>-</v>
      </c>
      <c r="C427" s="435" t="str">
        <f>IF('母公司资产负债表  '!G50=0,"-",TEXT('母公司资产负债表  '!G50,"#,##0.00"))</f>
        <v>-</v>
      </c>
      <c r="D427" s="435">
        <f>'母公司资产负债表  '!G50</f>
        <v>0</v>
      </c>
    </row>
    <row r="428" spans="1:4">
      <c r="A428" s="432" t="s">
        <v>858</v>
      </c>
      <c r="B428" s="432" t="str">
        <f t="shared" si="6"/>
        <v>-</v>
      </c>
      <c r="C428" s="435" t="str">
        <f>IF('母公司资产负债表  '!G51=0,"-",TEXT('母公司资产负债表  '!G51,"#,##0.00"))</f>
        <v>-</v>
      </c>
      <c r="D428" s="435">
        <f>'母公司资产负债表  '!G51</f>
        <v>0</v>
      </c>
    </row>
    <row r="429" spans="1:4">
      <c r="A429" s="432" t="s">
        <v>859</v>
      </c>
      <c r="B429" s="432" t="str">
        <f t="shared" si="6"/>
        <v>-</v>
      </c>
      <c r="C429" s="435" t="str">
        <f>IF('母公司资产负债表  '!G52=0,"-",TEXT('母公司资产负债表  '!G52,"#,##0.00"))</f>
        <v>-</v>
      </c>
      <c r="D429" s="435">
        <f>'母公司资产负债表  '!G52</f>
        <v>0</v>
      </c>
    </row>
    <row r="430" spans="1:4">
      <c r="A430" s="432" t="s">
        <v>860</v>
      </c>
      <c r="B430" s="432" t="str">
        <f t="shared" si="6"/>
        <v>-</v>
      </c>
      <c r="C430" s="435" t="str">
        <f>IF('母公司资产负债表  '!G53=0,"-",TEXT('母公司资产负债表  '!G53,"#,##0.00"))</f>
        <v>-</v>
      </c>
      <c r="D430" s="435">
        <f>'母公司资产负债表  '!G53</f>
        <v>0</v>
      </c>
    </row>
    <row r="431" spans="1:4">
      <c r="A431" s="432" t="s">
        <v>861</v>
      </c>
      <c r="B431" s="432" t="str">
        <f t="shared" si="6"/>
        <v>-</v>
      </c>
      <c r="C431" s="435" t="str">
        <f>IF('母公司资产负债表  '!G54=0,"-",TEXT('母公司资产负债表  '!G54,"#,##0.00"))</f>
        <v>-</v>
      </c>
      <c r="D431" s="435">
        <f>'母公司资产负债表  '!G54</f>
        <v>0</v>
      </c>
    </row>
    <row r="432" spans="1:4">
      <c r="A432" s="432" t="s">
        <v>862</v>
      </c>
      <c r="B432" s="432" t="str">
        <f t="shared" si="6"/>
        <v>-</v>
      </c>
      <c r="C432" s="435" t="str">
        <f>IF('母公司资产负债表  '!G56=0,"-",TEXT('母公司资产负债表  '!G56,"#,##0.00"))</f>
        <v>-</v>
      </c>
      <c r="D432" s="435">
        <f>'母公司资产负债表  '!G56</f>
        <v>0</v>
      </c>
    </row>
    <row r="433" spans="1:4">
      <c r="A433" s="432" t="s">
        <v>863</v>
      </c>
      <c r="B433" s="432" t="str">
        <f t="shared" si="6"/>
        <v>-</v>
      </c>
      <c r="C433" s="435" t="str">
        <f>IF('母公司资产负债表  '!G57=0,"-",TEXT('母公司资产负债表  '!G57,"#,##0.00"))</f>
        <v>-</v>
      </c>
      <c r="D433" s="435">
        <f>'母公司资产负债表  '!G57</f>
        <v>0</v>
      </c>
    </row>
    <row r="434" spans="1:4">
      <c r="A434" s="432" t="s">
        <v>864</v>
      </c>
      <c r="B434" s="432" t="str">
        <f t="shared" si="6"/>
        <v>-</v>
      </c>
      <c r="C434" s="435" t="str">
        <f>IF('母公司资产负债表  '!G58=0,"-",TEXT('母公司资产负债表  '!G58,"#,##0.00"))</f>
        <v>-</v>
      </c>
      <c r="D434" s="435">
        <f>'母公司资产负债表  '!G58</f>
        <v>0</v>
      </c>
    </row>
    <row r="435" spans="1:4">
      <c r="A435" s="432" t="s">
        <v>865</v>
      </c>
      <c r="B435" s="432" t="str">
        <f t="shared" si="6"/>
        <v>-</v>
      </c>
      <c r="C435" s="435" t="str">
        <f>IF('母公司资产负债表  '!G59=0,"-",TEXT('母公司资产负债表  '!G59,"#,##0.00"))</f>
        <v>-</v>
      </c>
      <c r="D435" s="435">
        <f>'母公司资产负债表  '!G59</f>
        <v>0</v>
      </c>
    </row>
    <row r="436" spans="1:4">
      <c r="A436" s="432" t="s">
        <v>866</v>
      </c>
      <c r="B436" s="432" t="str">
        <f t="shared" si="6"/>
        <v>-</v>
      </c>
      <c r="C436" s="435" t="str">
        <f>IF('母公司资产负债表  '!G60=0,"-",TEXT('母公司资产负债表  '!G60,"#,##0.00"))</f>
        <v>-</v>
      </c>
      <c r="D436" s="435">
        <f>'母公司资产负债表  '!G60</f>
        <v>0</v>
      </c>
    </row>
    <row r="437" spans="1:4">
      <c r="A437" s="432" t="s">
        <v>867</v>
      </c>
      <c r="B437" s="432" t="str">
        <f t="shared" si="6"/>
        <v>-</v>
      </c>
      <c r="C437" s="435" t="str">
        <f>IF('母公司资产负债表  '!G61=0,"-",TEXT('母公司资产负债表  '!G61,"#,##0.00"))</f>
        <v>-</v>
      </c>
      <c r="D437" s="435">
        <f>'母公司资产负债表  '!G61</f>
        <v>0</v>
      </c>
    </row>
    <row r="438" spans="1:4">
      <c r="A438" s="432" t="s">
        <v>868</v>
      </c>
      <c r="B438" s="432" t="str">
        <f t="shared" si="6"/>
        <v>-</v>
      </c>
      <c r="C438" s="435" t="str">
        <f>IF('母公司资产负债表  '!G62=0,"-",TEXT('母公司资产负债表  '!G62,"#,##0.00"))</f>
        <v>-</v>
      </c>
      <c r="D438" s="435">
        <f>'母公司资产负债表  '!G62</f>
        <v>0</v>
      </c>
    </row>
    <row r="439" spans="1:4">
      <c r="A439" s="432" t="s">
        <v>869</v>
      </c>
      <c r="B439" s="432" t="str">
        <f t="shared" si="6"/>
        <v>-</v>
      </c>
      <c r="C439" s="435" t="str">
        <f>IF('母公司资产负债表  '!G63=0,"-",TEXT('母公司资产负债表  '!G63,"#,##0.00"))</f>
        <v>-</v>
      </c>
      <c r="D439" s="435">
        <f>'母公司资产负债表  '!G63</f>
        <v>0</v>
      </c>
    </row>
    <row r="440" spans="1:4">
      <c r="A440" s="432" t="s">
        <v>870</v>
      </c>
      <c r="B440" s="432" t="str">
        <f t="shared" si="6"/>
        <v>-</v>
      </c>
      <c r="C440" s="435" t="str">
        <f>IF('母公司资产负债表  '!G64=0,"-",TEXT('母公司资产负债表  '!G64,"#,##0.00"))</f>
        <v>-</v>
      </c>
      <c r="D440" s="435">
        <f>'母公司资产负债表  '!G64</f>
        <v>0</v>
      </c>
    </row>
    <row r="441" spans="1:4">
      <c r="A441" s="432" t="s">
        <v>871</v>
      </c>
      <c r="B441" s="432" t="str">
        <f t="shared" si="6"/>
        <v>-</v>
      </c>
      <c r="C441" s="435" t="str">
        <f>IF('母公司资产负债表  '!G65=0,"-",TEXT('母公司资产负债表  '!G65,"#,##0.00"))</f>
        <v>-</v>
      </c>
      <c r="D441" s="435">
        <f>'母公司资产负债表  '!G65</f>
        <v>0</v>
      </c>
    </row>
    <row r="442" spans="1:4">
      <c r="A442" s="432" t="s">
        <v>872</v>
      </c>
      <c r="B442" s="432" t="str">
        <f t="shared" si="6"/>
        <v>-</v>
      </c>
      <c r="C442" s="435" t="str">
        <f>IF('母公司资产负债表  '!G66=0,"-",TEXT('母公司资产负债表  '!G66,"#,##0.00"))</f>
        <v>-</v>
      </c>
      <c r="D442" s="435">
        <f>'母公司资产负债表  '!G66</f>
        <v>0</v>
      </c>
    </row>
    <row r="443" spans="1:4">
      <c r="A443" s="432" t="s">
        <v>873</v>
      </c>
      <c r="B443" s="432" t="str">
        <f t="shared" si="6"/>
        <v>-</v>
      </c>
      <c r="C443" s="435" t="str">
        <f>IF('母公司资产负债表  '!G67=0,"-",TEXT('母公司资产负债表  '!G67,"#,##0.00"))</f>
        <v>-</v>
      </c>
      <c r="D443" s="435">
        <f>'母公司资产负债表  '!G67</f>
        <v>0</v>
      </c>
    </row>
    <row r="444" spans="1:4">
      <c r="A444" s="432" t="s">
        <v>874</v>
      </c>
      <c r="B444" s="432" t="str">
        <f t="shared" si="6"/>
        <v>-</v>
      </c>
      <c r="C444" s="435" t="str">
        <f>IF('母公司资产负债表  '!G68=0,"-",TEXT('母公司资产负债表  '!G68,"#,##0.00"))</f>
        <v>-</v>
      </c>
      <c r="D444" s="435">
        <f>'母公司资产负债表  '!G68</f>
        <v>0</v>
      </c>
    </row>
    <row r="445" spans="1:4">
      <c r="A445" s="432" t="s">
        <v>875</v>
      </c>
      <c r="B445" s="432" t="str">
        <f t="shared" si="6"/>
        <v>-</v>
      </c>
      <c r="C445" s="435" t="str">
        <f>IF('母公司资产负债表  '!G70=0,"-",TEXT('母公司资产负债表  '!G70,"#,##0.00"))</f>
        <v>-</v>
      </c>
      <c r="D445" s="435">
        <f>'母公司资产负债表  '!G70</f>
        <v>0</v>
      </c>
    </row>
    <row r="446" spans="1:4">
      <c r="A446" s="432" t="s">
        <v>876</v>
      </c>
      <c r="B446" s="432" t="str">
        <f t="shared" si="6"/>
        <v>-</v>
      </c>
      <c r="C446" s="435" t="str">
        <f>IF('母公司资产负债表  '!G71=0,"-",TEXT('母公司资产负债表  '!G71,"#,##0.00"))</f>
        <v>-</v>
      </c>
      <c r="D446" s="435">
        <f>'母公司资产负债表  '!G71</f>
        <v>0</v>
      </c>
    </row>
    <row r="447" spans="1:4">
      <c r="A447" s="432" t="s">
        <v>877</v>
      </c>
      <c r="B447" s="432" t="str">
        <f t="shared" si="6"/>
        <v>-</v>
      </c>
      <c r="C447" s="435" t="str">
        <f>IF('母公司资产负债表  '!G72=0,"-",TEXT('母公司资产负债表  '!G72,"#,##0.00"))</f>
        <v>-</v>
      </c>
      <c r="D447" s="435">
        <f>'母公司资产负债表  '!G72</f>
        <v>0</v>
      </c>
    </row>
    <row r="448" spans="1:4">
      <c r="A448" s="432" t="s">
        <v>878</v>
      </c>
      <c r="B448" s="432" t="str">
        <f t="shared" si="6"/>
        <v>-</v>
      </c>
      <c r="C448" s="435" t="str">
        <f>IF('母公司资产负债表  '!G73=0,"-",TEXT('母公司资产负债表  '!G73,"#,##0.00"))</f>
        <v>-</v>
      </c>
      <c r="D448" s="435">
        <f>'母公司资产负债表  '!G73</f>
        <v>0</v>
      </c>
    </row>
    <row r="449" spans="1:4">
      <c r="A449" s="432" t="s">
        <v>879</v>
      </c>
      <c r="B449" s="432" t="str">
        <f t="shared" si="6"/>
        <v>-</v>
      </c>
      <c r="C449" s="435" t="str">
        <f>IF('母公司资产负债表  '!G74=0,"-",TEXT('母公司资产负债表  '!G74,"#,##0.00"))</f>
        <v>-</v>
      </c>
      <c r="D449" s="435">
        <f>'母公司资产负债表  '!G74</f>
        <v>0</v>
      </c>
    </row>
    <row r="450" spans="1:4">
      <c r="A450" s="432" t="s">
        <v>880</v>
      </c>
      <c r="B450" s="432" t="str">
        <f t="shared" si="6"/>
        <v>-</v>
      </c>
      <c r="C450" s="435" t="str">
        <f>IF('母公司资产负债表  '!G75=0,"-",TEXT('母公司资产负债表  '!G75,"#,##0.00"))</f>
        <v>-</v>
      </c>
      <c r="D450" s="435">
        <f>'母公司资产负债表  '!G75</f>
        <v>0</v>
      </c>
    </row>
    <row r="451" spans="1:4">
      <c r="A451" s="432" t="s">
        <v>881</v>
      </c>
      <c r="B451" s="432" t="str">
        <f t="shared" si="6"/>
        <v>-</v>
      </c>
      <c r="C451" s="435" t="str">
        <f>IF('母公司资产负债表  '!G76=0,"-",TEXT('母公司资产负债表  '!G76,"#,##0.00"))</f>
        <v>-</v>
      </c>
      <c r="D451" s="435">
        <f>'母公司资产负债表  '!G76</f>
        <v>0</v>
      </c>
    </row>
    <row r="452" spans="1:4">
      <c r="A452" s="432" t="s">
        <v>882</v>
      </c>
      <c r="B452" s="432" t="str">
        <f t="shared" ref="B452:B515" si="7">TRIM(C452)</f>
        <v>-</v>
      </c>
      <c r="C452" s="435" t="str">
        <f>IF('母公司资产负债表  '!G77=0,"-",TEXT('母公司资产负债表  '!G77,"#,##0.00"))</f>
        <v>-</v>
      </c>
      <c r="D452" s="435">
        <f>'母公司资产负债表  '!G77</f>
        <v>0</v>
      </c>
    </row>
    <row r="453" spans="1:4">
      <c r="A453" s="432" t="s">
        <v>883</v>
      </c>
      <c r="B453" s="432" t="str">
        <f t="shared" si="7"/>
        <v>-</v>
      </c>
      <c r="C453" s="435" t="str">
        <f>IF('母公司资产负债表  '!G78=0,"-",TEXT('母公司资产负债表  '!G78,"#,##0.00"))</f>
        <v>-</v>
      </c>
      <c r="D453" s="435">
        <f>'母公司资产负债表  '!G78</f>
        <v>0</v>
      </c>
    </row>
    <row r="454" spans="1:4">
      <c r="A454" s="432" t="s">
        <v>884</v>
      </c>
      <c r="B454" s="432" t="str">
        <f t="shared" si="7"/>
        <v>-</v>
      </c>
      <c r="C454" s="435" t="str">
        <f>IF('母公司资产负债表  '!G79=0,"-",TEXT('母公司资产负债表  '!G79,"#,##0.00"))</f>
        <v>-</v>
      </c>
      <c r="D454" s="435">
        <f>'母公司资产负债表  '!G79</f>
        <v>0</v>
      </c>
    </row>
    <row r="455" spans="1:4">
      <c r="A455" s="432" t="s">
        <v>885</v>
      </c>
      <c r="B455" s="432" t="str">
        <f t="shared" si="7"/>
        <v>-</v>
      </c>
      <c r="C455" s="435" t="str">
        <f>IF('母公司资产负债表  '!G80=0,"-",TEXT('母公司资产负债表  '!G80,"#,##0.00"))</f>
        <v>-</v>
      </c>
      <c r="D455" s="435">
        <f>'母公司资产负债表  '!G80</f>
        <v>0</v>
      </c>
    </row>
    <row r="456" spans="1:4">
      <c r="A456" s="432" t="s">
        <v>886</v>
      </c>
      <c r="B456" s="432" t="str">
        <f t="shared" si="7"/>
        <v>-</v>
      </c>
      <c r="C456" s="435" t="str">
        <f>IF('母公司资产负债表  '!H5=0,"-",TEXT('母公司资产负债表  '!H5,"#,##0.00"))</f>
        <v>-</v>
      </c>
      <c r="D456" s="435">
        <f>'母公司资产负债表  '!H5</f>
        <v>0</v>
      </c>
    </row>
    <row r="457" spans="1:4">
      <c r="A457" s="432" t="s">
        <v>887</v>
      </c>
      <c r="B457" s="432" t="str">
        <f t="shared" si="7"/>
        <v>-</v>
      </c>
      <c r="C457" s="435" t="str">
        <f>IF('母公司资产负债表  '!H6=0,"-",TEXT('母公司资产负债表  '!H6,"#,##0.00"))</f>
        <v>-</v>
      </c>
      <c r="D457" s="435">
        <f>'母公司资产负债表  '!H6</f>
        <v>0</v>
      </c>
    </row>
    <row r="458" spans="1:4">
      <c r="A458" s="432" t="s">
        <v>888</v>
      </c>
      <c r="B458" s="432" t="str">
        <f t="shared" si="7"/>
        <v>-</v>
      </c>
      <c r="C458" s="435" t="str">
        <f>IF('母公司资产负债表  '!H7=0,"-",TEXT('母公司资产负债表  '!H7,"#,##0.00"))</f>
        <v>-</v>
      </c>
      <c r="D458" s="435">
        <f>'母公司资产负债表  '!H7</f>
        <v>0</v>
      </c>
    </row>
    <row r="459" spans="1:4">
      <c r="A459" s="432" t="s">
        <v>889</v>
      </c>
      <c r="B459" s="432" t="str">
        <f t="shared" si="7"/>
        <v>-</v>
      </c>
      <c r="C459" s="435" t="str">
        <f>IF('母公司资产负债表  '!H8=0,"-",TEXT('母公司资产负债表  '!H8,"#,##0.00"))</f>
        <v>-</v>
      </c>
      <c r="D459" s="435">
        <f>'母公司资产负债表  '!H8</f>
        <v>0</v>
      </c>
    </row>
    <row r="460" spans="1:4">
      <c r="A460" s="432" t="s">
        <v>890</v>
      </c>
      <c r="B460" s="432" t="str">
        <f t="shared" si="7"/>
        <v>-</v>
      </c>
      <c r="C460" s="435" t="str">
        <f>IF('母公司资产负债表  '!H9=0,"-",TEXT('母公司资产负债表  '!H9,"#,##0.00"))</f>
        <v>-</v>
      </c>
      <c r="D460" s="435">
        <f>'母公司资产负债表  '!H9</f>
        <v>0</v>
      </c>
    </row>
    <row r="461" spans="1:4">
      <c r="A461" s="432" t="s">
        <v>891</v>
      </c>
      <c r="B461" s="432" t="str">
        <f t="shared" si="7"/>
        <v>-</v>
      </c>
      <c r="C461" s="435" t="str">
        <f>IF('母公司资产负债表  '!H10=0,"-",TEXT('母公司资产负债表  '!H10,"#,##0.00"))</f>
        <v>-</v>
      </c>
      <c r="D461" s="435">
        <f>'母公司资产负债表  '!H10</f>
        <v>0</v>
      </c>
    </row>
    <row r="462" spans="1:4">
      <c r="A462" s="432" t="s">
        <v>892</v>
      </c>
      <c r="B462" s="432" t="str">
        <f t="shared" si="7"/>
        <v>-</v>
      </c>
      <c r="C462" s="435" t="str">
        <f>IF('母公司资产负债表  '!H11=0,"-",TEXT('母公司资产负债表  '!H11,"#,##0.00"))</f>
        <v>-</v>
      </c>
      <c r="D462" s="435">
        <f>'母公司资产负债表  '!H11</f>
        <v>0</v>
      </c>
    </row>
    <row r="463" spans="1:4">
      <c r="A463" s="432" t="s">
        <v>893</v>
      </c>
      <c r="B463" s="432" t="str">
        <f t="shared" si="7"/>
        <v>-</v>
      </c>
      <c r="C463" s="435" t="str">
        <f>IF('母公司资产负债表  '!H12=0,"-",TEXT('母公司资产负债表  '!H12,"#,##0.00"))</f>
        <v>-</v>
      </c>
      <c r="D463" s="435">
        <f>'母公司资产负债表  '!H12</f>
        <v>0</v>
      </c>
    </row>
    <row r="464" spans="1:4">
      <c r="A464" s="432" t="s">
        <v>894</v>
      </c>
      <c r="B464" s="432" t="str">
        <f t="shared" si="7"/>
        <v>-</v>
      </c>
      <c r="C464" s="435" t="str">
        <f>IF('母公司资产负债表  '!H13=0,"-",TEXT('母公司资产负债表  '!H13,"#,##0.00"))</f>
        <v>-</v>
      </c>
      <c r="D464" s="435">
        <f>'母公司资产负债表  '!H13</f>
        <v>0</v>
      </c>
    </row>
    <row r="465" spans="1:4">
      <c r="A465" s="432" t="s">
        <v>895</v>
      </c>
      <c r="B465" s="432" t="str">
        <f t="shared" si="7"/>
        <v>-</v>
      </c>
      <c r="C465" s="435" t="str">
        <f>IF('母公司资产负债表  '!H14=0,"-",TEXT('母公司资产负债表  '!H14,"#,##0.00"))</f>
        <v>-</v>
      </c>
      <c r="D465" s="435">
        <f>'母公司资产负债表  '!H14</f>
        <v>0</v>
      </c>
    </row>
    <row r="466" spans="1:4">
      <c r="A466" s="432" t="s">
        <v>896</v>
      </c>
      <c r="B466" s="432" t="str">
        <f t="shared" si="7"/>
        <v>-</v>
      </c>
      <c r="C466" s="435" t="str">
        <f>IF('母公司资产负债表  '!H15=0,"-",TEXT('母公司资产负债表  '!H15,"#,##0.00"))</f>
        <v>-</v>
      </c>
      <c r="D466" s="435">
        <f>'母公司资产负债表  '!H15</f>
        <v>0</v>
      </c>
    </row>
    <row r="467" spans="1:4">
      <c r="A467" s="432" t="s">
        <v>897</v>
      </c>
      <c r="B467" s="432" t="str">
        <f t="shared" si="7"/>
        <v>-</v>
      </c>
      <c r="C467" s="435" t="str">
        <f>IF('母公司资产负债表  '!H16=0,"-",TEXT('母公司资产负债表  '!H16,"#,##0.00"))</f>
        <v>-</v>
      </c>
      <c r="D467" s="435">
        <f>'母公司资产负债表  '!H16</f>
        <v>0</v>
      </c>
    </row>
    <row r="468" spans="1:4">
      <c r="A468" s="432" t="s">
        <v>898</v>
      </c>
      <c r="B468" s="432" t="str">
        <f t="shared" si="7"/>
        <v>-</v>
      </c>
      <c r="C468" s="435" t="str">
        <f>IF('母公司资产负债表  '!H17=0,"-",TEXT('母公司资产负债表  '!H17,"#,##0.00"))</f>
        <v>-</v>
      </c>
      <c r="D468" s="435">
        <f>'母公司资产负债表  '!H17</f>
        <v>0</v>
      </c>
    </row>
    <row r="469" spans="1:4">
      <c r="A469" s="432" t="s">
        <v>899</v>
      </c>
      <c r="B469" s="432" t="str">
        <f t="shared" si="7"/>
        <v>-</v>
      </c>
      <c r="C469" s="435" t="str">
        <f>IF('母公司资产负债表  '!H18=0,"-",TEXT('母公司资产负债表  '!H18,"#,##0.00"))</f>
        <v>-</v>
      </c>
      <c r="D469" s="435">
        <f>'母公司资产负债表  '!H18</f>
        <v>0</v>
      </c>
    </row>
    <row r="470" spans="1:4">
      <c r="A470" s="432" t="s">
        <v>900</v>
      </c>
      <c r="B470" s="432" t="str">
        <f t="shared" si="7"/>
        <v>-</v>
      </c>
      <c r="C470" s="435" t="str">
        <f>IF('母公司资产负债表  '!H19=0,"-",TEXT('母公司资产负债表  '!H19,"#,##0.00"))</f>
        <v>-</v>
      </c>
      <c r="D470" s="435">
        <f>'母公司资产负债表  '!H19</f>
        <v>0</v>
      </c>
    </row>
    <row r="471" spans="1:4">
      <c r="A471" s="432" t="s">
        <v>901</v>
      </c>
      <c r="B471" s="432" t="str">
        <f t="shared" si="7"/>
        <v>-</v>
      </c>
      <c r="C471" s="435" t="str">
        <f>IF('母公司资产负债表  '!H21=0,"-",TEXT('母公司资产负债表  '!H21,"#,##0.00"))</f>
        <v>-</v>
      </c>
      <c r="D471" s="435">
        <f>'母公司资产负债表  '!H21</f>
        <v>0</v>
      </c>
    </row>
    <row r="472" spans="1:4">
      <c r="A472" s="432" t="s">
        <v>902</v>
      </c>
      <c r="B472" s="432" t="str">
        <f t="shared" si="7"/>
        <v>-</v>
      </c>
      <c r="C472" s="435" t="str">
        <f>IF('母公司资产负债表  '!H22=0,"-",TEXT('母公司资产负债表  '!H22,"#,##0.00"))</f>
        <v>-</v>
      </c>
      <c r="D472" s="435">
        <f>'母公司资产负债表  '!H22</f>
        <v>0</v>
      </c>
    </row>
    <row r="473" spans="1:4">
      <c r="A473" s="432" t="s">
        <v>903</v>
      </c>
      <c r="B473" s="432" t="str">
        <f t="shared" si="7"/>
        <v>-</v>
      </c>
      <c r="C473" s="435" t="str">
        <f>IF('母公司资产负债表  '!H23=0,"-",TEXT('母公司资产负债表  '!H23,"#,##0.00"))</f>
        <v>-</v>
      </c>
      <c r="D473" s="435">
        <f>'母公司资产负债表  '!H23</f>
        <v>0</v>
      </c>
    </row>
    <row r="474" spans="1:4">
      <c r="A474" s="432" t="s">
        <v>904</v>
      </c>
      <c r="B474" s="432" t="str">
        <f t="shared" si="7"/>
        <v>-</v>
      </c>
      <c r="C474" s="435" t="str">
        <f>IF('母公司资产负债表  '!H24=0,"-",TEXT('母公司资产负债表  '!H24,"#,##0.00"))</f>
        <v>-</v>
      </c>
      <c r="D474" s="435">
        <f>'母公司资产负债表  '!H24</f>
        <v>0</v>
      </c>
    </row>
    <row r="475" spans="1:4">
      <c r="A475" s="432" t="s">
        <v>905</v>
      </c>
      <c r="B475" s="432" t="str">
        <f t="shared" si="7"/>
        <v>-</v>
      </c>
      <c r="C475" s="435" t="str">
        <f>IF('母公司资产负债表  '!H25=0,"-",TEXT('母公司资产负债表  '!H25,"#,##0.00"))</f>
        <v>-</v>
      </c>
      <c r="D475" s="435">
        <f>'母公司资产负债表  '!H25</f>
        <v>0</v>
      </c>
    </row>
    <row r="476" spans="1:4">
      <c r="A476" s="432" t="s">
        <v>906</v>
      </c>
      <c r="B476" s="432" t="str">
        <f t="shared" si="7"/>
        <v>-</v>
      </c>
      <c r="C476" s="435" t="str">
        <f>IF('母公司资产负债表  '!H26=0,"-",TEXT('母公司资产负债表  '!H26,"#,##0.00"))</f>
        <v>-</v>
      </c>
      <c r="D476" s="435">
        <f>'母公司资产负债表  '!H26</f>
        <v>0</v>
      </c>
    </row>
    <row r="477" spans="1:4">
      <c r="A477" s="432" t="s">
        <v>907</v>
      </c>
      <c r="B477" s="432" t="str">
        <f t="shared" si="7"/>
        <v>-</v>
      </c>
      <c r="C477" s="435" t="str">
        <f>IF('母公司资产负债表  '!H27=0,"-",TEXT('母公司资产负债表  '!H27,"#,##0.00"))</f>
        <v>-</v>
      </c>
      <c r="D477" s="435">
        <f>'母公司资产负债表  '!H27</f>
        <v>0</v>
      </c>
    </row>
    <row r="478" spans="1:4">
      <c r="A478" s="432" t="s">
        <v>908</v>
      </c>
      <c r="B478" s="432" t="str">
        <f t="shared" si="7"/>
        <v>-</v>
      </c>
      <c r="C478" s="435" t="str">
        <f>IF('母公司资产负债表  '!H28=0,"-",TEXT('母公司资产负债表  '!H28,"#,##0.00"))</f>
        <v>-</v>
      </c>
      <c r="D478" s="435">
        <f>'母公司资产负债表  '!H28</f>
        <v>0</v>
      </c>
    </row>
    <row r="479" spans="1:4">
      <c r="A479" s="432" t="s">
        <v>909</v>
      </c>
      <c r="B479" s="432" t="str">
        <f t="shared" si="7"/>
        <v>-</v>
      </c>
      <c r="C479" s="435" t="str">
        <f>IF('母公司资产负债表  '!H29=0,"-",TEXT('母公司资产负债表  '!H29,"#,##0.00"))</f>
        <v>-</v>
      </c>
      <c r="D479" s="435">
        <f>'母公司资产负债表  '!H29</f>
        <v>0</v>
      </c>
    </row>
    <row r="480" spans="1:4">
      <c r="A480" s="432" t="s">
        <v>910</v>
      </c>
      <c r="B480" s="432" t="str">
        <f t="shared" si="7"/>
        <v>-</v>
      </c>
      <c r="C480" s="435" t="str">
        <f>IF('母公司资产负债表  '!H30=0,"-",TEXT('母公司资产负债表  '!H30,"#,##0.00"))</f>
        <v>-</v>
      </c>
      <c r="D480" s="435">
        <f>'母公司资产负债表  '!H30</f>
        <v>0</v>
      </c>
    </row>
    <row r="481" spans="1:4">
      <c r="A481" s="432" t="s">
        <v>911</v>
      </c>
      <c r="B481" s="432" t="str">
        <f t="shared" si="7"/>
        <v>-</v>
      </c>
      <c r="C481" s="435" t="str">
        <f>IF('母公司资产负债表  '!H31=0,"-",TEXT('母公司资产负债表  '!H31,"#,##0.00"))</f>
        <v>-</v>
      </c>
      <c r="D481" s="435">
        <f>'母公司资产负债表  '!H31</f>
        <v>0</v>
      </c>
    </row>
    <row r="482" spans="1:4">
      <c r="A482" s="432" t="s">
        <v>912</v>
      </c>
      <c r="B482" s="432" t="str">
        <f t="shared" si="7"/>
        <v>-</v>
      </c>
      <c r="C482" s="435" t="str">
        <f>IF('母公司资产负债表  '!H32=0,"-",TEXT('母公司资产负债表  '!H32,"#,##0.00"))</f>
        <v>-</v>
      </c>
      <c r="D482" s="435">
        <f>'母公司资产负债表  '!H32</f>
        <v>0</v>
      </c>
    </row>
    <row r="483" spans="1:4">
      <c r="A483" s="432" t="s">
        <v>913</v>
      </c>
      <c r="B483" s="432" t="str">
        <f t="shared" si="7"/>
        <v>-</v>
      </c>
      <c r="C483" s="435" t="str">
        <f>IF('母公司资产负债表  '!H33=0,"-",TEXT('母公司资产负债表  '!H33,"#,##0.00"))</f>
        <v>-</v>
      </c>
      <c r="D483" s="435">
        <f>'母公司资产负债表  '!H33</f>
        <v>0</v>
      </c>
    </row>
    <row r="484" spans="1:4">
      <c r="A484" s="432" t="s">
        <v>914</v>
      </c>
      <c r="B484" s="432" t="str">
        <f t="shared" si="7"/>
        <v>-</v>
      </c>
      <c r="C484" s="435" t="str">
        <f>IF('母公司资产负债表  '!H34=0,"-",TEXT('母公司资产负债表  '!H34,"#,##0.00"))</f>
        <v>-</v>
      </c>
      <c r="D484" s="435">
        <f>'母公司资产负债表  '!H34</f>
        <v>0</v>
      </c>
    </row>
    <row r="485" spans="1:4">
      <c r="A485" s="432" t="s">
        <v>915</v>
      </c>
      <c r="B485" s="432" t="str">
        <f t="shared" si="7"/>
        <v>-</v>
      </c>
      <c r="C485" s="435" t="str">
        <f>IF('母公司资产负债表  '!H35=0,"-",TEXT('母公司资产负债表  '!H35,"#,##0.00"))</f>
        <v>-</v>
      </c>
      <c r="D485" s="435">
        <f>'母公司资产负债表  '!H35</f>
        <v>0</v>
      </c>
    </row>
    <row r="486" spans="1:4">
      <c r="A486" s="432" t="s">
        <v>916</v>
      </c>
      <c r="B486" s="432" t="str">
        <f t="shared" si="7"/>
        <v>-</v>
      </c>
      <c r="C486" s="435" t="str">
        <f>IF('母公司资产负债表  '!H36=0,"-",TEXT('母公司资产负债表  '!H36,"#,##0.00"))</f>
        <v>-</v>
      </c>
      <c r="D486" s="435">
        <f>'母公司资产负债表  '!H36</f>
        <v>0</v>
      </c>
    </row>
    <row r="487" spans="1:4">
      <c r="A487" s="432" t="s">
        <v>917</v>
      </c>
      <c r="B487" s="432" t="str">
        <f t="shared" si="7"/>
        <v>-</v>
      </c>
      <c r="C487" s="435" t="str">
        <f>IF('母公司资产负债表  '!H37=0,"-",TEXT('母公司资产负债表  '!H37,"#,##0.00"))</f>
        <v>-</v>
      </c>
      <c r="D487" s="435">
        <f>'母公司资产负债表  '!H37</f>
        <v>0</v>
      </c>
    </row>
    <row r="488" spans="1:4">
      <c r="A488" s="432" t="s">
        <v>918</v>
      </c>
      <c r="B488" s="432" t="str">
        <f t="shared" si="7"/>
        <v>-</v>
      </c>
      <c r="C488" s="435" t="str">
        <f>IF('母公司资产负债表  '!H39=0,"-",TEXT('母公司资产负债表  '!H39,"#,##0.00"))</f>
        <v>-</v>
      </c>
      <c r="D488" s="435">
        <f>'母公司资产负债表  '!H39</f>
        <v>0</v>
      </c>
    </row>
    <row r="489" spans="1:4">
      <c r="A489" s="432" t="s">
        <v>919</v>
      </c>
      <c r="B489" s="432" t="str">
        <f t="shared" si="7"/>
        <v>-</v>
      </c>
      <c r="C489" s="435" t="str">
        <f>IF('母公司资产负债表  '!H40=0,"-",TEXT('母公司资产负债表  '!H40,"#,##0.00"))</f>
        <v>-</v>
      </c>
      <c r="D489" s="435">
        <f>'母公司资产负债表  '!H40</f>
        <v>0</v>
      </c>
    </row>
    <row r="490" spans="1:4">
      <c r="A490" s="432" t="s">
        <v>920</v>
      </c>
      <c r="B490" s="432" t="str">
        <f t="shared" si="7"/>
        <v>-</v>
      </c>
      <c r="C490" s="435" t="str">
        <f>IF('母公司资产负债表  '!H41=0,"-",TEXT('母公司资产负债表  '!H41,"#,##0.00"))</f>
        <v>-</v>
      </c>
      <c r="D490" s="435">
        <f>'母公司资产负债表  '!H41</f>
        <v>0</v>
      </c>
    </row>
    <row r="491" spans="1:4">
      <c r="A491" s="432" t="s">
        <v>921</v>
      </c>
      <c r="B491" s="432" t="str">
        <f t="shared" si="7"/>
        <v>-</v>
      </c>
      <c r="C491" s="435" t="str">
        <f>IF('母公司资产负债表  '!H42=0,"-",TEXT('母公司资产负债表  '!H42,"#,##0.00"))</f>
        <v>-</v>
      </c>
      <c r="D491" s="435">
        <f>'母公司资产负债表  '!H42</f>
        <v>0</v>
      </c>
    </row>
    <row r="492" spans="1:4">
      <c r="A492" s="432" t="s">
        <v>922</v>
      </c>
      <c r="B492" s="432" t="str">
        <f t="shared" si="7"/>
        <v>-</v>
      </c>
      <c r="C492" s="435" t="str">
        <f>IF('母公司资产负债表  '!H43=0,"-",TEXT('母公司资产负债表  '!H43,"#,##0.00"))</f>
        <v>-</v>
      </c>
      <c r="D492" s="435">
        <f>'母公司资产负债表  '!H43</f>
        <v>0</v>
      </c>
    </row>
    <row r="493" spans="1:4">
      <c r="A493" s="432" t="s">
        <v>923</v>
      </c>
      <c r="B493" s="432" t="str">
        <f t="shared" si="7"/>
        <v>-</v>
      </c>
      <c r="C493" s="435" t="str">
        <f>IF('母公司资产负债表  '!H44=0,"-",TEXT('母公司资产负债表  '!H44,"#,##0.00"))</f>
        <v>-</v>
      </c>
      <c r="D493" s="435">
        <f>'母公司资产负债表  '!H44</f>
        <v>0</v>
      </c>
    </row>
    <row r="494" spans="1:4">
      <c r="A494" s="432" t="s">
        <v>924</v>
      </c>
      <c r="B494" s="432" t="str">
        <f t="shared" si="7"/>
        <v>-</v>
      </c>
      <c r="C494" s="435" t="str">
        <f>IF('母公司资产负债表  '!H45=0,"-",TEXT('母公司资产负债表  '!H45,"#,##0.00"))</f>
        <v>-</v>
      </c>
      <c r="D494" s="435">
        <f>'母公司资产负债表  '!H45</f>
        <v>0</v>
      </c>
    </row>
    <row r="495" spans="1:4">
      <c r="A495" s="432" t="s">
        <v>925</v>
      </c>
      <c r="B495" s="432" t="str">
        <f t="shared" si="7"/>
        <v>-</v>
      </c>
      <c r="C495" s="435" t="str">
        <f>IF('母公司资产负债表  '!H46=0,"-",TEXT('母公司资产负债表  '!H46,"#,##0.00"))</f>
        <v>-</v>
      </c>
      <c r="D495" s="435">
        <f>'母公司资产负债表  '!H46</f>
        <v>0</v>
      </c>
    </row>
    <row r="496" spans="1:4">
      <c r="A496" s="432" t="s">
        <v>926</v>
      </c>
      <c r="B496" s="432" t="str">
        <f t="shared" si="7"/>
        <v>-</v>
      </c>
      <c r="C496" s="435" t="str">
        <f>IF('母公司资产负债表  '!H47=0,"-",TEXT('母公司资产负债表  '!H47,"#,##0.00"))</f>
        <v>-</v>
      </c>
      <c r="D496" s="435">
        <f>'母公司资产负债表  '!H47</f>
        <v>0</v>
      </c>
    </row>
    <row r="497" spans="1:4">
      <c r="A497" s="432" t="s">
        <v>927</v>
      </c>
      <c r="B497" s="432" t="str">
        <f t="shared" si="7"/>
        <v>-</v>
      </c>
      <c r="C497" s="435" t="str">
        <f>IF('母公司资产负债表  '!H48=0,"-",TEXT('母公司资产负债表  '!H48,"#,##0.00"))</f>
        <v>-</v>
      </c>
      <c r="D497" s="435">
        <f>'母公司资产负债表  '!H48</f>
        <v>0</v>
      </c>
    </row>
    <row r="498" spans="1:4">
      <c r="A498" s="432" t="s">
        <v>928</v>
      </c>
      <c r="B498" s="432" t="str">
        <f t="shared" si="7"/>
        <v>-</v>
      </c>
      <c r="C498" s="435" t="str">
        <f>IF('母公司资产负债表  '!H49=0,"-",TEXT('母公司资产负债表  '!H49,"#,##0.00"))</f>
        <v>-</v>
      </c>
      <c r="D498" s="435">
        <f>'母公司资产负债表  '!H49</f>
        <v>0</v>
      </c>
    </row>
    <row r="499" spans="1:4">
      <c r="A499" s="432" t="s">
        <v>929</v>
      </c>
      <c r="B499" s="432" t="str">
        <f t="shared" si="7"/>
        <v>-</v>
      </c>
      <c r="C499" s="435" t="str">
        <f>IF('母公司资产负债表  '!H50=0,"-",TEXT('母公司资产负债表  '!H50,"#,##0.00"))</f>
        <v>-</v>
      </c>
      <c r="D499" s="435">
        <f>'母公司资产负债表  '!H50</f>
        <v>0</v>
      </c>
    </row>
    <row r="500" spans="1:4">
      <c r="A500" s="432" t="s">
        <v>930</v>
      </c>
      <c r="B500" s="432" t="str">
        <f t="shared" si="7"/>
        <v>-</v>
      </c>
      <c r="C500" s="435" t="str">
        <f>IF('母公司资产负债表  '!H51=0,"-",TEXT('母公司资产负债表  '!H51,"#,##0.00"))</f>
        <v>-</v>
      </c>
      <c r="D500" s="435">
        <f>'母公司资产负债表  '!H51</f>
        <v>0</v>
      </c>
    </row>
    <row r="501" spans="1:4">
      <c r="A501" s="432" t="s">
        <v>931</v>
      </c>
      <c r="B501" s="432" t="str">
        <f t="shared" si="7"/>
        <v>-</v>
      </c>
      <c r="C501" s="435" t="str">
        <f>IF('母公司资产负债表  '!H52=0,"-",TEXT('母公司资产负债表  '!H52,"#,##0.00"))</f>
        <v>-</v>
      </c>
      <c r="D501" s="435">
        <f>'母公司资产负债表  '!H52</f>
        <v>0</v>
      </c>
    </row>
    <row r="502" spans="1:4">
      <c r="A502" s="432" t="s">
        <v>932</v>
      </c>
      <c r="B502" s="432" t="str">
        <f t="shared" si="7"/>
        <v>-</v>
      </c>
      <c r="C502" s="435" t="str">
        <f>IF('母公司资产负债表  '!H53=0,"-",TEXT('母公司资产负债表  '!H53,"#,##0.00"))</f>
        <v>-</v>
      </c>
      <c r="D502" s="435">
        <f>'母公司资产负债表  '!H53</f>
        <v>0</v>
      </c>
    </row>
    <row r="503" spans="1:4">
      <c r="A503" s="432" t="s">
        <v>933</v>
      </c>
      <c r="B503" s="432" t="str">
        <f t="shared" si="7"/>
        <v>-</v>
      </c>
      <c r="C503" s="435" t="str">
        <f>IF('母公司资产负债表  '!H54=0,"-",TEXT('母公司资产负债表  '!H54,"#,##0.00"))</f>
        <v>-</v>
      </c>
      <c r="D503" s="435">
        <f>'母公司资产负债表  '!H54</f>
        <v>0</v>
      </c>
    </row>
    <row r="504" spans="1:4">
      <c r="A504" s="432" t="s">
        <v>934</v>
      </c>
      <c r="B504" s="432" t="str">
        <f t="shared" si="7"/>
        <v>-</v>
      </c>
      <c r="C504" s="435" t="str">
        <f>IF('母公司资产负债表  '!H56=0,"-",TEXT('母公司资产负债表  '!H56,"#,##0.00"))</f>
        <v>-</v>
      </c>
      <c r="D504" s="435">
        <f>'母公司资产负债表  '!H56</f>
        <v>0</v>
      </c>
    </row>
    <row r="505" spans="1:4">
      <c r="A505" s="432" t="s">
        <v>935</v>
      </c>
      <c r="B505" s="432" t="str">
        <f t="shared" si="7"/>
        <v>-</v>
      </c>
      <c r="C505" s="435" t="str">
        <f>IF('母公司资产负债表  '!H57=0,"-",TEXT('母公司资产负债表  '!H57,"#,##0.00"))</f>
        <v>-</v>
      </c>
      <c r="D505" s="435">
        <f>'母公司资产负债表  '!H57</f>
        <v>0</v>
      </c>
    </row>
    <row r="506" spans="1:4">
      <c r="A506" s="432" t="s">
        <v>936</v>
      </c>
      <c r="B506" s="432" t="str">
        <f t="shared" si="7"/>
        <v>-</v>
      </c>
      <c r="C506" s="435" t="str">
        <f>IF('母公司资产负债表  '!H58=0,"-",TEXT('母公司资产负债表  '!H58,"#,##0.00"))</f>
        <v>-</v>
      </c>
      <c r="D506" s="435">
        <f>'母公司资产负债表  '!H58</f>
        <v>0</v>
      </c>
    </row>
    <row r="507" spans="1:4">
      <c r="A507" s="432" t="s">
        <v>937</v>
      </c>
      <c r="B507" s="432" t="str">
        <f t="shared" si="7"/>
        <v>-</v>
      </c>
      <c r="C507" s="435" t="str">
        <f>IF('母公司资产负债表  '!H59=0,"-",TEXT('母公司资产负债表  '!H59,"#,##0.00"))</f>
        <v>-</v>
      </c>
      <c r="D507" s="435">
        <f>'母公司资产负债表  '!H59</f>
        <v>0</v>
      </c>
    </row>
    <row r="508" spans="1:4">
      <c r="A508" s="432" t="s">
        <v>938</v>
      </c>
      <c r="B508" s="432" t="str">
        <f t="shared" si="7"/>
        <v>-</v>
      </c>
      <c r="C508" s="435" t="str">
        <f>IF('母公司资产负债表  '!H60=0,"-",TEXT('母公司资产负债表  '!H60,"#,##0.00"))</f>
        <v>-</v>
      </c>
      <c r="D508" s="435">
        <f>'母公司资产负债表  '!H60</f>
        <v>0</v>
      </c>
    </row>
    <row r="509" spans="1:4">
      <c r="A509" s="432" t="s">
        <v>939</v>
      </c>
      <c r="B509" s="432" t="str">
        <f t="shared" si="7"/>
        <v>-</v>
      </c>
      <c r="C509" s="435" t="str">
        <f>IF('母公司资产负债表  '!H61=0,"-",TEXT('母公司资产负债表  '!H61,"#,##0.00"))</f>
        <v>-</v>
      </c>
      <c r="D509" s="435">
        <f>'母公司资产负债表  '!H61</f>
        <v>0</v>
      </c>
    </row>
    <row r="510" spans="1:4">
      <c r="A510" s="432" t="s">
        <v>940</v>
      </c>
      <c r="B510" s="432" t="str">
        <f t="shared" si="7"/>
        <v>-</v>
      </c>
      <c r="C510" s="435" t="str">
        <f>IF('母公司资产负债表  '!H62=0,"-",TEXT('母公司资产负债表  '!H62,"#,##0.00"))</f>
        <v>-</v>
      </c>
      <c r="D510" s="435">
        <f>'母公司资产负债表  '!H62</f>
        <v>0</v>
      </c>
    </row>
    <row r="511" spans="1:4">
      <c r="A511" s="432" t="s">
        <v>941</v>
      </c>
      <c r="B511" s="432" t="str">
        <f t="shared" si="7"/>
        <v>-</v>
      </c>
      <c r="C511" s="435" t="str">
        <f>IF('母公司资产负债表  '!H63=0,"-",TEXT('母公司资产负债表  '!H63,"#,##0.00"))</f>
        <v>-</v>
      </c>
      <c r="D511" s="435">
        <f>'母公司资产负债表  '!H63</f>
        <v>0</v>
      </c>
    </row>
    <row r="512" spans="1:4">
      <c r="A512" s="432" t="s">
        <v>942</v>
      </c>
      <c r="B512" s="432" t="str">
        <f t="shared" si="7"/>
        <v>-</v>
      </c>
      <c r="C512" s="435" t="str">
        <f>IF('母公司资产负债表  '!H64=0,"-",TEXT('母公司资产负债表  '!H64,"#,##0.00"))</f>
        <v>-</v>
      </c>
      <c r="D512" s="435">
        <f>'母公司资产负债表  '!H64</f>
        <v>0</v>
      </c>
    </row>
    <row r="513" spans="1:4">
      <c r="A513" s="432" t="s">
        <v>943</v>
      </c>
      <c r="B513" s="432" t="str">
        <f t="shared" si="7"/>
        <v>-</v>
      </c>
      <c r="C513" s="435" t="str">
        <f>IF('母公司资产负债表  '!H65=0,"-",TEXT('母公司资产负债表  '!H65,"#,##0.00"))</f>
        <v>-</v>
      </c>
      <c r="D513" s="435">
        <f>'母公司资产负债表  '!H65</f>
        <v>0</v>
      </c>
    </row>
    <row r="514" spans="1:4">
      <c r="A514" s="432" t="s">
        <v>944</v>
      </c>
      <c r="B514" s="432" t="str">
        <f t="shared" si="7"/>
        <v>-</v>
      </c>
      <c r="C514" s="435" t="str">
        <f>IF('母公司资产负债表  '!H66=0,"-",TEXT('母公司资产负债表  '!H66,"#,##0.00"))</f>
        <v>-</v>
      </c>
      <c r="D514" s="435">
        <f>'母公司资产负债表  '!H66</f>
        <v>0</v>
      </c>
    </row>
    <row r="515" spans="1:4">
      <c r="A515" s="432" t="s">
        <v>945</v>
      </c>
      <c r="B515" s="432" t="str">
        <f t="shared" si="7"/>
        <v>-</v>
      </c>
      <c r="C515" s="435" t="str">
        <f>IF('母公司资产负债表  '!H67=0,"-",TEXT('母公司资产负债表  '!H67,"#,##0.00"))</f>
        <v>-</v>
      </c>
      <c r="D515" s="435">
        <f>'母公司资产负债表  '!H67</f>
        <v>0</v>
      </c>
    </row>
    <row r="516" spans="1:4">
      <c r="A516" s="432" t="s">
        <v>946</v>
      </c>
      <c r="B516" s="432" t="str">
        <f t="shared" ref="B516:B579" si="8">TRIM(C516)</f>
        <v>-</v>
      </c>
      <c r="C516" s="435" t="str">
        <f>IF('母公司资产负债表  '!H68=0,"-",TEXT('母公司资产负债表  '!H68,"#,##0.00"))</f>
        <v>-</v>
      </c>
      <c r="D516" s="435">
        <f>'母公司资产负债表  '!H68</f>
        <v>0</v>
      </c>
    </row>
    <row r="517" spans="1:4">
      <c r="A517" s="432" t="s">
        <v>947</v>
      </c>
      <c r="B517" s="432" t="str">
        <f t="shared" si="8"/>
        <v>-</v>
      </c>
      <c r="C517" s="435" t="str">
        <f>IF('母公司资产负债表  '!H70=0,"-",TEXT('母公司资产负债表  '!H70,"#,##0.00"))</f>
        <v>-</v>
      </c>
      <c r="D517" s="435">
        <f>'母公司资产负债表  '!H70</f>
        <v>0</v>
      </c>
    </row>
    <row r="518" spans="1:4">
      <c r="A518" s="432" t="s">
        <v>948</v>
      </c>
      <c r="B518" s="432" t="str">
        <f t="shared" si="8"/>
        <v>-</v>
      </c>
      <c r="C518" s="435" t="str">
        <f>IF('母公司资产负债表  '!H71=0,"-",TEXT('母公司资产负债表  '!H71,"#,##0.00"))</f>
        <v>-</v>
      </c>
      <c r="D518" s="435">
        <f>'母公司资产负债表  '!H71</f>
        <v>0</v>
      </c>
    </row>
    <row r="519" spans="1:4">
      <c r="A519" s="432" t="s">
        <v>949</v>
      </c>
      <c r="B519" s="432" t="str">
        <f t="shared" si="8"/>
        <v>-</v>
      </c>
      <c r="C519" s="435" t="str">
        <f>IF('母公司资产负债表  '!H72=0,"-",TEXT('母公司资产负债表  '!H72,"#,##0.00"))</f>
        <v>-</v>
      </c>
      <c r="D519" s="435">
        <f>'母公司资产负债表  '!H72</f>
        <v>0</v>
      </c>
    </row>
    <row r="520" spans="1:4">
      <c r="A520" s="432" t="s">
        <v>950</v>
      </c>
      <c r="B520" s="432" t="str">
        <f t="shared" si="8"/>
        <v>-</v>
      </c>
      <c r="C520" s="435" t="str">
        <f>IF('母公司资产负债表  '!H73=0,"-",TEXT('母公司资产负债表  '!H73,"#,##0.00"))</f>
        <v>-</v>
      </c>
      <c r="D520" s="435">
        <f>'母公司资产负债表  '!H73</f>
        <v>0</v>
      </c>
    </row>
    <row r="521" spans="1:4">
      <c r="A521" s="432" t="s">
        <v>951</v>
      </c>
      <c r="B521" s="432" t="str">
        <f t="shared" si="8"/>
        <v>-</v>
      </c>
      <c r="C521" s="435" t="str">
        <f>IF('母公司资产负债表  '!H74=0,"-",TEXT('母公司资产负债表  '!H74,"#,##0.00"))</f>
        <v>-</v>
      </c>
      <c r="D521" s="435">
        <f>'母公司资产负债表  '!H74</f>
        <v>0</v>
      </c>
    </row>
    <row r="522" spans="1:4">
      <c r="A522" s="432" t="s">
        <v>952</v>
      </c>
      <c r="B522" s="432" t="str">
        <f t="shared" si="8"/>
        <v>-</v>
      </c>
      <c r="C522" s="435" t="str">
        <f>IF('母公司资产负债表  '!H75=0,"-",TEXT('母公司资产负债表  '!H75,"#,##0.00"))</f>
        <v>-</v>
      </c>
      <c r="D522" s="435">
        <f>'母公司资产负债表  '!H75</f>
        <v>0</v>
      </c>
    </row>
    <row r="523" spans="1:4">
      <c r="A523" s="432" t="s">
        <v>953</v>
      </c>
      <c r="B523" s="432" t="str">
        <f t="shared" si="8"/>
        <v>-</v>
      </c>
      <c r="C523" s="435" t="str">
        <f>IF('母公司资产负债表  '!H76=0,"-",TEXT('母公司资产负债表  '!H76,"#,##0.00"))</f>
        <v>-</v>
      </c>
      <c r="D523" s="435">
        <f>'母公司资产负债表  '!H76</f>
        <v>0</v>
      </c>
    </row>
    <row r="524" spans="1:4">
      <c r="A524" s="432" t="s">
        <v>954</v>
      </c>
      <c r="B524" s="432" t="str">
        <f t="shared" si="8"/>
        <v>-</v>
      </c>
      <c r="C524" s="435" t="str">
        <f>IF('母公司资产负债表  '!H77=0,"-",TEXT('母公司资产负债表  '!H77,"#,##0.00"))</f>
        <v>-</v>
      </c>
      <c r="D524" s="435">
        <f>'母公司资产负债表  '!H77</f>
        <v>0</v>
      </c>
    </row>
    <row r="525" spans="1:4">
      <c r="A525" s="432" t="s">
        <v>955</v>
      </c>
      <c r="B525" s="432" t="str">
        <f t="shared" si="8"/>
        <v>-</v>
      </c>
      <c r="C525" s="435" t="str">
        <f>IF('母公司资产负债表  '!H78=0,"-",TEXT('母公司资产负债表  '!H78,"#,##0.00"))</f>
        <v>-</v>
      </c>
      <c r="D525" s="435">
        <f>'母公司资产负债表  '!H78</f>
        <v>0</v>
      </c>
    </row>
    <row r="526" spans="1:4">
      <c r="A526" s="432" t="s">
        <v>956</v>
      </c>
      <c r="B526" s="432" t="str">
        <f t="shared" si="8"/>
        <v>-</v>
      </c>
      <c r="C526" s="435" t="str">
        <f>IF('母公司资产负债表  '!H79=0,"-",TEXT('母公司资产负债表  '!H79,"#,##0.00"))</f>
        <v>-</v>
      </c>
      <c r="D526" s="435">
        <f>'母公司资产负债表  '!H79</f>
        <v>0</v>
      </c>
    </row>
    <row r="527" spans="1:4">
      <c r="A527" s="432" t="s">
        <v>957</v>
      </c>
      <c r="B527" s="432" t="str">
        <f t="shared" si="8"/>
        <v>-</v>
      </c>
      <c r="C527" s="435" t="str">
        <f>IF('母公司资产负债表  '!H80=0,"-",TEXT('母公司资产负债表  '!H80,"#,##0.00"))</f>
        <v>-</v>
      </c>
      <c r="D527" s="435">
        <f>'母公司资产负债表  '!H80</f>
        <v>0</v>
      </c>
    </row>
    <row r="528" spans="1:4">
      <c r="A528" s="432" t="s">
        <v>958</v>
      </c>
      <c r="B528" s="432" t="str">
        <f t="shared" si="8"/>
        <v>-</v>
      </c>
      <c r="C528" s="435" t="str">
        <f>IF('母公司资产负债表  '!I5=0,"-",TEXT('母公司资产负债表  '!I5,"#,##0.00"))</f>
        <v>-</v>
      </c>
      <c r="D528" s="435">
        <f>'母公司资产负债表  '!I5</f>
        <v>0</v>
      </c>
    </row>
    <row r="529" spans="1:4">
      <c r="A529" s="432" t="s">
        <v>959</v>
      </c>
      <c r="B529" s="432" t="str">
        <f t="shared" si="8"/>
        <v>-</v>
      </c>
      <c r="C529" s="435" t="str">
        <f>IF('母公司资产负债表  '!I6=0,"-",TEXT('母公司资产负债表  '!I6,"#,##0.00"))</f>
        <v>-</v>
      </c>
      <c r="D529" s="435">
        <f>'母公司资产负债表  '!I6</f>
        <v>0</v>
      </c>
    </row>
    <row r="530" spans="1:4">
      <c r="A530" s="432" t="s">
        <v>960</v>
      </c>
      <c r="B530" s="432" t="str">
        <f t="shared" si="8"/>
        <v>-</v>
      </c>
      <c r="C530" s="435" t="str">
        <f>IF('母公司资产负债表  '!I7=0,"-",TEXT('母公司资产负债表  '!I7,"#,##0.00"))</f>
        <v>-</v>
      </c>
      <c r="D530" s="435">
        <f>'母公司资产负债表  '!I7</f>
        <v>0</v>
      </c>
    </row>
    <row r="531" spans="1:4">
      <c r="A531" s="432" t="s">
        <v>961</v>
      </c>
      <c r="B531" s="432" t="str">
        <f t="shared" si="8"/>
        <v>-</v>
      </c>
      <c r="C531" s="435" t="str">
        <f>IF('母公司资产负债表  '!I8=0,"-",TEXT('母公司资产负债表  '!I8,"#,##0.00"))</f>
        <v>-</v>
      </c>
      <c r="D531" s="435">
        <f>'母公司资产负债表  '!I8</f>
        <v>0</v>
      </c>
    </row>
    <row r="532" spans="1:4">
      <c r="A532" s="432" t="s">
        <v>962</v>
      </c>
      <c r="B532" s="432" t="str">
        <f t="shared" si="8"/>
        <v>-</v>
      </c>
      <c r="C532" s="435" t="str">
        <f>IF('母公司资产负债表  '!I9=0,"-",TEXT('母公司资产负债表  '!I9,"#,##0.00"))</f>
        <v>-</v>
      </c>
      <c r="D532" s="435">
        <f>'母公司资产负债表  '!I9</f>
        <v>0</v>
      </c>
    </row>
    <row r="533" spans="1:4">
      <c r="A533" s="432" t="s">
        <v>963</v>
      </c>
      <c r="B533" s="432" t="str">
        <f t="shared" si="8"/>
        <v>-</v>
      </c>
      <c r="C533" s="435" t="str">
        <f>IF('母公司资产负债表  '!I10=0,"-",TEXT('母公司资产负债表  '!I10,"#,##0.00"))</f>
        <v>-</v>
      </c>
      <c r="D533" s="435">
        <f>'母公司资产负债表  '!I10</f>
        <v>0</v>
      </c>
    </row>
    <row r="534" spans="1:4">
      <c r="A534" s="432" t="s">
        <v>964</v>
      </c>
      <c r="B534" s="432" t="str">
        <f t="shared" si="8"/>
        <v>-</v>
      </c>
      <c r="C534" s="435" t="str">
        <f>IF('母公司资产负债表  '!I11=0,"-",TEXT('母公司资产负债表  '!I11,"#,##0.00"))</f>
        <v>-</v>
      </c>
      <c r="D534" s="435">
        <f>'母公司资产负债表  '!I11</f>
        <v>0</v>
      </c>
    </row>
    <row r="535" spans="1:4">
      <c r="A535" s="432" t="s">
        <v>965</v>
      </c>
      <c r="B535" s="432" t="str">
        <f t="shared" si="8"/>
        <v>-</v>
      </c>
      <c r="C535" s="435" t="str">
        <f>IF('母公司资产负债表  '!I12=0,"-",TEXT('母公司资产负债表  '!I12,"#,##0.00"))</f>
        <v>-</v>
      </c>
      <c r="D535" s="435">
        <f>'母公司资产负债表  '!I12</f>
        <v>0</v>
      </c>
    </row>
    <row r="536" spans="1:4">
      <c r="A536" s="432" t="s">
        <v>966</v>
      </c>
      <c r="B536" s="432" t="str">
        <f t="shared" si="8"/>
        <v>-</v>
      </c>
      <c r="C536" s="435" t="str">
        <f>IF('母公司资产负债表  '!I13=0,"-",TEXT('母公司资产负债表  '!I13,"#,##0.00"))</f>
        <v>-</v>
      </c>
      <c r="D536" s="435">
        <f>'母公司资产负债表  '!I13</f>
        <v>0</v>
      </c>
    </row>
    <row r="537" spans="1:4">
      <c r="A537" s="432" t="s">
        <v>967</v>
      </c>
      <c r="B537" s="432" t="str">
        <f t="shared" si="8"/>
        <v>-</v>
      </c>
      <c r="C537" s="435" t="str">
        <f>IF('母公司资产负债表  '!I14=0,"-",TEXT('母公司资产负债表  '!I14,"#,##0.00"))</f>
        <v>-</v>
      </c>
      <c r="D537" s="435">
        <f>'母公司资产负债表  '!I14</f>
        <v>0</v>
      </c>
    </row>
    <row r="538" spans="1:4">
      <c r="A538" s="432" t="s">
        <v>968</v>
      </c>
      <c r="B538" s="432" t="str">
        <f t="shared" si="8"/>
        <v>-</v>
      </c>
      <c r="C538" s="435" t="str">
        <f>IF('母公司资产负债表  '!I15=0,"-",TEXT('母公司资产负债表  '!I15,"#,##0.00"))</f>
        <v>-</v>
      </c>
      <c r="D538" s="435">
        <f>'母公司资产负债表  '!I15</f>
        <v>0</v>
      </c>
    </row>
    <row r="539" spans="1:4">
      <c r="A539" s="432" t="s">
        <v>969</v>
      </c>
      <c r="B539" s="432" t="str">
        <f t="shared" si="8"/>
        <v>-</v>
      </c>
      <c r="C539" s="435" t="str">
        <f>IF('母公司资产负债表  '!I16=0,"-",TEXT('母公司资产负债表  '!I16,"#,##0.00"))</f>
        <v>-</v>
      </c>
      <c r="D539" s="435">
        <f>'母公司资产负债表  '!I16</f>
        <v>0</v>
      </c>
    </row>
    <row r="540" spans="1:4">
      <c r="A540" s="432" t="s">
        <v>970</v>
      </c>
      <c r="B540" s="432" t="str">
        <f t="shared" si="8"/>
        <v>-</v>
      </c>
      <c r="C540" s="435" t="str">
        <f>IF('母公司资产负债表  '!I17=0,"-",TEXT('母公司资产负债表  '!I17,"#,##0.00"))</f>
        <v>-</v>
      </c>
      <c r="D540" s="435">
        <f>'母公司资产负债表  '!I17</f>
        <v>0</v>
      </c>
    </row>
    <row r="541" spans="1:4">
      <c r="A541" s="432" t="s">
        <v>971</v>
      </c>
      <c r="B541" s="432" t="str">
        <f t="shared" si="8"/>
        <v>-</v>
      </c>
      <c r="C541" s="435" t="str">
        <f>IF('母公司资产负债表  '!I18=0,"-",TEXT('母公司资产负债表  '!I18,"#,##0.00"))</f>
        <v>-</v>
      </c>
      <c r="D541" s="435">
        <f>'母公司资产负债表  '!I18</f>
        <v>0</v>
      </c>
    </row>
    <row r="542" spans="1:4">
      <c r="A542" s="432" t="s">
        <v>972</v>
      </c>
      <c r="B542" s="432" t="str">
        <f t="shared" si="8"/>
        <v>-</v>
      </c>
      <c r="C542" s="435" t="str">
        <f>IF('母公司资产负债表  '!I19=0,"-",TEXT('母公司资产负债表  '!I19,"#,##0.00"))</f>
        <v>-</v>
      </c>
      <c r="D542" s="435">
        <f>'母公司资产负债表  '!I19</f>
        <v>0</v>
      </c>
    </row>
    <row r="543" spans="1:4">
      <c r="A543" s="432" t="s">
        <v>973</v>
      </c>
      <c r="B543" s="432" t="str">
        <f t="shared" si="8"/>
        <v>-</v>
      </c>
      <c r="C543" s="435" t="str">
        <f>IF('母公司资产负债表  '!I21=0,"-",TEXT('母公司资产负债表  '!I21,"#,##0.00"))</f>
        <v>-</v>
      </c>
      <c r="D543" s="435">
        <f>'母公司资产负债表  '!I21</f>
        <v>0</v>
      </c>
    </row>
    <row r="544" spans="1:4">
      <c r="A544" s="432" t="s">
        <v>974</v>
      </c>
      <c r="B544" s="432" t="str">
        <f t="shared" si="8"/>
        <v>-</v>
      </c>
      <c r="C544" s="435" t="str">
        <f>IF('母公司资产负债表  '!I22=0,"-",TEXT('母公司资产负债表  '!I22,"#,##0.00"))</f>
        <v>-</v>
      </c>
      <c r="D544" s="435">
        <f>'母公司资产负债表  '!I22</f>
        <v>0</v>
      </c>
    </row>
    <row r="545" spans="1:4">
      <c r="A545" s="432" t="s">
        <v>975</v>
      </c>
      <c r="B545" s="432" t="str">
        <f t="shared" si="8"/>
        <v>-</v>
      </c>
      <c r="C545" s="435" t="str">
        <f>IF('母公司资产负债表  '!I23=0,"-",TEXT('母公司资产负债表  '!I23,"#,##0.00"))</f>
        <v>-</v>
      </c>
      <c r="D545" s="435">
        <f>'母公司资产负债表  '!I23</f>
        <v>0</v>
      </c>
    </row>
    <row r="546" spans="1:4">
      <c r="A546" s="432" t="s">
        <v>976</v>
      </c>
      <c r="B546" s="432" t="str">
        <f t="shared" si="8"/>
        <v>-</v>
      </c>
      <c r="C546" s="435" t="str">
        <f>IF('母公司资产负债表  '!I24=0,"-",TEXT('母公司资产负债表  '!I24,"#,##0.00"))</f>
        <v>-</v>
      </c>
      <c r="D546" s="435">
        <f>'母公司资产负债表  '!I24</f>
        <v>0</v>
      </c>
    </row>
    <row r="547" spans="1:4">
      <c r="A547" s="432" t="s">
        <v>977</v>
      </c>
      <c r="B547" s="432" t="str">
        <f t="shared" si="8"/>
        <v>-</v>
      </c>
      <c r="C547" s="435" t="str">
        <f>IF('母公司资产负债表  '!I25=0,"-",TEXT('母公司资产负债表  '!I25,"#,##0.00"))</f>
        <v>-</v>
      </c>
      <c r="D547" s="435">
        <f>'母公司资产负债表  '!I25</f>
        <v>0</v>
      </c>
    </row>
    <row r="548" spans="1:4">
      <c r="A548" s="432" t="s">
        <v>978</v>
      </c>
      <c r="B548" s="432" t="str">
        <f t="shared" si="8"/>
        <v>-</v>
      </c>
      <c r="C548" s="435" t="str">
        <f>IF('母公司资产负债表  '!I26=0,"-",TEXT('母公司资产负债表  '!I26,"#,##0.00"))</f>
        <v>-</v>
      </c>
      <c r="D548" s="435">
        <f>'母公司资产负债表  '!I26</f>
        <v>0</v>
      </c>
    </row>
    <row r="549" spans="1:4">
      <c r="A549" s="432" t="s">
        <v>979</v>
      </c>
      <c r="B549" s="432" t="str">
        <f t="shared" si="8"/>
        <v>-</v>
      </c>
      <c r="C549" s="435" t="str">
        <f>IF('母公司资产负债表  '!I27=0,"-",TEXT('母公司资产负债表  '!I27,"#,##0.00"))</f>
        <v>-</v>
      </c>
      <c r="D549" s="435">
        <f>'母公司资产负债表  '!I27</f>
        <v>0</v>
      </c>
    </row>
    <row r="550" spans="1:4">
      <c r="A550" s="432" t="s">
        <v>980</v>
      </c>
      <c r="B550" s="432" t="str">
        <f t="shared" si="8"/>
        <v>-</v>
      </c>
      <c r="C550" s="435" t="str">
        <f>IF('母公司资产负债表  '!I28=0,"-",TEXT('母公司资产负债表  '!I28,"#,##0.00"))</f>
        <v>-</v>
      </c>
      <c r="D550" s="435">
        <f>'母公司资产负债表  '!I28</f>
        <v>0</v>
      </c>
    </row>
    <row r="551" spans="1:4">
      <c r="A551" s="432" t="s">
        <v>981</v>
      </c>
      <c r="B551" s="432" t="str">
        <f t="shared" si="8"/>
        <v>-</v>
      </c>
      <c r="C551" s="435" t="str">
        <f>IF('母公司资产负债表  '!I29=0,"-",TEXT('母公司资产负债表  '!I29,"#,##0.00"))</f>
        <v>-</v>
      </c>
      <c r="D551" s="435">
        <f>'母公司资产负债表  '!I29</f>
        <v>0</v>
      </c>
    </row>
    <row r="552" spans="1:4">
      <c r="A552" s="432" t="s">
        <v>982</v>
      </c>
      <c r="B552" s="432" t="str">
        <f t="shared" si="8"/>
        <v>-</v>
      </c>
      <c r="C552" s="435" t="str">
        <f>IF('母公司资产负债表  '!I30=0,"-",TEXT('母公司资产负债表  '!I30,"#,##0.00"))</f>
        <v>-</v>
      </c>
      <c r="D552" s="435">
        <f>'母公司资产负债表  '!I30</f>
        <v>0</v>
      </c>
    </row>
    <row r="553" spans="1:4">
      <c r="A553" s="432" t="s">
        <v>983</v>
      </c>
      <c r="B553" s="432" t="str">
        <f t="shared" si="8"/>
        <v>-</v>
      </c>
      <c r="C553" s="435" t="str">
        <f>IF('母公司资产负债表  '!I31=0,"-",TEXT('母公司资产负债表  '!I31,"#,##0.00"))</f>
        <v>-</v>
      </c>
      <c r="D553" s="435">
        <f>'母公司资产负债表  '!I31</f>
        <v>0</v>
      </c>
    </row>
    <row r="554" spans="1:4">
      <c r="A554" s="432" t="s">
        <v>984</v>
      </c>
      <c r="B554" s="432" t="str">
        <f t="shared" si="8"/>
        <v>-</v>
      </c>
      <c r="C554" s="435" t="str">
        <f>IF('母公司资产负债表  '!I32=0,"-",TEXT('母公司资产负债表  '!I32,"#,##0.00"))</f>
        <v>-</v>
      </c>
      <c r="D554" s="435">
        <f>'母公司资产负债表  '!I32</f>
        <v>0</v>
      </c>
    </row>
    <row r="555" spans="1:4">
      <c r="A555" s="432" t="s">
        <v>985</v>
      </c>
      <c r="B555" s="432" t="str">
        <f t="shared" si="8"/>
        <v>-</v>
      </c>
      <c r="C555" s="435" t="str">
        <f>IF('母公司资产负债表  '!I33=0,"-",TEXT('母公司资产负债表  '!I33,"#,##0.00"))</f>
        <v>-</v>
      </c>
      <c r="D555" s="435">
        <f>'母公司资产负债表  '!I33</f>
        <v>0</v>
      </c>
    </row>
    <row r="556" spans="1:4">
      <c r="A556" s="432" t="s">
        <v>986</v>
      </c>
      <c r="B556" s="432" t="str">
        <f t="shared" si="8"/>
        <v>-</v>
      </c>
      <c r="C556" s="435" t="str">
        <f>IF('母公司资产负债表  '!I34=0,"-",TEXT('母公司资产负债表  '!I34,"#,##0.00"))</f>
        <v>-</v>
      </c>
      <c r="D556" s="435">
        <f>'母公司资产负债表  '!I34</f>
        <v>0</v>
      </c>
    </row>
    <row r="557" spans="1:4">
      <c r="A557" s="432" t="s">
        <v>987</v>
      </c>
      <c r="B557" s="432" t="str">
        <f t="shared" si="8"/>
        <v>-</v>
      </c>
      <c r="C557" s="435" t="str">
        <f>IF('母公司资产负债表  '!I35=0,"-",TEXT('母公司资产负债表  '!I35,"#,##0.00"))</f>
        <v>-</v>
      </c>
      <c r="D557" s="435">
        <f>'母公司资产负债表  '!I35</f>
        <v>0</v>
      </c>
    </row>
    <row r="558" spans="1:4">
      <c r="A558" s="432" t="s">
        <v>988</v>
      </c>
      <c r="B558" s="432" t="str">
        <f t="shared" si="8"/>
        <v>-</v>
      </c>
      <c r="C558" s="435" t="str">
        <f>IF('母公司资产负债表  '!I36=0,"-",TEXT('母公司资产负债表  '!I36,"#,##0.00"))</f>
        <v>-</v>
      </c>
      <c r="D558" s="435">
        <f>'母公司资产负债表  '!I36</f>
        <v>0</v>
      </c>
    </row>
    <row r="559" spans="1:4">
      <c r="A559" s="432" t="s">
        <v>989</v>
      </c>
      <c r="B559" s="432" t="str">
        <f t="shared" si="8"/>
        <v>-</v>
      </c>
      <c r="C559" s="435" t="str">
        <f>IF('母公司资产负债表  '!I37=0,"-",TEXT('母公司资产负债表  '!I37,"#,##0.00"))</f>
        <v>-</v>
      </c>
      <c r="D559" s="435">
        <f>'母公司资产负债表  '!I37</f>
        <v>0</v>
      </c>
    </row>
    <row r="560" spans="1:4">
      <c r="A560" s="432" t="s">
        <v>990</v>
      </c>
      <c r="B560" s="432" t="str">
        <f t="shared" si="8"/>
        <v>-</v>
      </c>
      <c r="C560" s="435" t="str">
        <f>IF('母公司资产负债表  '!I39=0,"-",TEXT('母公司资产负债表  '!I39,"#,##0.00"))</f>
        <v>-</v>
      </c>
      <c r="D560" s="435">
        <f>'母公司资产负债表  '!I39</f>
        <v>0</v>
      </c>
    </row>
    <row r="561" spans="1:4">
      <c r="A561" s="432" t="s">
        <v>991</v>
      </c>
      <c r="B561" s="432" t="str">
        <f t="shared" si="8"/>
        <v>-</v>
      </c>
      <c r="C561" s="435" t="str">
        <f>IF('母公司资产负债表  '!I40=0,"-",TEXT('母公司资产负债表  '!I40,"#,##0.00"))</f>
        <v>-</v>
      </c>
      <c r="D561" s="435">
        <f>'母公司资产负债表  '!I40</f>
        <v>0</v>
      </c>
    </row>
    <row r="562" spans="1:4">
      <c r="A562" s="432" t="s">
        <v>992</v>
      </c>
      <c r="B562" s="432" t="str">
        <f t="shared" si="8"/>
        <v>-</v>
      </c>
      <c r="C562" s="435" t="str">
        <f>IF('母公司资产负债表  '!I41=0,"-",TEXT('母公司资产负债表  '!I41,"#,##0.00"))</f>
        <v>-</v>
      </c>
      <c r="D562" s="435">
        <f>'母公司资产负债表  '!I41</f>
        <v>0</v>
      </c>
    </row>
    <row r="563" spans="1:4">
      <c r="A563" s="432" t="s">
        <v>993</v>
      </c>
      <c r="B563" s="432" t="str">
        <f t="shared" si="8"/>
        <v>-</v>
      </c>
      <c r="C563" s="435" t="str">
        <f>IF('母公司资产负债表  '!I42=0,"-",TEXT('母公司资产负债表  '!I42,"#,##0.00"))</f>
        <v>-</v>
      </c>
      <c r="D563" s="435">
        <f>'母公司资产负债表  '!I42</f>
        <v>0</v>
      </c>
    </row>
    <row r="564" spans="1:4">
      <c r="A564" s="432" t="s">
        <v>994</v>
      </c>
      <c r="B564" s="432" t="str">
        <f t="shared" si="8"/>
        <v>-</v>
      </c>
      <c r="C564" s="435" t="str">
        <f>IF('母公司资产负债表  '!I43=0,"-",TEXT('母公司资产负债表  '!I43,"#,##0.00"))</f>
        <v>-</v>
      </c>
      <c r="D564" s="435">
        <f>'母公司资产负债表  '!I43</f>
        <v>0</v>
      </c>
    </row>
    <row r="565" spans="1:4">
      <c r="A565" s="432" t="s">
        <v>995</v>
      </c>
      <c r="B565" s="432" t="str">
        <f t="shared" si="8"/>
        <v>-</v>
      </c>
      <c r="C565" s="435" t="str">
        <f>IF('母公司资产负债表  '!I44=0,"-",TEXT('母公司资产负债表  '!I44,"#,##0.00"))</f>
        <v>-</v>
      </c>
      <c r="D565" s="435">
        <f>'母公司资产负债表  '!I44</f>
        <v>0</v>
      </c>
    </row>
    <row r="566" spans="1:4">
      <c r="A566" s="432" t="s">
        <v>996</v>
      </c>
      <c r="B566" s="432" t="str">
        <f t="shared" si="8"/>
        <v>-</v>
      </c>
      <c r="C566" s="435" t="str">
        <f>IF('母公司资产负债表  '!I45=0,"-",TEXT('母公司资产负债表  '!I45,"#,##0.00"))</f>
        <v>-</v>
      </c>
      <c r="D566" s="435">
        <f>'母公司资产负债表  '!I45</f>
        <v>0</v>
      </c>
    </row>
    <row r="567" spans="1:4">
      <c r="A567" s="432" t="s">
        <v>997</v>
      </c>
      <c r="B567" s="432" t="str">
        <f t="shared" si="8"/>
        <v>-</v>
      </c>
      <c r="C567" s="435" t="str">
        <f>IF('母公司资产负债表  '!I46=0,"-",TEXT('母公司资产负债表  '!I46,"#,##0.00"))</f>
        <v>-</v>
      </c>
      <c r="D567" s="435">
        <f>'母公司资产负债表  '!I46</f>
        <v>0</v>
      </c>
    </row>
    <row r="568" spans="1:4">
      <c r="A568" s="432" t="s">
        <v>3312</v>
      </c>
      <c r="B568" s="432" t="str">
        <f t="shared" si="8"/>
        <v>-</v>
      </c>
      <c r="C568" s="435" t="str">
        <f>IF('母公司资产负债表  '!I47=0,"-",TEXT('母公司资产负债表  '!I47,"#,##0.00"))</f>
        <v>-</v>
      </c>
      <c r="D568" s="435">
        <f>'母公司资产负债表  '!I47</f>
        <v>0</v>
      </c>
    </row>
    <row r="569" spans="1:4">
      <c r="A569" s="432" t="s">
        <v>998</v>
      </c>
      <c r="B569" s="432" t="str">
        <f t="shared" si="8"/>
        <v>-</v>
      </c>
      <c r="C569" s="435" t="str">
        <f>IF('母公司资产负债表  '!I48=0,"-",TEXT('母公司资产负债表  '!I48,"#,##0.00"))</f>
        <v>-</v>
      </c>
      <c r="D569" s="435">
        <f>'母公司资产负债表  '!I48</f>
        <v>0</v>
      </c>
    </row>
    <row r="570" spans="1:4">
      <c r="A570" s="432" t="s">
        <v>999</v>
      </c>
      <c r="B570" s="432" t="str">
        <f t="shared" si="8"/>
        <v>-</v>
      </c>
      <c r="C570" s="435" t="str">
        <f>IF('母公司资产负债表  '!I49=0,"-",TEXT('母公司资产负债表  '!I49,"#,##0.00"))</f>
        <v>-</v>
      </c>
      <c r="D570" s="435">
        <f>'母公司资产负债表  '!I49</f>
        <v>0</v>
      </c>
    </row>
    <row r="571" spans="1:4">
      <c r="A571" s="432" t="s">
        <v>1000</v>
      </c>
      <c r="B571" s="432" t="str">
        <f t="shared" si="8"/>
        <v>-</v>
      </c>
      <c r="C571" s="435" t="str">
        <f>IF('母公司资产负债表  '!I50=0,"-",TEXT('母公司资产负债表  '!I50,"#,##0.00"))</f>
        <v>-</v>
      </c>
      <c r="D571" s="435">
        <f>'母公司资产负债表  '!I50</f>
        <v>0</v>
      </c>
    </row>
    <row r="572" spans="1:4">
      <c r="A572" s="432" t="s">
        <v>1001</v>
      </c>
      <c r="B572" s="432" t="str">
        <f t="shared" si="8"/>
        <v>-</v>
      </c>
      <c r="C572" s="435" t="str">
        <f>IF('母公司资产负债表  '!I51=0,"-",TEXT('母公司资产负债表  '!I51,"#,##0.00"))</f>
        <v>-</v>
      </c>
      <c r="D572" s="435">
        <f>'母公司资产负债表  '!I51</f>
        <v>0</v>
      </c>
    </row>
    <row r="573" spans="1:4">
      <c r="A573" s="432" t="s">
        <v>1002</v>
      </c>
      <c r="B573" s="432" t="str">
        <f t="shared" si="8"/>
        <v>-</v>
      </c>
      <c r="C573" s="435" t="str">
        <f>IF('母公司资产负债表  '!I52=0,"-",TEXT('母公司资产负债表  '!I52,"#,##0.00"))</f>
        <v>-</v>
      </c>
      <c r="D573" s="435">
        <f>'母公司资产负债表  '!I52</f>
        <v>0</v>
      </c>
    </row>
    <row r="574" spans="1:4">
      <c r="A574" s="432" t="s">
        <v>1003</v>
      </c>
      <c r="B574" s="432" t="str">
        <f t="shared" si="8"/>
        <v>-</v>
      </c>
      <c r="C574" s="435" t="str">
        <f>IF('母公司资产负债表  '!I53=0,"-",TEXT('母公司资产负债表  '!I53,"#,##0.00"))</f>
        <v>-</v>
      </c>
      <c r="D574" s="435">
        <f>'母公司资产负债表  '!I53</f>
        <v>0</v>
      </c>
    </row>
    <row r="575" spans="1:4">
      <c r="A575" s="432" t="s">
        <v>1004</v>
      </c>
      <c r="B575" s="432" t="str">
        <f t="shared" si="8"/>
        <v>-</v>
      </c>
      <c r="C575" s="435" t="str">
        <f>IF('母公司资产负债表  '!I54=0,"-",TEXT('母公司资产负债表  '!I54,"#,##0.00"))</f>
        <v>-</v>
      </c>
      <c r="D575" s="435">
        <f>'母公司资产负债表  '!I54</f>
        <v>0</v>
      </c>
    </row>
    <row r="576" spans="1:4">
      <c r="A576" s="432" t="s">
        <v>1005</v>
      </c>
      <c r="B576" s="432" t="str">
        <f t="shared" si="8"/>
        <v>-</v>
      </c>
      <c r="C576" s="435" t="str">
        <f>IF('母公司资产负债表  '!I56=0,"-",TEXT('母公司资产负债表  '!I56,"#,##0.00"))</f>
        <v>-</v>
      </c>
      <c r="D576" s="435">
        <f>'母公司资产负债表  '!I56</f>
        <v>0</v>
      </c>
    </row>
    <row r="577" spans="1:4">
      <c r="A577" s="432" t="s">
        <v>1006</v>
      </c>
      <c r="B577" s="432" t="str">
        <f t="shared" si="8"/>
        <v>-</v>
      </c>
      <c r="C577" s="435" t="str">
        <f>IF('母公司资产负债表  '!I57=0,"-",TEXT('母公司资产负债表  '!I57,"#,##0.00"))</f>
        <v>-</v>
      </c>
      <c r="D577" s="435">
        <f>'母公司资产负债表  '!I57</f>
        <v>0</v>
      </c>
    </row>
    <row r="578" spans="1:4">
      <c r="A578" s="432" t="s">
        <v>1007</v>
      </c>
      <c r="B578" s="432" t="str">
        <f t="shared" si="8"/>
        <v>-</v>
      </c>
      <c r="C578" s="435" t="str">
        <f>IF('母公司资产负债表  '!I58=0,"-",TEXT('母公司资产负债表  '!I58,"#,##0.00"))</f>
        <v>-</v>
      </c>
      <c r="D578" s="435">
        <f>'母公司资产负债表  '!I58</f>
        <v>0</v>
      </c>
    </row>
    <row r="579" spans="1:4">
      <c r="A579" s="432" t="s">
        <v>1008</v>
      </c>
      <c r="B579" s="432" t="str">
        <f t="shared" si="8"/>
        <v>-</v>
      </c>
      <c r="C579" s="435" t="str">
        <f>IF('母公司资产负债表  '!I59=0,"-",TEXT('母公司资产负债表  '!I59,"#,##0.00"))</f>
        <v>-</v>
      </c>
      <c r="D579" s="435">
        <f>'母公司资产负债表  '!I59</f>
        <v>0</v>
      </c>
    </row>
    <row r="580" spans="1:4">
      <c r="A580" s="432" t="s">
        <v>1009</v>
      </c>
      <c r="B580" s="432" t="str">
        <f t="shared" ref="B580:B643" si="9">TRIM(C580)</f>
        <v>-</v>
      </c>
      <c r="C580" s="435" t="str">
        <f>IF('母公司资产负债表  '!I60=0,"-",TEXT('母公司资产负债表  '!I60,"#,##0.00"))</f>
        <v>-</v>
      </c>
      <c r="D580" s="435">
        <f>'母公司资产负债表  '!I60</f>
        <v>0</v>
      </c>
    </row>
    <row r="581" spans="1:4">
      <c r="A581" s="432" t="s">
        <v>1010</v>
      </c>
      <c r="B581" s="432" t="str">
        <f t="shared" si="9"/>
        <v>-</v>
      </c>
      <c r="C581" s="435" t="str">
        <f>IF('母公司资产负债表  '!I61=0,"-",TEXT('母公司资产负债表  '!I61,"#,##0.00"))</f>
        <v>-</v>
      </c>
      <c r="D581" s="435">
        <f>'母公司资产负债表  '!I61</f>
        <v>0</v>
      </c>
    </row>
    <row r="582" spans="1:4">
      <c r="A582" s="432" t="s">
        <v>1011</v>
      </c>
      <c r="B582" s="432" t="str">
        <f t="shared" si="9"/>
        <v>-</v>
      </c>
      <c r="C582" s="435" t="str">
        <f>IF('母公司资产负债表  '!I62=0,"-",TEXT('母公司资产负债表  '!I62,"#,##0.00"))</f>
        <v>-</v>
      </c>
      <c r="D582" s="435">
        <f>'母公司资产负债表  '!I62</f>
        <v>0</v>
      </c>
    </row>
    <row r="583" spans="1:4">
      <c r="A583" s="432" t="s">
        <v>1012</v>
      </c>
      <c r="B583" s="432" t="str">
        <f t="shared" si="9"/>
        <v>-</v>
      </c>
      <c r="C583" s="435" t="str">
        <f>IF('母公司资产负债表  '!I63=0,"-",TEXT('母公司资产负债表  '!I63,"#,##0.00"))</f>
        <v>-</v>
      </c>
      <c r="D583" s="435">
        <f>'母公司资产负债表  '!I63</f>
        <v>0</v>
      </c>
    </row>
    <row r="584" spans="1:4">
      <c r="A584" s="432" t="s">
        <v>1013</v>
      </c>
      <c r="B584" s="432" t="str">
        <f t="shared" si="9"/>
        <v>-</v>
      </c>
      <c r="C584" s="435" t="str">
        <f>IF('母公司资产负债表  '!I64=0,"-",TEXT('母公司资产负债表  '!I64,"#,##0.00"))</f>
        <v>-</v>
      </c>
      <c r="D584" s="435">
        <f>'母公司资产负债表  '!I64</f>
        <v>0</v>
      </c>
    </row>
    <row r="585" spans="1:4">
      <c r="A585" s="432" t="s">
        <v>1014</v>
      </c>
      <c r="B585" s="432" t="str">
        <f t="shared" si="9"/>
        <v>-</v>
      </c>
      <c r="C585" s="435" t="str">
        <f>IF('母公司资产负债表  '!I65=0,"-",TEXT('母公司资产负债表  '!I65,"#,##0.00"))</f>
        <v>-</v>
      </c>
      <c r="D585" s="435">
        <f>'母公司资产负债表  '!I65</f>
        <v>0</v>
      </c>
    </row>
    <row r="586" spans="1:4">
      <c r="A586" s="432" t="s">
        <v>1015</v>
      </c>
      <c r="B586" s="432" t="str">
        <f t="shared" si="9"/>
        <v>-</v>
      </c>
      <c r="C586" s="435" t="str">
        <f>IF('母公司资产负债表  '!I66=0,"-",TEXT('母公司资产负债表  '!I66,"#,##0.00"))</f>
        <v>-</v>
      </c>
      <c r="D586" s="435">
        <f>'母公司资产负债表  '!I66</f>
        <v>0</v>
      </c>
    </row>
    <row r="587" spans="1:4">
      <c r="A587" s="432" t="s">
        <v>1016</v>
      </c>
      <c r="B587" s="432" t="str">
        <f t="shared" si="9"/>
        <v>-</v>
      </c>
      <c r="C587" s="435" t="str">
        <f>IF('母公司资产负债表  '!I67=0,"-",TEXT('母公司资产负债表  '!I67,"#,##0.00"))</f>
        <v>-</v>
      </c>
      <c r="D587" s="435">
        <f>'母公司资产负债表  '!I67</f>
        <v>0</v>
      </c>
    </row>
    <row r="588" spans="1:4">
      <c r="A588" s="432" t="s">
        <v>1017</v>
      </c>
      <c r="B588" s="432" t="str">
        <f t="shared" si="9"/>
        <v>-</v>
      </c>
      <c r="C588" s="435" t="str">
        <f>IF('母公司资产负债表  '!I68=0,"-",TEXT('母公司资产负债表  '!I68,"#,##0.00"))</f>
        <v>-</v>
      </c>
      <c r="D588" s="435">
        <f>'母公司资产负债表  '!I68</f>
        <v>0</v>
      </c>
    </row>
    <row r="589" spans="1:4">
      <c r="A589" s="432" t="s">
        <v>1018</v>
      </c>
      <c r="B589" s="432" t="str">
        <f t="shared" si="9"/>
        <v>-</v>
      </c>
      <c r="C589" s="435" t="str">
        <f>IF('母公司资产负债表  '!I70=0,"-",TEXT('母公司资产负债表  '!I70,"#,##0.00"))</f>
        <v>-</v>
      </c>
      <c r="D589" s="435">
        <f>'母公司资产负债表  '!I70</f>
        <v>0</v>
      </c>
    </row>
    <row r="590" spans="1:4">
      <c r="A590" s="432" t="s">
        <v>1019</v>
      </c>
      <c r="B590" s="432" t="str">
        <f t="shared" si="9"/>
        <v>-</v>
      </c>
      <c r="C590" s="435" t="str">
        <f>IF('母公司资产负债表  '!I71=0,"-",TEXT('母公司资产负债表  '!I71,"#,##0.00"))</f>
        <v>-</v>
      </c>
      <c r="D590" s="435">
        <f>'母公司资产负债表  '!I71</f>
        <v>0</v>
      </c>
    </row>
    <row r="591" spans="1:4">
      <c r="A591" s="432" t="s">
        <v>1020</v>
      </c>
      <c r="B591" s="432" t="str">
        <f t="shared" si="9"/>
        <v>-</v>
      </c>
      <c r="C591" s="435" t="str">
        <f>IF('母公司资产负债表  '!I72=0,"-",TEXT('母公司资产负债表  '!I72,"#,##0.00"))</f>
        <v>-</v>
      </c>
      <c r="D591" s="435">
        <f>'母公司资产负债表  '!I72</f>
        <v>0</v>
      </c>
    </row>
    <row r="592" spans="1:4">
      <c r="A592" s="432" t="s">
        <v>1021</v>
      </c>
      <c r="B592" s="432" t="str">
        <f t="shared" si="9"/>
        <v>-</v>
      </c>
      <c r="C592" s="435" t="str">
        <f>IF('母公司资产负债表  '!I73=0,"-",TEXT('母公司资产负债表  '!I73,"#,##0.00"))</f>
        <v>-</v>
      </c>
      <c r="D592" s="435">
        <f>'母公司资产负债表  '!I73</f>
        <v>0</v>
      </c>
    </row>
    <row r="593" spans="1:5">
      <c r="A593" s="432" t="s">
        <v>1022</v>
      </c>
      <c r="B593" s="432" t="str">
        <f t="shared" si="9"/>
        <v>-</v>
      </c>
      <c r="C593" s="435" t="str">
        <f>IF('母公司资产负债表  '!I74=0,"-",TEXT('母公司资产负债表  '!I74,"#,##0.00"))</f>
        <v>-</v>
      </c>
      <c r="D593" s="435">
        <f>'母公司资产负债表  '!I74</f>
        <v>0</v>
      </c>
    </row>
    <row r="594" spans="1:5">
      <c r="A594" s="432" t="s">
        <v>1023</v>
      </c>
      <c r="B594" s="432" t="str">
        <f t="shared" si="9"/>
        <v>-</v>
      </c>
      <c r="C594" s="435" t="str">
        <f>IF('母公司资产负债表  '!I75=0,"-",TEXT('母公司资产负债表  '!I75,"#,##0.00"))</f>
        <v>-</v>
      </c>
      <c r="D594" s="435">
        <f>'母公司资产负债表  '!I75</f>
        <v>0</v>
      </c>
    </row>
    <row r="595" spans="1:5">
      <c r="A595" s="432" t="s">
        <v>1024</v>
      </c>
      <c r="B595" s="432" t="str">
        <f t="shared" si="9"/>
        <v>-</v>
      </c>
      <c r="C595" s="435" t="str">
        <f>IF('母公司资产负债表  '!I76=0,"-",TEXT('母公司资产负债表  '!I76,"#,##0.00"))</f>
        <v>-</v>
      </c>
      <c r="D595" s="435">
        <f>'母公司资产负债表  '!I76</f>
        <v>0</v>
      </c>
    </row>
    <row r="596" spans="1:5">
      <c r="A596" s="432" t="s">
        <v>1025</v>
      </c>
      <c r="B596" s="432" t="str">
        <f t="shared" si="9"/>
        <v>-</v>
      </c>
      <c r="C596" s="435" t="str">
        <f>IF('母公司资产负债表  '!I77=0,"-",TEXT('母公司资产负债表  '!I77,"#,##0.00"))</f>
        <v>-</v>
      </c>
      <c r="D596" s="435">
        <f>'母公司资产负债表  '!I77</f>
        <v>0</v>
      </c>
    </row>
    <row r="597" spans="1:5">
      <c r="A597" s="432" t="s">
        <v>1026</v>
      </c>
      <c r="B597" s="432" t="str">
        <f t="shared" si="9"/>
        <v>-</v>
      </c>
      <c r="C597" s="435" t="str">
        <f>IF('母公司资产负债表  '!I78=0,"-",TEXT('母公司资产负债表  '!I78,"#,##0.00"))</f>
        <v>-</v>
      </c>
      <c r="D597" s="435">
        <f>'母公司资产负债表  '!I78</f>
        <v>0</v>
      </c>
    </row>
    <row r="598" spans="1:5">
      <c r="A598" s="432" t="s">
        <v>1027</v>
      </c>
      <c r="B598" s="432" t="str">
        <f t="shared" si="9"/>
        <v>-</v>
      </c>
      <c r="C598" s="435" t="str">
        <f>IF('母公司资产负债表  '!I79=0,"-",TEXT('母公司资产负债表  '!I79,"#,##0.00"))</f>
        <v>-</v>
      </c>
      <c r="D598" s="435">
        <f>'母公司资产负债表  '!I79</f>
        <v>0</v>
      </c>
    </row>
    <row r="599" spans="1:5">
      <c r="A599" s="432" t="s">
        <v>1028</v>
      </c>
      <c r="B599" s="432" t="str">
        <f t="shared" si="9"/>
        <v>-</v>
      </c>
      <c r="C599" s="435" t="str">
        <f>IF('母公司资产负债表  '!I80=0,"-",TEXT('母公司资产负债表  '!I80,"#,##0.00"))</f>
        <v>-</v>
      </c>
      <c r="D599" s="435">
        <f>'母公司资产负债表  '!I80</f>
        <v>0</v>
      </c>
    </row>
    <row r="600" spans="1:5">
      <c r="A600" s="432" t="s">
        <v>1029</v>
      </c>
      <c r="B600" s="432" t="str">
        <f t="shared" si="9"/>
        <v>-</v>
      </c>
      <c r="C600" s="435" t="str">
        <f>IF('合并利润表 '!F4=0,"-",TEXT('合并利润表 '!F4,"#,##0.00"))</f>
        <v>-</v>
      </c>
      <c r="D600" s="435">
        <f>'合并利润表 '!F4</f>
        <v>0</v>
      </c>
      <c r="E600" s="436" t="s">
        <v>2273</v>
      </c>
    </row>
    <row r="601" spans="1:5">
      <c r="A601" s="432" t="s">
        <v>1030</v>
      </c>
      <c r="B601" s="432" t="str">
        <f t="shared" si="9"/>
        <v>-</v>
      </c>
      <c r="C601" s="435" t="str">
        <f>IF('合并利润表 '!F7=0,"-",TEXT('合并利润表 '!F7,"#,##0.00"))</f>
        <v>-</v>
      </c>
      <c r="D601" s="435">
        <f>'合并利润表 '!F7</f>
        <v>0</v>
      </c>
    </row>
    <row r="602" spans="1:5">
      <c r="A602" s="432" t="s">
        <v>1031</v>
      </c>
      <c r="B602" s="432" t="str">
        <f t="shared" si="9"/>
        <v>-</v>
      </c>
      <c r="C602" s="435" t="str">
        <f>IF('合并利润表 '!F8=0,"-",TEXT('合并利润表 '!F8,"#,##0.00"))</f>
        <v>-</v>
      </c>
      <c r="D602" s="435">
        <f>'合并利润表 '!F8</f>
        <v>0</v>
      </c>
    </row>
    <row r="603" spans="1:5">
      <c r="A603" s="432" t="s">
        <v>1032</v>
      </c>
      <c r="B603" s="432" t="str">
        <f t="shared" si="9"/>
        <v>-</v>
      </c>
      <c r="C603" s="435" t="str">
        <f>IF('合并利润表 '!F9=0,"-",TEXT('合并利润表 '!F9,"#,##0.00"))</f>
        <v>-</v>
      </c>
      <c r="D603" s="435">
        <f>'合并利润表 '!F9</f>
        <v>0</v>
      </c>
    </row>
    <row r="604" spans="1:5">
      <c r="A604" s="432" t="s">
        <v>1033</v>
      </c>
      <c r="B604" s="432" t="str">
        <f t="shared" si="9"/>
        <v>-</v>
      </c>
      <c r="C604" s="435" t="str">
        <f>IF('合并利润表 '!F10=0,"-",TEXT('合并利润表 '!F10,"#,##0.00"))</f>
        <v>-</v>
      </c>
      <c r="D604" s="435">
        <f>'合并利润表 '!F10</f>
        <v>0</v>
      </c>
    </row>
    <row r="605" spans="1:5">
      <c r="A605" s="432" t="s">
        <v>1034</v>
      </c>
      <c r="B605" s="432" t="str">
        <f t="shared" si="9"/>
        <v>-</v>
      </c>
      <c r="C605" s="435" t="str">
        <f>IF('合并利润表 '!F11=0,"-",TEXT('合并利润表 '!F11,"#,##0.00"))</f>
        <v>-</v>
      </c>
      <c r="D605" s="435">
        <f>'合并利润表 '!F11</f>
        <v>0</v>
      </c>
    </row>
    <row r="606" spans="1:5">
      <c r="A606" s="432" t="s">
        <v>1035</v>
      </c>
      <c r="B606" s="432" t="str">
        <f t="shared" si="9"/>
        <v>-</v>
      </c>
      <c r="C606" s="435" t="str">
        <f>IF('合并利润表 '!F12=0,"-",TEXT('合并利润表 '!F12,"#,##0.00"))</f>
        <v>-</v>
      </c>
      <c r="D606" s="435">
        <f>'合并利润表 '!F12</f>
        <v>0</v>
      </c>
    </row>
    <row r="607" spans="1:5">
      <c r="A607" s="432" t="s">
        <v>1036</v>
      </c>
      <c r="B607" s="432" t="str">
        <f t="shared" si="9"/>
        <v>-</v>
      </c>
      <c r="C607" s="435" t="str">
        <f>IF('合并利润表 '!F13=0,"-",TEXT('合并利润表 '!F13,"#,##0.00"))</f>
        <v>-</v>
      </c>
      <c r="D607" s="435">
        <f>'合并利润表 '!F13</f>
        <v>0</v>
      </c>
    </row>
    <row r="608" spans="1:5">
      <c r="A608" s="432" t="s">
        <v>1037</v>
      </c>
      <c r="B608" s="432" t="str">
        <f t="shared" si="9"/>
        <v>-</v>
      </c>
      <c r="C608" s="435" t="str">
        <f>IF('合并利润表 '!F14=0,"-",TEXT('合并利润表 '!F14,"#,##0.00"))</f>
        <v>-</v>
      </c>
      <c r="D608" s="435">
        <f>'合并利润表 '!F14</f>
        <v>0</v>
      </c>
    </row>
    <row r="609" spans="1:4">
      <c r="A609" s="432" t="s">
        <v>1038</v>
      </c>
      <c r="B609" s="432" t="str">
        <f t="shared" si="9"/>
        <v>-</v>
      </c>
      <c r="C609" s="435" t="str">
        <f>IF('合并利润表 '!F15=0,"-",TEXT('合并利润表 '!F15,"#,##0.00"))</f>
        <v>-</v>
      </c>
      <c r="D609" s="435">
        <f>'合并利润表 '!F15</f>
        <v>0</v>
      </c>
    </row>
    <row r="610" spans="1:4">
      <c r="A610" s="432" t="s">
        <v>1039</v>
      </c>
      <c r="B610" s="432" t="str">
        <f t="shared" si="9"/>
        <v>-</v>
      </c>
      <c r="C610" s="435" t="str">
        <f>IF('合并利润表 '!F16=0,"-",TEXT('合并利润表 '!F16,"#,##0.00"))</f>
        <v>-</v>
      </c>
      <c r="D610" s="435">
        <f>'合并利润表 '!F16</f>
        <v>0</v>
      </c>
    </row>
    <row r="611" spans="1:4">
      <c r="A611" s="432" t="s">
        <v>1040</v>
      </c>
      <c r="B611" s="432" t="str">
        <f t="shared" si="9"/>
        <v>-</v>
      </c>
      <c r="C611" s="435" t="str">
        <f>IF('合并利润表 '!F17=0,"-",TEXT('合并利润表 '!F17,"#,##0.00"))</f>
        <v>-</v>
      </c>
      <c r="D611" s="435">
        <f>'合并利润表 '!F17</f>
        <v>0</v>
      </c>
    </row>
    <row r="612" spans="1:4">
      <c r="A612" s="432" t="s">
        <v>1041</v>
      </c>
      <c r="B612" s="432" t="str">
        <f t="shared" si="9"/>
        <v>-</v>
      </c>
      <c r="C612" s="435" t="str">
        <f>IF('合并利润表 '!F18=0,"-",TEXT('合并利润表 '!F18,"#,##0.00"))</f>
        <v>-</v>
      </c>
      <c r="D612" s="435">
        <f>'合并利润表 '!F18</f>
        <v>0</v>
      </c>
    </row>
    <row r="613" spans="1:4">
      <c r="A613" s="432" t="s">
        <v>1042</v>
      </c>
      <c r="B613" s="432" t="str">
        <f t="shared" si="9"/>
        <v>-</v>
      </c>
      <c r="C613" s="435" t="str">
        <f>IF('合并利润表 '!F19=0,"-",TEXT('合并利润表 '!F19,"#,##0.00"))</f>
        <v>-</v>
      </c>
      <c r="D613" s="435">
        <f>'合并利润表 '!F19</f>
        <v>0</v>
      </c>
    </row>
    <row r="614" spans="1:4">
      <c r="A614" s="432" t="s">
        <v>1043</v>
      </c>
      <c r="B614" s="432" t="str">
        <f t="shared" si="9"/>
        <v>-</v>
      </c>
      <c r="C614" s="435" t="str">
        <f>IF('合并利润表 '!F20=0,"-",TEXT('合并利润表 '!F20,"#,##0.00"))</f>
        <v>-</v>
      </c>
      <c r="D614" s="435">
        <f>'合并利润表 '!F20</f>
        <v>0</v>
      </c>
    </row>
    <row r="615" spans="1:4">
      <c r="A615" s="432" t="s">
        <v>1044</v>
      </c>
      <c r="B615" s="432" t="str">
        <f t="shared" si="9"/>
        <v>-</v>
      </c>
      <c r="C615" s="435" t="str">
        <f>IF('合并利润表 '!F21=0,"-",TEXT('合并利润表 '!F21,"#,##0.00"))</f>
        <v>-</v>
      </c>
      <c r="D615" s="435">
        <f>'合并利润表 '!F21</f>
        <v>0</v>
      </c>
    </row>
    <row r="616" spans="1:4">
      <c r="A616" s="432" t="s">
        <v>1045</v>
      </c>
      <c r="B616" s="432" t="str">
        <f t="shared" si="9"/>
        <v>-</v>
      </c>
      <c r="C616" s="435" t="str">
        <f>IF('合并利润表 '!F22=0,"-",TEXT('合并利润表 '!F22,"#,##0.00"))</f>
        <v>-</v>
      </c>
      <c r="D616" s="435">
        <f>'合并利润表 '!F22</f>
        <v>0</v>
      </c>
    </row>
    <row r="617" spans="1:4">
      <c r="A617" s="432" t="s">
        <v>1046</v>
      </c>
      <c r="B617" s="432" t="str">
        <f t="shared" si="9"/>
        <v>-</v>
      </c>
      <c r="C617" s="435" t="str">
        <f>IF('合并利润表 '!F23=0,"-",TEXT('合并利润表 '!F23,"#,##0.00"))</f>
        <v>-</v>
      </c>
      <c r="D617" s="435">
        <f>'合并利润表 '!F23</f>
        <v>0</v>
      </c>
    </row>
    <row r="618" spans="1:4">
      <c r="A618" s="432" t="s">
        <v>1047</v>
      </c>
      <c r="B618" s="432" t="str">
        <f t="shared" si="9"/>
        <v>-</v>
      </c>
      <c r="C618" s="435" t="str">
        <f>IF('合并利润表 '!F24=0,"-",TEXT('合并利润表 '!F24,"#,##0.00"))</f>
        <v>-</v>
      </c>
      <c r="D618" s="435">
        <f>'合并利润表 '!F24</f>
        <v>0</v>
      </c>
    </row>
    <row r="619" spans="1:4">
      <c r="A619" s="432" t="s">
        <v>1048</v>
      </c>
      <c r="B619" s="432" t="str">
        <f t="shared" si="9"/>
        <v>-</v>
      </c>
      <c r="C619" s="435" t="str">
        <f>IF('合并利润表 '!F25=0,"-",TEXT('合并利润表 '!F25,"#,##0.00"))</f>
        <v>-</v>
      </c>
      <c r="D619" s="435">
        <f>'合并利润表 '!F25</f>
        <v>0</v>
      </c>
    </row>
    <row r="620" spans="1:4">
      <c r="A620" s="432" t="s">
        <v>1049</v>
      </c>
      <c r="B620" s="432" t="str">
        <f t="shared" si="9"/>
        <v>-</v>
      </c>
      <c r="C620" s="435" t="str">
        <f>IF('合并利润表 '!F26=0,"-",TEXT('合并利润表 '!F26,"#,##0.00"))</f>
        <v>-</v>
      </c>
      <c r="D620" s="435">
        <f>'合并利润表 '!F26</f>
        <v>0</v>
      </c>
    </row>
    <row r="621" spans="1:4">
      <c r="A621" s="432" t="s">
        <v>1050</v>
      </c>
      <c r="B621" s="432" t="str">
        <f t="shared" si="9"/>
        <v>-</v>
      </c>
      <c r="C621" s="435" t="str">
        <f>IF('合并利润表 '!F28=0,"-",TEXT('合并利润表 '!F28,"#,##0.00"))</f>
        <v>-</v>
      </c>
      <c r="D621" s="435">
        <f>'合并利润表 '!F27</f>
        <v>0</v>
      </c>
    </row>
    <row r="622" spans="1:4">
      <c r="A622" s="432" t="s">
        <v>1051</v>
      </c>
      <c r="B622" s="432" t="str">
        <f t="shared" si="9"/>
        <v>-</v>
      </c>
      <c r="C622" s="435" t="str">
        <f>IF('合并利润表 '!F29=0,"-",TEXT('合并利润表 '!F29,"#,##0.00"))</f>
        <v>-</v>
      </c>
      <c r="D622" s="435">
        <f>'合并利润表 '!F28</f>
        <v>0</v>
      </c>
    </row>
    <row r="623" spans="1:4">
      <c r="A623" s="432" t="s">
        <v>1052</v>
      </c>
      <c r="B623" s="432" t="str">
        <f t="shared" si="9"/>
        <v>-</v>
      </c>
      <c r="C623" s="435" t="str">
        <f>IF('合并利润表 '!F31=0,"-",TEXT('合并利润表 '!F31,"#,##0.00"))</f>
        <v>-</v>
      </c>
      <c r="D623" s="435">
        <f>'合并利润表 '!F29</f>
        <v>0</v>
      </c>
    </row>
    <row r="624" spans="1:4">
      <c r="A624" s="432" t="s">
        <v>1053</v>
      </c>
      <c r="B624" s="432" t="str">
        <f t="shared" si="9"/>
        <v>-</v>
      </c>
      <c r="C624" s="435" t="str">
        <f>IF('合并利润表 '!F32=0,"-",TEXT('合并利润表 '!F32,"#,##0.00"))</f>
        <v>-</v>
      </c>
      <c r="D624" s="435">
        <f>'合并利润表 '!F30</f>
        <v>0</v>
      </c>
    </row>
    <row r="625" spans="1:4">
      <c r="A625" s="432" t="s">
        <v>1054</v>
      </c>
      <c r="B625" s="432" t="str">
        <f t="shared" si="9"/>
        <v>-</v>
      </c>
      <c r="C625" s="435" t="str">
        <f>IF('合并利润表 '!F33=0,"-",TEXT('合并利润表 '!F33,"#,##0.00"))</f>
        <v>-</v>
      </c>
      <c r="D625" s="435">
        <f>'合并利润表 '!F31</f>
        <v>0</v>
      </c>
    </row>
    <row r="626" spans="1:4">
      <c r="A626" s="432" t="s">
        <v>1055</v>
      </c>
      <c r="B626" s="432" t="str">
        <f t="shared" si="9"/>
        <v>-</v>
      </c>
      <c r="C626" s="435" t="str">
        <f>IF('合并利润表 '!F34=0,"-",TEXT('合并利润表 '!F34,"#,##0.00"))</f>
        <v>-</v>
      </c>
      <c r="D626" s="435">
        <f>'合并利润表 '!F32</f>
        <v>0</v>
      </c>
    </row>
    <row r="627" spans="1:4">
      <c r="A627" s="432" t="s">
        <v>1056</v>
      </c>
      <c r="B627" s="432" t="str">
        <f t="shared" si="9"/>
        <v>-</v>
      </c>
      <c r="C627" s="435" t="str">
        <f>IF('合并利润表 '!F35=0,"-",TEXT('合并利润表 '!F35,"#,##0.00"))</f>
        <v>-</v>
      </c>
      <c r="D627" s="435">
        <f>'合并利润表 '!F33</f>
        <v>0</v>
      </c>
    </row>
    <row r="628" spans="1:4">
      <c r="A628" s="432" t="s">
        <v>1057</v>
      </c>
      <c r="B628" s="432" t="str">
        <f t="shared" si="9"/>
        <v>-</v>
      </c>
      <c r="C628" s="435" t="str">
        <f>IF('合并利润表 '!F36=0,"-",TEXT('合并利润表 '!F36,"#,##0.00"))</f>
        <v>-</v>
      </c>
      <c r="D628" s="435">
        <f>'合并利润表 '!F34</f>
        <v>0</v>
      </c>
    </row>
    <row r="629" spans="1:4">
      <c r="A629" s="432" t="s">
        <v>1058</v>
      </c>
      <c r="B629" s="432" t="str">
        <f t="shared" si="9"/>
        <v>-</v>
      </c>
      <c r="C629" s="435" t="str">
        <f>IF('合并利润表 '!F37=0,"-",TEXT('合并利润表 '!F37,"#,##0.00"))</f>
        <v>-</v>
      </c>
      <c r="D629" s="435">
        <f>'合并利润表 '!F35</f>
        <v>0</v>
      </c>
    </row>
    <row r="630" spans="1:4">
      <c r="A630" s="432" t="s">
        <v>1059</v>
      </c>
      <c r="B630" s="432" t="str">
        <f t="shared" si="9"/>
        <v>-</v>
      </c>
      <c r="C630" s="435" t="str">
        <f>IF('合并利润表 '!F38=0,"-",TEXT('合并利润表 '!F38,"#,##0.00"))</f>
        <v>-</v>
      </c>
      <c r="D630" s="435">
        <f>'合并利润表 '!F36</f>
        <v>0</v>
      </c>
    </row>
    <row r="631" spans="1:4">
      <c r="A631" s="432" t="s">
        <v>1060</v>
      </c>
      <c r="B631" s="432" t="str">
        <f t="shared" si="9"/>
        <v>-</v>
      </c>
      <c r="C631" s="435" t="str">
        <f>IF('合并利润表 '!F39=0,"-",TEXT('合并利润表 '!F39,"#,##0.00"))</f>
        <v>-</v>
      </c>
      <c r="D631" s="435">
        <f>'合并利润表 '!F37</f>
        <v>0</v>
      </c>
    </row>
    <row r="632" spans="1:4">
      <c r="A632" s="432" t="s">
        <v>1061</v>
      </c>
      <c r="B632" s="432" t="str">
        <f t="shared" si="9"/>
        <v>-</v>
      </c>
      <c r="C632" s="435" t="str">
        <f>IF('合并利润表 '!F40=0,"-",TEXT('合并利润表 '!F40,"#,##0.00"))</f>
        <v>-</v>
      </c>
      <c r="D632" s="435">
        <f>'合并利润表 '!F38</f>
        <v>0</v>
      </c>
    </row>
    <row r="633" spans="1:4">
      <c r="A633" s="432" t="s">
        <v>1062</v>
      </c>
      <c r="B633" s="432" t="str">
        <f t="shared" si="9"/>
        <v>-</v>
      </c>
      <c r="C633" s="435" t="str">
        <f>IF('合并利润表 '!F41=0,"-",TEXT('合并利润表 '!F41,"#,##0.00"))</f>
        <v>-</v>
      </c>
      <c r="D633" s="435">
        <f>'合并利润表 '!F39</f>
        <v>0</v>
      </c>
    </row>
    <row r="634" spans="1:4">
      <c r="A634" s="432" t="s">
        <v>1063</v>
      </c>
      <c r="B634" s="432" t="str">
        <f t="shared" si="9"/>
        <v>-</v>
      </c>
      <c r="C634" s="435" t="str">
        <f>IF('合并利润表 '!F42=0,"-",TEXT('合并利润表 '!F42,"#,##0.00"))</f>
        <v>-</v>
      </c>
      <c r="D634" s="435">
        <f>'合并利润表 '!F40</f>
        <v>0</v>
      </c>
    </row>
    <row r="635" spans="1:4">
      <c r="A635" s="432" t="s">
        <v>1064</v>
      </c>
      <c r="B635" s="432" t="str">
        <f t="shared" si="9"/>
        <v>-</v>
      </c>
      <c r="C635" s="435" t="str">
        <f>IF('合并利润表 '!F43=0,"-",TEXT('合并利润表 '!F43,"#,##0.00"))</f>
        <v>-</v>
      </c>
      <c r="D635" s="435">
        <f>'合并利润表 '!F41</f>
        <v>0</v>
      </c>
    </row>
    <row r="636" spans="1:4">
      <c r="A636" s="432" t="s">
        <v>1065</v>
      </c>
      <c r="B636" s="432" t="str">
        <f t="shared" si="9"/>
        <v>-</v>
      </c>
      <c r="C636" s="435" t="str">
        <f>IF('合并利润表 '!F44=0,"-",TEXT('合并利润表 '!F44,"#,##0.00"))</f>
        <v>-</v>
      </c>
      <c r="D636" s="435">
        <f>'合并利润表 '!F42</f>
        <v>0</v>
      </c>
    </row>
    <row r="637" spans="1:4">
      <c r="A637" s="432" t="s">
        <v>1066</v>
      </c>
      <c r="B637" s="432" t="str">
        <f t="shared" si="9"/>
        <v>-</v>
      </c>
      <c r="C637" s="435" t="str">
        <f>IF('合并利润表 '!F45=0,"-",TEXT('合并利润表 '!F45,"#,##0.00"))</f>
        <v>-</v>
      </c>
      <c r="D637" s="435">
        <f>'合并利润表 '!F43</f>
        <v>0</v>
      </c>
    </row>
    <row r="638" spans="1:4">
      <c r="A638" s="432" t="s">
        <v>1067</v>
      </c>
      <c r="B638" s="432" t="str">
        <f t="shared" si="9"/>
        <v>-</v>
      </c>
      <c r="C638" s="435" t="str">
        <f>IF('合并利润表 '!F46=0,"-",TEXT('合并利润表 '!F46,"#,##0.00"))</f>
        <v>-</v>
      </c>
      <c r="D638" s="435">
        <f>'合并利润表 '!F44</f>
        <v>0</v>
      </c>
    </row>
    <row r="639" spans="1:4">
      <c r="A639" s="432" t="s">
        <v>1068</v>
      </c>
      <c r="B639" s="432" t="str">
        <f t="shared" si="9"/>
        <v>-</v>
      </c>
      <c r="C639" s="435" t="str">
        <f>IF('合并利润表 '!F47=0,"-",TEXT('合并利润表 '!F47,"#,##0.00"))</f>
        <v>-</v>
      </c>
      <c r="D639" s="435">
        <f>'合并利润表 '!F45</f>
        <v>0</v>
      </c>
    </row>
    <row r="640" spans="1:4">
      <c r="A640" s="432" t="s">
        <v>1069</v>
      </c>
      <c r="B640" s="432" t="str">
        <f t="shared" si="9"/>
        <v>-</v>
      </c>
      <c r="C640" s="435" t="str">
        <f>IF('合并利润表 '!F48=0,"-",TEXT('合并利润表 '!F48,"#,##0.00"))</f>
        <v>-</v>
      </c>
      <c r="D640" s="435">
        <f>'合并利润表 '!F46</f>
        <v>0</v>
      </c>
    </row>
    <row r="641" spans="1:4">
      <c r="A641" s="432" t="s">
        <v>1070</v>
      </c>
      <c r="B641" s="432" t="str">
        <f t="shared" si="9"/>
        <v>-</v>
      </c>
      <c r="C641" s="435" t="str">
        <f>IF('合并利润表 '!G4=0,"-",TEXT('合并利润表 '!G4,"#,##0.00"))</f>
        <v>-</v>
      </c>
      <c r="D641" s="435">
        <f>'合并利润表 '!F47</f>
        <v>0</v>
      </c>
    </row>
    <row r="642" spans="1:4">
      <c r="A642" s="432" t="s">
        <v>1071</v>
      </c>
      <c r="B642" s="432" t="str">
        <f t="shared" si="9"/>
        <v>-</v>
      </c>
      <c r="C642" s="435" t="str">
        <f>IF('合并利润表 '!G7=0,"-",TEXT('合并利润表 '!G7,"#,##0.00"))</f>
        <v>-</v>
      </c>
      <c r="D642" s="435">
        <f>'合并利润表 '!F48</f>
        <v>0</v>
      </c>
    </row>
    <row r="643" spans="1:4">
      <c r="A643" s="432" t="s">
        <v>1072</v>
      </c>
      <c r="B643" s="432" t="str">
        <f t="shared" si="9"/>
        <v>-</v>
      </c>
      <c r="C643" s="435" t="str">
        <f>IF('合并利润表 '!G8=0,"-",TEXT('合并利润表 '!G8,"#,##0.00"))</f>
        <v>-</v>
      </c>
    </row>
    <row r="644" spans="1:4">
      <c r="A644" s="432" t="s">
        <v>1073</v>
      </c>
      <c r="B644" s="432" t="str">
        <f t="shared" ref="B644:B707" si="10">TRIM(C644)</f>
        <v>-</v>
      </c>
      <c r="C644" s="435" t="str">
        <f>IF('合并利润表 '!G9=0,"-",TEXT('合并利润表 '!G9,"#,##0.00"))</f>
        <v>-</v>
      </c>
    </row>
    <row r="645" spans="1:4">
      <c r="A645" s="432" t="s">
        <v>1074</v>
      </c>
      <c r="B645" s="432" t="str">
        <f t="shared" si="10"/>
        <v>-</v>
      </c>
      <c r="C645" s="435" t="str">
        <f>IF('合并利润表 '!G10=0,"-",TEXT('合并利润表 '!G10,"#,##0.00"))</f>
        <v>-</v>
      </c>
    </row>
    <row r="646" spans="1:4">
      <c r="A646" s="432" t="s">
        <v>1075</v>
      </c>
      <c r="B646" s="432" t="str">
        <f t="shared" si="10"/>
        <v>-</v>
      </c>
      <c r="C646" s="435" t="str">
        <f>IF('合并利润表 '!G11=0,"-",TEXT('合并利润表 '!G11,"#,##0.00"))</f>
        <v>-</v>
      </c>
    </row>
    <row r="647" spans="1:4">
      <c r="A647" s="432" t="s">
        <v>1076</v>
      </c>
      <c r="B647" s="432" t="str">
        <f t="shared" si="10"/>
        <v>-</v>
      </c>
      <c r="C647" s="435" t="str">
        <f>IF('合并利润表 '!G12=0,"-",TEXT('合并利润表 '!G12,"#,##0.00"))</f>
        <v>-</v>
      </c>
    </row>
    <row r="648" spans="1:4">
      <c r="A648" s="432" t="s">
        <v>1077</v>
      </c>
      <c r="B648" s="432" t="str">
        <f t="shared" si="10"/>
        <v>-</v>
      </c>
      <c r="C648" s="435" t="str">
        <f>IF('合并利润表 '!G13=0,"-",TEXT('合并利润表 '!G13,"#,##0.00"))</f>
        <v>-</v>
      </c>
    </row>
    <row r="649" spans="1:4">
      <c r="A649" s="432" t="s">
        <v>1078</v>
      </c>
      <c r="B649" s="432" t="str">
        <f t="shared" si="10"/>
        <v>-</v>
      </c>
      <c r="C649" s="435" t="str">
        <f>IF('合并利润表 '!G14=0,"-",TEXT('合并利润表 '!G14,"#,##0.00"))</f>
        <v>-</v>
      </c>
    </row>
    <row r="650" spans="1:4">
      <c r="A650" s="432" t="s">
        <v>1079</v>
      </c>
      <c r="B650" s="432" t="str">
        <f t="shared" si="10"/>
        <v>-</v>
      </c>
      <c r="C650" s="435" t="str">
        <f>IF('合并利润表 '!G15=0,"-",TEXT('合并利润表 '!G15,"#,##0.00"))</f>
        <v>-</v>
      </c>
    </row>
    <row r="651" spans="1:4">
      <c r="A651" s="432" t="s">
        <v>1080</v>
      </c>
      <c r="B651" s="432" t="str">
        <f t="shared" si="10"/>
        <v>-</v>
      </c>
      <c r="C651" s="435" t="str">
        <f>IF('合并利润表 '!G16=0,"-",TEXT('合并利润表 '!G16,"#,##0.00"))</f>
        <v>-</v>
      </c>
    </row>
    <row r="652" spans="1:4">
      <c r="A652" s="432" t="s">
        <v>1081</v>
      </c>
      <c r="B652" s="432" t="str">
        <f t="shared" si="10"/>
        <v>-</v>
      </c>
      <c r="C652" s="435" t="str">
        <f>IF('合并利润表 '!G17=0,"-",TEXT('合并利润表 '!G17,"#,##0.00"))</f>
        <v>-</v>
      </c>
    </row>
    <row r="653" spans="1:4">
      <c r="A653" s="432" t="s">
        <v>1082</v>
      </c>
      <c r="B653" s="432" t="str">
        <f t="shared" si="10"/>
        <v>-</v>
      </c>
      <c r="C653" s="435" t="str">
        <f>IF('合并利润表 '!G18=0,"-",TEXT('合并利润表 '!G18,"#,##0.00"))</f>
        <v>-</v>
      </c>
    </row>
    <row r="654" spans="1:4">
      <c r="A654" s="432" t="s">
        <v>1083</v>
      </c>
      <c r="B654" s="432" t="str">
        <f t="shared" si="10"/>
        <v>-</v>
      </c>
      <c r="C654" s="435" t="str">
        <f>IF('合并利润表 '!G19=0,"-",TEXT('合并利润表 '!G19,"#,##0.00"))</f>
        <v>-</v>
      </c>
    </row>
    <row r="655" spans="1:4">
      <c r="A655" s="432" t="s">
        <v>1084</v>
      </c>
      <c r="B655" s="432" t="str">
        <f t="shared" si="10"/>
        <v>-</v>
      </c>
      <c r="C655" s="435" t="str">
        <f>IF('合并利润表 '!G20=0,"-",TEXT('合并利润表 '!G20,"#,##0.00"))</f>
        <v>-</v>
      </c>
    </row>
    <row r="656" spans="1:4">
      <c r="A656" s="432" t="s">
        <v>1085</v>
      </c>
      <c r="B656" s="432" t="str">
        <f t="shared" si="10"/>
        <v>-</v>
      </c>
      <c r="C656" s="435" t="str">
        <f>IF('合并利润表 '!G21=0,"-",TEXT('合并利润表 '!G21,"#,##0.00"))</f>
        <v>-</v>
      </c>
    </row>
    <row r="657" spans="1:3">
      <c r="A657" s="432" t="s">
        <v>1086</v>
      </c>
      <c r="B657" s="432" t="str">
        <f t="shared" si="10"/>
        <v>-</v>
      </c>
      <c r="C657" s="435" t="str">
        <f>IF('合并利润表 '!G22=0,"-",TEXT('合并利润表 '!G22,"#,##0.00"))</f>
        <v>-</v>
      </c>
    </row>
    <row r="658" spans="1:3">
      <c r="A658" s="432" t="s">
        <v>1087</v>
      </c>
      <c r="B658" s="432" t="str">
        <f t="shared" si="10"/>
        <v>-</v>
      </c>
      <c r="C658" s="435" t="str">
        <f>IF('合并利润表 '!G23=0,"-",TEXT('合并利润表 '!G23,"#,##0.00"))</f>
        <v>-</v>
      </c>
    </row>
    <row r="659" spans="1:3">
      <c r="A659" s="432" t="s">
        <v>1088</v>
      </c>
      <c r="B659" s="432" t="str">
        <f t="shared" si="10"/>
        <v>-</v>
      </c>
      <c r="C659" s="435" t="str">
        <f>IF('合并利润表 '!G24=0,"-",TEXT('合并利润表 '!G24,"#,##0.00"))</f>
        <v>-</v>
      </c>
    </row>
    <row r="660" spans="1:3">
      <c r="A660" s="432" t="s">
        <v>1089</v>
      </c>
      <c r="B660" s="432" t="str">
        <f t="shared" si="10"/>
        <v>-</v>
      </c>
      <c r="C660" s="435" t="str">
        <f>IF('合并利润表 '!G25=0,"-",TEXT('合并利润表 '!G25,"#,##0.00"))</f>
        <v>-</v>
      </c>
    </row>
    <row r="661" spans="1:3">
      <c r="A661" s="432" t="s">
        <v>1090</v>
      </c>
      <c r="B661" s="432" t="str">
        <f t="shared" si="10"/>
        <v>-</v>
      </c>
      <c r="C661" s="435" t="str">
        <f>IF('合并利润表 '!G26=0,"-",TEXT('合并利润表 '!G26,"#,##0.00"))</f>
        <v>-</v>
      </c>
    </row>
    <row r="662" spans="1:3">
      <c r="A662" s="432" t="s">
        <v>1091</v>
      </c>
      <c r="B662" s="432" t="str">
        <f t="shared" si="10"/>
        <v>-</v>
      </c>
      <c r="C662" s="435" t="str">
        <f>IF('合并利润表 '!G28=0,"-",TEXT('合并利润表 '!G28,"#,##0.00"))</f>
        <v>-</v>
      </c>
    </row>
    <row r="663" spans="1:3">
      <c r="A663" s="432" t="s">
        <v>1092</v>
      </c>
      <c r="B663" s="432" t="str">
        <f t="shared" si="10"/>
        <v>-</v>
      </c>
      <c r="C663" s="435" t="str">
        <f>IF('合并利润表 '!G29=0,"-",TEXT('合并利润表 '!G29,"#,##0.00"))</f>
        <v>-</v>
      </c>
    </row>
    <row r="664" spans="1:3">
      <c r="A664" s="432" t="s">
        <v>1093</v>
      </c>
      <c r="B664" s="432" t="str">
        <f t="shared" si="10"/>
        <v>-</v>
      </c>
      <c r="C664" s="435" t="str">
        <f>IF('合并利润表 '!G31=0,"-",TEXT('合并利润表 '!G31,"#,##0.00"))</f>
        <v>-</v>
      </c>
    </row>
    <row r="665" spans="1:3">
      <c r="A665" s="432" t="s">
        <v>1094</v>
      </c>
      <c r="B665" s="432" t="str">
        <f t="shared" si="10"/>
        <v>-</v>
      </c>
      <c r="C665" s="435" t="str">
        <f>IF('合并利润表 '!G32=0,"-",TEXT('合并利润表 '!G32,"#,##0.00"))</f>
        <v>-</v>
      </c>
    </row>
    <row r="666" spans="1:3">
      <c r="A666" s="432" t="s">
        <v>1095</v>
      </c>
      <c r="B666" s="432" t="str">
        <f t="shared" si="10"/>
        <v>-</v>
      </c>
      <c r="C666" s="435" t="str">
        <f>IF('合并利润表 '!G33=0,"-",TEXT('合并利润表 '!G33,"#,##0.00"))</f>
        <v>-</v>
      </c>
    </row>
    <row r="667" spans="1:3">
      <c r="A667" s="432" t="s">
        <v>1096</v>
      </c>
      <c r="B667" s="432" t="str">
        <f t="shared" si="10"/>
        <v>-</v>
      </c>
      <c r="C667" s="435" t="str">
        <f>IF('合并利润表 '!G34=0,"-",TEXT('合并利润表 '!G34,"#,##0.00"))</f>
        <v>-</v>
      </c>
    </row>
    <row r="668" spans="1:3">
      <c r="A668" s="432" t="s">
        <v>1097</v>
      </c>
      <c r="B668" s="432" t="str">
        <f t="shared" si="10"/>
        <v>-</v>
      </c>
      <c r="C668" s="435" t="str">
        <f>IF('合并利润表 '!G35=0,"-",TEXT('合并利润表 '!G35,"#,##0.00"))</f>
        <v>-</v>
      </c>
    </row>
    <row r="669" spans="1:3">
      <c r="A669" s="432" t="s">
        <v>1098</v>
      </c>
      <c r="B669" s="432" t="str">
        <f t="shared" si="10"/>
        <v>-</v>
      </c>
      <c r="C669" s="435" t="str">
        <f>IF('合并利润表 '!G36=0,"-",TEXT('合并利润表 '!G36,"#,##0.00"))</f>
        <v>-</v>
      </c>
    </row>
    <row r="670" spans="1:3">
      <c r="A670" s="432" t="s">
        <v>1099</v>
      </c>
      <c r="B670" s="432" t="str">
        <f t="shared" si="10"/>
        <v>-</v>
      </c>
      <c r="C670" s="435" t="str">
        <f>IF('合并利润表 '!G37=0,"-",TEXT('合并利润表 '!G37,"#,##0.00"))</f>
        <v>-</v>
      </c>
    </row>
    <row r="671" spans="1:3">
      <c r="A671" s="432" t="s">
        <v>1100</v>
      </c>
      <c r="B671" s="432" t="str">
        <f t="shared" si="10"/>
        <v>-</v>
      </c>
      <c r="C671" s="435" t="str">
        <f>IF('合并利润表 '!G38=0,"-",TEXT('合并利润表 '!G38,"#,##0.00"))</f>
        <v>-</v>
      </c>
    </row>
    <row r="672" spans="1:3">
      <c r="A672" s="432" t="s">
        <v>1101</v>
      </c>
      <c r="B672" s="432" t="str">
        <f t="shared" si="10"/>
        <v>-</v>
      </c>
      <c r="C672" s="435" t="str">
        <f>IF('合并利润表 '!G39=0,"-",TEXT('合并利润表 '!G39,"#,##0.00"))</f>
        <v>-</v>
      </c>
    </row>
    <row r="673" spans="1:3">
      <c r="A673" s="432" t="s">
        <v>1102</v>
      </c>
      <c r="B673" s="432" t="str">
        <f t="shared" si="10"/>
        <v>-</v>
      </c>
      <c r="C673" s="435" t="str">
        <f>IF('合并利润表 '!G40=0,"-",TEXT('合并利润表 '!G40,"#,##0.00"))</f>
        <v>-</v>
      </c>
    </row>
    <row r="674" spans="1:3">
      <c r="A674" s="432" t="s">
        <v>1103</v>
      </c>
      <c r="B674" s="432" t="str">
        <f t="shared" si="10"/>
        <v>-</v>
      </c>
      <c r="C674" s="435" t="str">
        <f>IF('合并利润表 '!G41=0,"-",TEXT('合并利润表 '!G41,"#,##0.00"))</f>
        <v>-</v>
      </c>
    </row>
    <row r="675" spans="1:3">
      <c r="A675" s="432" t="s">
        <v>1104</v>
      </c>
      <c r="B675" s="432" t="str">
        <f t="shared" si="10"/>
        <v>-</v>
      </c>
      <c r="C675" s="435" t="str">
        <f>IF('合并利润表 '!G42=0,"-",TEXT('合并利润表 '!G42,"#,##0.00"))</f>
        <v>-</v>
      </c>
    </row>
    <row r="676" spans="1:3">
      <c r="A676" s="432" t="s">
        <v>1105</v>
      </c>
      <c r="B676" s="432" t="str">
        <f t="shared" si="10"/>
        <v>-</v>
      </c>
      <c r="C676" s="435" t="str">
        <f>IF('合并利润表 '!G43=0,"-",TEXT('合并利润表 '!G43,"#,##0.00"))</f>
        <v>-</v>
      </c>
    </row>
    <row r="677" spans="1:3">
      <c r="A677" s="432" t="s">
        <v>1106</v>
      </c>
      <c r="B677" s="432" t="str">
        <f t="shared" si="10"/>
        <v>-</v>
      </c>
      <c r="C677" s="435" t="str">
        <f>IF('合并利润表 '!G44=0,"-",TEXT('合并利润表 '!G44,"#,##0.00"))</f>
        <v>-</v>
      </c>
    </row>
    <row r="678" spans="1:3">
      <c r="A678" s="432" t="s">
        <v>1107</v>
      </c>
      <c r="B678" s="432" t="str">
        <f t="shared" si="10"/>
        <v>-</v>
      </c>
      <c r="C678" s="435" t="str">
        <f>IF('合并利润表 '!G45=0,"-",TEXT('合并利润表 '!G45,"#,##0.00"))</f>
        <v>-</v>
      </c>
    </row>
    <row r="679" spans="1:3">
      <c r="A679" s="432" t="s">
        <v>1108</v>
      </c>
      <c r="B679" s="432" t="str">
        <f t="shared" si="10"/>
        <v>-</v>
      </c>
      <c r="C679" s="435" t="str">
        <f>IF('合并利润表 '!G46=0,"-",TEXT('合并利润表 '!G46,"#,##0.00"))</f>
        <v>-</v>
      </c>
    </row>
    <row r="680" spans="1:3">
      <c r="A680" s="432" t="s">
        <v>1109</v>
      </c>
      <c r="B680" s="432" t="str">
        <f t="shared" si="10"/>
        <v>-</v>
      </c>
      <c r="C680" s="435" t="str">
        <f>IF('合并利润表 '!G47=0,"-",TEXT('合并利润表 '!G47,"#,##0.00"))</f>
        <v>-</v>
      </c>
    </row>
    <row r="681" spans="1:3">
      <c r="A681" s="432" t="s">
        <v>1110</v>
      </c>
      <c r="B681" s="432" t="str">
        <f t="shared" si="10"/>
        <v>-</v>
      </c>
      <c r="C681" s="435" t="str">
        <f>IF('合并利润表 '!G48=0,"-",TEXT('合并利润表 '!G48,"#,##0.00"))</f>
        <v>-</v>
      </c>
    </row>
    <row r="682" spans="1:3">
      <c r="A682" s="432" t="s">
        <v>1152</v>
      </c>
      <c r="B682" s="432" t="str">
        <f t="shared" si="10"/>
        <v>-</v>
      </c>
      <c r="C682" s="435" t="str">
        <f>IF('合并利润表 '!H4=0,"-",TEXT('合并利润表 '!H4,"#,##0.00"))</f>
        <v>-</v>
      </c>
    </row>
    <row r="683" spans="1:3">
      <c r="A683" s="432" t="s">
        <v>1153</v>
      </c>
      <c r="B683" s="432" t="str">
        <f t="shared" si="10"/>
        <v>-</v>
      </c>
      <c r="C683" s="435" t="str">
        <f>IF('合并利润表 '!H7=0,"-",TEXT('合并利润表 '!H7,"#,##0.00"))</f>
        <v>-</v>
      </c>
    </row>
    <row r="684" spans="1:3">
      <c r="A684" s="432" t="s">
        <v>1154</v>
      </c>
      <c r="B684" s="432" t="str">
        <f t="shared" si="10"/>
        <v>-</v>
      </c>
      <c r="C684" s="435" t="str">
        <f>IF('合并利润表 '!H8=0,"-",TEXT('合并利润表 '!H8,"#,##0.00"))</f>
        <v>-</v>
      </c>
    </row>
    <row r="685" spans="1:3">
      <c r="A685" s="432" t="s">
        <v>1155</v>
      </c>
      <c r="B685" s="432" t="str">
        <f t="shared" si="10"/>
        <v>-</v>
      </c>
      <c r="C685" s="435" t="str">
        <f>IF('合并利润表 '!H9=0,"-",TEXT('合并利润表 '!H9,"#,##0.00"))</f>
        <v>-</v>
      </c>
    </row>
    <row r="686" spans="1:3">
      <c r="A686" s="432" t="s">
        <v>1156</v>
      </c>
      <c r="B686" s="432" t="str">
        <f t="shared" si="10"/>
        <v>-</v>
      </c>
      <c r="C686" s="435" t="str">
        <f>IF('合并利润表 '!H10=0,"-",TEXT('合并利润表 '!H10,"#,##0.00"))</f>
        <v>-</v>
      </c>
    </row>
    <row r="687" spans="1:3">
      <c r="A687" s="432" t="s">
        <v>1157</v>
      </c>
      <c r="B687" s="432" t="str">
        <f t="shared" si="10"/>
        <v>-</v>
      </c>
      <c r="C687" s="435" t="str">
        <f>IF('合并利润表 '!H11=0,"-",TEXT('合并利润表 '!H11,"#,##0.00"))</f>
        <v>-</v>
      </c>
    </row>
    <row r="688" spans="1:3">
      <c r="A688" s="432" t="s">
        <v>1158</v>
      </c>
      <c r="B688" s="432" t="str">
        <f t="shared" si="10"/>
        <v>-</v>
      </c>
      <c r="C688" s="435" t="str">
        <f>IF('合并利润表 '!H12=0,"-",TEXT('合并利润表 '!H12,"#,##0.00"))</f>
        <v>-</v>
      </c>
    </row>
    <row r="689" spans="1:3">
      <c r="A689" s="432" t="s">
        <v>1159</v>
      </c>
      <c r="B689" s="432" t="str">
        <f t="shared" si="10"/>
        <v>-</v>
      </c>
      <c r="C689" s="435" t="str">
        <f>IF('合并利润表 '!H13=0,"-",TEXT('合并利润表 '!H13,"#,##0.00"))</f>
        <v>-</v>
      </c>
    </row>
    <row r="690" spans="1:3">
      <c r="A690" s="432" t="s">
        <v>1160</v>
      </c>
      <c r="B690" s="432" t="str">
        <f t="shared" si="10"/>
        <v>-</v>
      </c>
      <c r="C690" s="435" t="str">
        <f>IF('合并利润表 '!H14=0,"-",TEXT('合并利润表 '!H14,"#,##0.00"))</f>
        <v>-</v>
      </c>
    </row>
    <row r="691" spans="1:3">
      <c r="A691" s="432" t="s">
        <v>1161</v>
      </c>
      <c r="B691" s="432" t="str">
        <f t="shared" si="10"/>
        <v>-</v>
      </c>
      <c r="C691" s="435" t="str">
        <f>IF('合并利润表 '!H15=0,"-",TEXT('合并利润表 '!H15,"#,##0.00"))</f>
        <v>-</v>
      </c>
    </row>
    <row r="692" spans="1:3">
      <c r="A692" s="432" t="s">
        <v>1162</v>
      </c>
      <c r="B692" s="432" t="str">
        <f t="shared" si="10"/>
        <v>-</v>
      </c>
      <c r="C692" s="435" t="str">
        <f>IF('合并利润表 '!H16=0,"-",TEXT('合并利润表 '!H16,"#,##0.00"))</f>
        <v>-</v>
      </c>
    </row>
    <row r="693" spans="1:3">
      <c r="A693" s="432" t="s">
        <v>1163</v>
      </c>
      <c r="B693" s="432" t="str">
        <f t="shared" si="10"/>
        <v>-</v>
      </c>
      <c r="C693" s="435" t="str">
        <f>IF('合并利润表 '!H17=0,"-",TEXT('合并利润表 '!H17,"#,##0.00"))</f>
        <v>-</v>
      </c>
    </row>
    <row r="694" spans="1:3">
      <c r="A694" s="432" t="s">
        <v>1164</v>
      </c>
      <c r="B694" s="432" t="str">
        <f t="shared" si="10"/>
        <v>-</v>
      </c>
      <c r="C694" s="435" t="str">
        <f>IF('合并利润表 '!H18=0,"-",TEXT('合并利润表 '!H18,"#,##0.00"))</f>
        <v>-</v>
      </c>
    </row>
    <row r="695" spans="1:3">
      <c r="A695" s="432" t="s">
        <v>1165</v>
      </c>
      <c r="B695" s="432" t="str">
        <f t="shared" si="10"/>
        <v>-</v>
      </c>
      <c r="C695" s="435" t="str">
        <f>IF('合并利润表 '!H19=0,"-",TEXT('合并利润表 '!H19,"#,##0.00"))</f>
        <v>-</v>
      </c>
    </row>
    <row r="696" spans="1:3">
      <c r="A696" s="432" t="s">
        <v>1166</v>
      </c>
      <c r="B696" s="432" t="str">
        <f t="shared" si="10"/>
        <v>-</v>
      </c>
      <c r="C696" s="435" t="str">
        <f>IF('合并利润表 '!H20=0,"-",TEXT('合并利润表 '!H20,"#,##0.00"))</f>
        <v>-</v>
      </c>
    </row>
    <row r="697" spans="1:3">
      <c r="A697" s="432" t="s">
        <v>1167</v>
      </c>
      <c r="B697" s="432" t="str">
        <f t="shared" si="10"/>
        <v>-</v>
      </c>
      <c r="C697" s="435" t="str">
        <f>IF('合并利润表 '!H21=0,"-",TEXT('合并利润表 '!H21,"#,##0.00"))</f>
        <v>-</v>
      </c>
    </row>
    <row r="698" spans="1:3">
      <c r="A698" s="432" t="s">
        <v>1168</v>
      </c>
      <c r="B698" s="432" t="str">
        <f t="shared" si="10"/>
        <v>-</v>
      </c>
      <c r="C698" s="435" t="str">
        <f>IF('合并利润表 '!H22=0,"-",TEXT('合并利润表 '!H22,"#,##0.00"))</f>
        <v>-</v>
      </c>
    </row>
    <row r="699" spans="1:3">
      <c r="A699" s="432" t="s">
        <v>1169</v>
      </c>
      <c r="B699" s="432" t="str">
        <f t="shared" si="10"/>
        <v>-</v>
      </c>
      <c r="C699" s="435" t="str">
        <f>IF('合并利润表 '!H23=0,"-",TEXT('合并利润表 '!H23,"#,##0.00"))</f>
        <v>-</v>
      </c>
    </row>
    <row r="700" spans="1:3">
      <c r="A700" s="432" t="s">
        <v>1170</v>
      </c>
      <c r="B700" s="432" t="str">
        <f t="shared" si="10"/>
        <v>-</v>
      </c>
      <c r="C700" s="435" t="str">
        <f>IF('合并利润表 '!H24=0,"-",TEXT('合并利润表 '!H24,"#,##0.00"))</f>
        <v>-</v>
      </c>
    </row>
    <row r="701" spans="1:3">
      <c r="A701" s="432" t="s">
        <v>1171</v>
      </c>
      <c r="B701" s="432" t="str">
        <f t="shared" si="10"/>
        <v>-</v>
      </c>
      <c r="C701" s="435" t="str">
        <f>IF('合并利润表 '!H25=0,"-",TEXT('合并利润表 '!H25,"#,##0.00"))</f>
        <v>-</v>
      </c>
    </row>
    <row r="702" spans="1:3">
      <c r="A702" s="432" t="s">
        <v>1172</v>
      </c>
      <c r="B702" s="432" t="str">
        <f t="shared" si="10"/>
        <v>-</v>
      </c>
      <c r="C702" s="435" t="str">
        <f>IF('合并利润表 '!H26=0,"-",TEXT('合并利润表 '!H26,"#,##0.00"))</f>
        <v>-</v>
      </c>
    </row>
    <row r="703" spans="1:3">
      <c r="A703" s="432" t="s">
        <v>1173</v>
      </c>
      <c r="B703" s="432" t="str">
        <f t="shared" si="10"/>
        <v>-</v>
      </c>
      <c r="C703" s="435" t="str">
        <f>IF('合并利润表 '!H28=0,"-",TEXT('合并利润表 '!H28,"#,##0.00"))</f>
        <v>-</v>
      </c>
    </row>
    <row r="704" spans="1:3">
      <c r="A704" s="432" t="s">
        <v>1174</v>
      </c>
      <c r="B704" s="432" t="str">
        <f t="shared" si="10"/>
        <v>-</v>
      </c>
      <c r="C704" s="435" t="str">
        <f>IF('合并利润表 '!H29=0,"-",TEXT('合并利润表 '!H29,"#,##0.00"))</f>
        <v>-</v>
      </c>
    </row>
    <row r="705" spans="1:3">
      <c r="A705" s="432" t="s">
        <v>1175</v>
      </c>
      <c r="B705" s="432" t="str">
        <f t="shared" si="10"/>
        <v>-</v>
      </c>
      <c r="C705" s="435" t="str">
        <f>IF('合并利润表 '!H31=0,"-",TEXT('合并利润表 '!H31,"#,##0.00"))</f>
        <v>-</v>
      </c>
    </row>
    <row r="706" spans="1:3">
      <c r="A706" s="432" t="s">
        <v>1176</v>
      </c>
      <c r="B706" s="432" t="str">
        <f t="shared" si="10"/>
        <v>-</v>
      </c>
      <c r="C706" s="435" t="str">
        <f>IF('合并利润表 '!H32=0,"-",TEXT('合并利润表 '!H32,"#,##0.00"))</f>
        <v>-</v>
      </c>
    </row>
    <row r="707" spans="1:3">
      <c r="A707" s="432" t="s">
        <v>1177</v>
      </c>
      <c r="B707" s="432" t="str">
        <f t="shared" si="10"/>
        <v>-</v>
      </c>
      <c r="C707" s="435" t="str">
        <f>IF('合并利润表 '!H33=0,"-",TEXT('合并利润表 '!H33,"#,##0.00"))</f>
        <v>-</v>
      </c>
    </row>
    <row r="708" spans="1:3">
      <c r="A708" s="432" t="s">
        <v>1178</v>
      </c>
      <c r="B708" s="432" t="str">
        <f t="shared" ref="B708:B775" si="11">TRIM(C708)</f>
        <v>-</v>
      </c>
      <c r="C708" s="435" t="str">
        <f>IF('合并利润表 '!H34=0,"-",TEXT('合并利润表 '!H34,"#,##0.00"))</f>
        <v>-</v>
      </c>
    </row>
    <row r="709" spans="1:3">
      <c r="A709" s="432" t="s">
        <v>1179</v>
      </c>
      <c r="B709" s="432" t="str">
        <f t="shared" si="11"/>
        <v>-</v>
      </c>
      <c r="C709" s="435" t="str">
        <f>IF('合并利润表 '!H35=0,"-",TEXT('合并利润表 '!H35,"#,##0.00"))</f>
        <v>-</v>
      </c>
    </row>
    <row r="710" spans="1:3">
      <c r="A710" s="432" t="s">
        <v>1180</v>
      </c>
      <c r="B710" s="432" t="str">
        <f t="shared" si="11"/>
        <v>-</v>
      </c>
      <c r="C710" s="435" t="str">
        <f>IF('合并利润表 '!H36=0,"-",TEXT('合并利润表 '!H36,"#,##0.00"))</f>
        <v>-</v>
      </c>
    </row>
    <row r="711" spans="1:3">
      <c r="A711" s="432" t="s">
        <v>1181</v>
      </c>
      <c r="B711" s="432" t="str">
        <f t="shared" si="11"/>
        <v>-</v>
      </c>
      <c r="C711" s="435" t="str">
        <f>IF('合并利润表 '!H37=0,"-",TEXT('合并利润表 '!H37,"#,##0.00"))</f>
        <v>-</v>
      </c>
    </row>
    <row r="712" spans="1:3">
      <c r="A712" s="432" t="s">
        <v>1182</v>
      </c>
      <c r="B712" s="432" t="str">
        <f t="shared" si="11"/>
        <v>-</v>
      </c>
      <c r="C712" s="435" t="str">
        <f>IF('合并利润表 '!H38=0,"-",TEXT('合并利润表 '!H38,"#,##0.00"))</f>
        <v>-</v>
      </c>
    </row>
    <row r="713" spans="1:3">
      <c r="A713" s="432" t="s">
        <v>1183</v>
      </c>
      <c r="B713" s="432" t="str">
        <f t="shared" si="11"/>
        <v>-</v>
      </c>
      <c r="C713" s="435" t="str">
        <f>IF('合并利润表 '!H39=0,"-",TEXT('合并利润表 '!H39,"#,##0.00"))</f>
        <v>-</v>
      </c>
    </row>
    <row r="714" spans="1:3">
      <c r="A714" s="432" t="s">
        <v>1184</v>
      </c>
      <c r="B714" s="432" t="str">
        <f t="shared" si="11"/>
        <v>-</v>
      </c>
      <c r="C714" s="435" t="str">
        <f>IF('合并利润表 '!H40=0,"-",TEXT('合并利润表 '!H40,"#,##0.00"))</f>
        <v>-</v>
      </c>
    </row>
    <row r="715" spans="1:3">
      <c r="A715" s="432" t="s">
        <v>1185</v>
      </c>
      <c r="B715" s="432" t="str">
        <f t="shared" si="11"/>
        <v>-</v>
      </c>
      <c r="C715" s="435" t="str">
        <f>IF('合并利润表 '!H41=0,"-",TEXT('合并利润表 '!H41,"#,##0.00"))</f>
        <v>-</v>
      </c>
    </row>
    <row r="716" spans="1:3">
      <c r="A716" s="432" t="s">
        <v>1186</v>
      </c>
      <c r="B716" s="432" t="str">
        <f t="shared" si="11"/>
        <v>-</v>
      </c>
      <c r="C716" s="435" t="str">
        <f>IF('合并利润表 '!H42=0,"-",TEXT('合并利润表 '!H42,"#,##0.00"))</f>
        <v>-</v>
      </c>
    </row>
    <row r="717" spans="1:3">
      <c r="A717" s="432" t="s">
        <v>1187</v>
      </c>
      <c r="B717" s="432" t="str">
        <f t="shared" si="11"/>
        <v>-</v>
      </c>
      <c r="C717" s="435" t="str">
        <f>IF('合并利润表 '!H43=0,"-",TEXT('合并利润表 '!H43,"#,##0.00"))</f>
        <v>-</v>
      </c>
    </row>
    <row r="718" spans="1:3">
      <c r="A718" s="432" t="s">
        <v>1188</v>
      </c>
      <c r="B718" s="432" t="str">
        <f t="shared" si="11"/>
        <v>-</v>
      </c>
      <c r="C718" s="435" t="str">
        <f>IF('合并利润表 '!H44=0,"-",TEXT('合并利润表 '!H44,"#,##0.00"))</f>
        <v>-</v>
      </c>
    </row>
    <row r="719" spans="1:3">
      <c r="A719" s="432" t="s">
        <v>1189</v>
      </c>
      <c r="B719" s="432" t="str">
        <f t="shared" si="11"/>
        <v>-</v>
      </c>
      <c r="C719" s="435" t="str">
        <f>IF('合并利润表 '!H45=0,"-",TEXT('合并利润表 '!H45,"#,##0.00"))</f>
        <v>-</v>
      </c>
    </row>
    <row r="720" spans="1:3">
      <c r="A720" s="432" t="s">
        <v>1190</v>
      </c>
      <c r="B720" s="432" t="str">
        <f t="shared" si="11"/>
        <v>-</v>
      </c>
      <c r="C720" s="435" t="str">
        <f>IF('合并利润表 '!H46=0,"-",TEXT('合并利润表 '!H46,"#,##0.00"))</f>
        <v>-</v>
      </c>
    </row>
    <row r="721" spans="1:3">
      <c r="A721" s="432" t="s">
        <v>1191</v>
      </c>
      <c r="B721" s="432" t="str">
        <f t="shared" si="11"/>
        <v>-</v>
      </c>
      <c r="C721" s="435" t="str">
        <f>IF('合并利润表 '!H47=0,"-",TEXT('合并利润表 '!H47,"#,##0.00"))</f>
        <v>-</v>
      </c>
    </row>
    <row r="722" spans="1:3">
      <c r="A722" s="432" t="s">
        <v>1192</v>
      </c>
      <c r="B722" s="432" t="str">
        <f t="shared" si="11"/>
        <v>-</v>
      </c>
      <c r="C722" s="435" t="str">
        <f>IF('合并利润表 '!H48=0,"-",TEXT('合并利润表 '!H48,"#,##0.00"))</f>
        <v>-</v>
      </c>
    </row>
    <row r="723" spans="1:3">
      <c r="A723" s="432" t="s">
        <v>1111</v>
      </c>
      <c r="B723" s="432" t="str">
        <f t="shared" si="11"/>
        <v>-</v>
      </c>
      <c r="C723" s="435" t="str">
        <f>IF('合并利润表 '!I4=0,"-",TEXT('合并利润表 '!I4,"#,##0.00"))</f>
        <v>-</v>
      </c>
    </row>
    <row r="724" spans="1:3">
      <c r="A724" s="432" t="s">
        <v>1112</v>
      </c>
      <c r="B724" s="432" t="str">
        <f t="shared" si="11"/>
        <v>-</v>
      </c>
      <c r="C724" s="435" t="str">
        <f>IF('合并利润表 '!I7=0,"-",TEXT('合并利润表 '!I7,"#,##0.00"))</f>
        <v>-</v>
      </c>
    </row>
    <row r="725" spans="1:3">
      <c r="A725" s="432" t="s">
        <v>1113</v>
      </c>
      <c r="B725" s="432" t="str">
        <f t="shared" si="11"/>
        <v>-</v>
      </c>
      <c r="C725" s="435" t="str">
        <f>IF('合并利润表 '!I8=0,"-",TEXT('合并利润表 '!I8,"#,##0.00"))</f>
        <v>-</v>
      </c>
    </row>
    <row r="726" spans="1:3">
      <c r="A726" s="432" t="s">
        <v>1114</v>
      </c>
      <c r="B726" s="432" t="str">
        <f t="shared" si="11"/>
        <v>-</v>
      </c>
      <c r="C726" s="435" t="str">
        <f>IF('合并利润表 '!I9=0,"-",TEXT('合并利润表 '!I9,"#,##0.00"))</f>
        <v>-</v>
      </c>
    </row>
    <row r="727" spans="1:3">
      <c r="A727" s="432" t="s">
        <v>1115</v>
      </c>
      <c r="B727" s="432" t="str">
        <f t="shared" si="11"/>
        <v>-</v>
      </c>
      <c r="C727" s="435" t="str">
        <f>IF('合并利润表 '!I10=0,"-",TEXT('合并利润表 '!I10,"#,##0.00"))</f>
        <v>-</v>
      </c>
    </row>
    <row r="728" spans="1:3">
      <c r="A728" s="432" t="s">
        <v>1116</v>
      </c>
      <c r="B728" s="432" t="str">
        <f t="shared" si="11"/>
        <v>-</v>
      </c>
      <c r="C728" s="435" t="str">
        <f>IF('合并利润表 '!I11=0,"-",TEXT('合并利润表 '!I11,"#,##0.00"))</f>
        <v>-</v>
      </c>
    </row>
    <row r="729" spans="1:3">
      <c r="A729" s="432" t="s">
        <v>1117</v>
      </c>
      <c r="B729" s="432" t="str">
        <f t="shared" si="11"/>
        <v>-</v>
      </c>
      <c r="C729" s="435" t="str">
        <f>IF('合并利润表 '!I12=0,"-",TEXT('合并利润表 '!I12,"#,##0.00"))</f>
        <v>-</v>
      </c>
    </row>
    <row r="730" spans="1:3">
      <c r="A730" s="432" t="s">
        <v>1118</v>
      </c>
      <c r="B730" s="432" t="str">
        <f t="shared" si="11"/>
        <v>-</v>
      </c>
      <c r="C730" s="435" t="str">
        <f>IF('合并利润表 '!I13=0,"-",TEXT('合并利润表 '!I13,"#,##0.00"))</f>
        <v>-</v>
      </c>
    </row>
    <row r="731" spans="1:3">
      <c r="A731" s="432" t="s">
        <v>1119</v>
      </c>
      <c r="B731" s="432" t="str">
        <f t="shared" si="11"/>
        <v>-</v>
      </c>
      <c r="C731" s="435" t="str">
        <f>IF('合并利润表 '!I14=0,"-",TEXT('合并利润表 '!I14,"#,##0.00"))</f>
        <v>-</v>
      </c>
    </row>
    <row r="732" spans="1:3">
      <c r="A732" s="432" t="s">
        <v>1120</v>
      </c>
      <c r="B732" s="432" t="str">
        <f t="shared" si="11"/>
        <v>-</v>
      </c>
      <c r="C732" s="435" t="str">
        <f>IF('合并利润表 '!I15=0,"-",TEXT('合并利润表 '!I15,"#,##0.00"))</f>
        <v>-</v>
      </c>
    </row>
    <row r="733" spans="1:3">
      <c r="A733" s="432" t="s">
        <v>1121</v>
      </c>
      <c r="B733" s="432" t="str">
        <f t="shared" si="11"/>
        <v>-</v>
      </c>
      <c r="C733" s="435" t="str">
        <f>IF('合并利润表 '!I16=0,"-",TEXT('合并利润表 '!I16,"#,##0.00"))</f>
        <v>-</v>
      </c>
    </row>
    <row r="734" spans="1:3">
      <c r="A734" s="432" t="s">
        <v>1122</v>
      </c>
      <c r="B734" s="432" t="str">
        <f t="shared" si="11"/>
        <v>-</v>
      </c>
      <c r="C734" s="435" t="str">
        <f>IF('合并利润表 '!I17=0,"-",TEXT('合并利润表 '!I17,"#,##0.00"))</f>
        <v>-</v>
      </c>
    </row>
    <row r="735" spans="1:3">
      <c r="A735" s="432" t="s">
        <v>1123</v>
      </c>
      <c r="B735" s="432" t="str">
        <f t="shared" si="11"/>
        <v>-</v>
      </c>
      <c r="C735" s="435" t="str">
        <f>IF('合并利润表 '!I18=0,"-",TEXT('合并利润表 '!I18,"#,##0.00"))</f>
        <v>-</v>
      </c>
    </row>
    <row r="736" spans="1:3">
      <c r="A736" s="432" t="s">
        <v>1124</v>
      </c>
      <c r="B736" s="432" t="str">
        <f t="shared" si="11"/>
        <v>-</v>
      </c>
      <c r="C736" s="435" t="str">
        <f>IF('合并利润表 '!I19=0,"-",TEXT('合并利润表 '!I19,"#,##0.00"))</f>
        <v>-</v>
      </c>
    </row>
    <row r="737" spans="1:3">
      <c r="A737" s="432" t="s">
        <v>1125</v>
      </c>
      <c r="B737" s="432" t="str">
        <f t="shared" si="11"/>
        <v>-</v>
      </c>
      <c r="C737" s="435" t="str">
        <f>IF('合并利润表 '!I20=0,"-",TEXT('合并利润表 '!I20,"#,##0.00"))</f>
        <v>-</v>
      </c>
    </row>
    <row r="738" spans="1:3">
      <c r="A738" s="432" t="s">
        <v>1126</v>
      </c>
      <c r="B738" s="432" t="str">
        <f t="shared" si="11"/>
        <v>-</v>
      </c>
      <c r="C738" s="435" t="str">
        <f>IF('合并利润表 '!I21=0,"-",TEXT('合并利润表 '!I21,"#,##0.00"))</f>
        <v>-</v>
      </c>
    </row>
    <row r="739" spans="1:3">
      <c r="A739" s="432" t="s">
        <v>1127</v>
      </c>
      <c r="B739" s="432" t="str">
        <f t="shared" si="11"/>
        <v>-</v>
      </c>
      <c r="C739" s="435" t="str">
        <f>IF('合并利润表 '!I22=0,"-",TEXT('合并利润表 '!I22,"#,##0.00"))</f>
        <v>-</v>
      </c>
    </row>
    <row r="740" spans="1:3">
      <c r="A740" s="432" t="s">
        <v>1128</v>
      </c>
      <c r="B740" s="432" t="str">
        <f t="shared" si="11"/>
        <v>-</v>
      </c>
      <c r="C740" s="435" t="str">
        <f>IF('合并利润表 '!I23=0,"-",TEXT('合并利润表 '!I23,"#,##0.00"))</f>
        <v>-</v>
      </c>
    </row>
    <row r="741" spans="1:3">
      <c r="A741" s="432" t="s">
        <v>1129</v>
      </c>
      <c r="B741" s="432" t="str">
        <f t="shared" si="11"/>
        <v>-</v>
      </c>
      <c r="C741" s="435" t="str">
        <f>IF('合并利润表 '!I24=0,"-",TEXT('合并利润表 '!I24,"#,##0.00"))</f>
        <v>-</v>
      </c>
    </row>
    <row r="742" spans="1:3">
      <c r="A742" s="432" t="s">
        <v>1130</v>
      </c>
      <c r="B742" s="432" t="str">
        <f t="shared" si="11"/>
        <v>-</v>
      </c>
      <c r="C742" s="435" t="str">
        <f>IF('合并利润表 '!I25=0,"-",TEXT('合并利润表 '!I25,"#,##0.00"))</f>
        <v>-</v>
      </c>
    </row>
    <row r="743" spans="1:3">
      <c r="A743" s="432" t="s">
        <v>1131</v>
      </c>
      <c r="B743" s="432" t="str">
        <f t="shared" si="11"/>
        <v>-</v>
      </c>
      <c r="C743" s="435" t="str">
        <f>IF('合并利润表 '!I26=0,"-",TEXT('合并利润表 '!I26,"#,##0.00"))</f>
        <v>-</v>
      </c>
    </row>
    <row r="744" spans="1:3">
      <c r="A744" s="432" t="s">
        <v>1132</v>
      </c>
      <c r="B744" s="432" t="str">
        <f t="shared" si="11"/>
        <v>-</v>
      </c>
      <c r="C744" s="435" t="str">
        <f>IF('合并利润表 '!I28=0,"-",TEXT('合并利润表 '!I28,"#,##0.00"))</f>
        <v>-</v>
      </c>
    </row>
    <row r="745" spans="1:3">
      <c r="A745" s="432" t="s">
        <v>1133</v>
      </c>
      <c r="B745" s="432" t="str">
        <f t="shared" si="11"/>
        <v>-</v>
      </c>
      <c r="C745" s="435" t="str">
        <f>IF('合并利润表 '!I29=0,"-",TEXT('合并利润表 '!I29,"#,##0.00"))</f>
        <v>-</v>
      </c>
    </row>
    <row r="746" spans="1:3">
      <c r="A746" s="432" t="s">
        <v>1134</v>
      </c>
      <c r="B746" s="432" t="str">
        <f t="shared" si="11"/>
        <v>-</v>
      </c>
      <c r="C746" s="435" t="str">
        <f>IF('合并利润表 '!I31=0,"-",TEXT('合并利润表 '!I31,"#,##0.00"))</f>
        <v>-</v>
      </c>
    </row>
    <row r="747" spans="1:3">
      <c r="A747" s="432" t="s">
        <v>1135</v>
      </c>
      <c r="B747" s="432" t="str">
        <f t="shared" si="11"/>
        <v>-</v>
      </c>
      <c r="C747" s="435" t="str">
        <f>IF('合并利润表 '!I32=0,"-",TEXT('合并利润表 '!I32,"#,##0.00"))</f>
        <v>-</v>
      </c>
    </row>
    <row r="748" spans="1:3">
      <c r="A748" s="432" t="s">
        <v>1136</v>
      </c>
      <c r="B748" s="432" t="str">
        <f t="shared" si="11"/>
        <v>-</v>
      </c>
      <c r="C748" s="435" t="str">
        <f>IF('合并利润表 '!I33=0,"-",TEXT('合并利润表 '!I33,"#,##0.00"))</f>
        <v>-</v>
      </c>
    </row>
    <row r="749" spans="1:3">
      <c r="A749" s="432" t="s">
        <v>1137</v>
      </c>
      <c r="B749" s="432" t="str">
        <f t="shared" si="11"/>
        <v>-</v>
      </c>
      <c r="C749" s="435" t="str">
        <f>IF('合并利润表 '!I34=0,"-",TEXT('合并利润表 '!I34,"#,##0.00"))</f>
        <v>-</v>
      </c>
    </row>
    <row r="750" spans="1:3">
      <c r="A750" s="432" t="s">
        <v>1138</v>
      </c>
      <c r="B750" s="432" t="str">
        <f t="shared" si="11"/>
        <v>-</v>
      </c>
      <c r="C750" s="435" t="str">
        <f>IF('合并利润表 '!I35=0,"-",TEXT('合并利润表 '!I35,"#,##0.00"))</f>
        <v>-</v>
      </c>
    </row>
    <row r="751" spans="1:3">
      <c r="A751" s="432" t="s">
        <v>1139</v>
      </c>
      <c r="B751" s="432" t="str">
        <f t="shared" si="11"/>
        <v>-</v>
      </c>
      <c r="C751" s="435" t="str">
        <f>IF('合并利润表 '!I36=0,"-",TEXT('合并利润表 '!I36,"#,##0.00"))</f>
        <v>-</v>
      </c>
    </row>
    <row r="752" spans="1:3">
      <c r="A752" s="432" t="s">
        <v>1140</v>
      </c>
      <c r="B752" s="432" t="str">
        <f t="shared" si="11"/>
        <v>-</v>
      </c>
      <c r="C752" s="435" t="str">
        <f>IF('合并利润表 '!I37=0,"-",TEXT('合并利润表 '!I37,"#,##0.00"))</f>
        <v>-</v>
      </c>
    </row>
    <row r="753" spans="1:5">
      <c r="A753" s="432" t="s">
        <v>1141</v>
      </c>
      <c r="B753" s="432" t="str">
        <f t="shared" si="11"/>
        <v>-</v>
      </c>
      <c r="C753" s="435" t="str">
        <f>IF('合并利润表 '!I38=0,"-",TEXT('合并利润表 '!I38,"#,##0.00"))</f>
        <v>-</v>
      </c>
    </row>
    <row r="754" spans="1:5">
      <c r="A754" s="432" t="s">
        <v>1142</v>
      </c>
      <c r="B754" s="432" t="str">
        <f t="shared" si="11"/>
        <v>-</v>
      </c>
      <c r="C754" s="435" t="str">
        <f>IF('合并利润表 '!I39=0,"-",TEXT('合并利润表 '!I39,"#,##0.00"))</f>
        <v>-</v>
      </c>
    </row>
    <row r="755" spans="1:5">
      <c r="A755" s="432" t="s">
        <v>1143</v>
      </c>
      <c r="B755" s="432" t="str">
        <f t="shared" si="11"/>
        <v>-</v>
      </c>
      <c r="C755" s="435" t="str">
        <f>IF('合并利润表 '!I40=0,"-",TEXT('合并利润表 '!I40,"#,##0.00"))</f>
        <v>-</v>
      </c>
    </row>
    <row r="756" spans="1:5">
      <c r="A756" s="432" t="s">
        <v>1144</v>
      </c>
      <c r="B756" s="432" t="str">
        <f t="shared" si="11"/>
        <v>-</v>
      </c>
      <c r="C756" s="435" t="str">
        <f>IF('合并利润表 '!I41=0,"-",TEXT('合并利润表 '!I41,"#,##0.00"))</f>
        <v>-</v>
      </c>
    </row>
    <row r="757" spans="1:5">
      <c r="A757" s="432" t="s">
        <v>1145</v>
      </c>
      <c r="B757" s="432" t="str">
        <f t="shared" si="11"/>
        <v>-</v>
      </c>
      <c r="C757" s="435" t="str">
        <f>IF('合并利润表 '!I42=0,"-",TEXT('合并利润表 '!I42,"#,##0.00"))</f>
        <v>-</v>
      </c>
    </row>
    <row r="758" spans="1:5">
      <c r="A758" s="432" t="s">
        <v>1146</v>
      </c>
      <c r="B758" s="432" t="str">
        <f t="shared" si="11"/>
        <v>-</v>
      </c>
      <c r="C758" s="435" t="str">
        <f>IF('合并利润表 '!I43=0,"-",TEXT('合并利润表 '!I43,"#,##0.00"))</f>
        <v>-</v>
      </c>
    </row>
    <row r="759" spans="1:5">
      <c r="A759" s="432" t="s">
        <v>1147</v>
      </c>
      <c r="B759" s="432" t="str">
        <f t="shared" si="11"/>
        <v>-</v>
      </c>
      <c r="C759" s="435" t="str">
        <f>IF('合并利润表 '!I44=0,"-",TEXT('合并利润表 '!I44,"#,##0.00"))</f>
        <v>-</v>
      </c>
    </row>
    <row r="760" spans="1:5">
      <c r="A760" s="432" t="s">
        <v>1148</v>
      </c>
      <c r="B760" s="432" t="str">
        <f t="shared" si="11"/>
        <v>-</v>
      </c>
      <c r="C760" s="435" t="str">
        <f>IF('合并利润表 '!I45=0,"-",TEXT('合并利润表 '!I45,"#,##0.00"))</f>
        <v>-</v>
      </c>
    </row>
    <row r="761" spans="1:5">
      <c r="A761" s="432" t="s">
        <v>1149</v>
      </c>
      <c r="B761" s="432" t="str">
        <f t="shared" si="11"/>
        <v>-</v>
      </c>
      <c r="C761" s="435" t="str">
        <f>IF('合并利润表 '!I46=0,"-",TEXT('合并利润表 '!I46,"#,##0.00"))</f>
        <v>-</v>
      </c>
    </row>
    <row r="762" spans="1:5">
      <c r="A762" s="432" t="s">
        <v>1150</v>
      </c>
      <c r="B762" s="432" t="str">
        <f t="shared" si="11"/>
        <v>-</v>
      </c>
      <c r="C762" s="435" t="str">
        <f>IF('合并利润表 '!I47=0,"-",TEXT('合并利润表 '!I47,"#,##0.00"))</f>
        <v>-</v>
      </c>
    </row>
    <row r="763" spans="1:5">
      <c r="A763" s="432" t="s">
        <v>1151</v>
      </c>
      <c r="B763" s="432" t="str">
        <f t="shared" si="11"/>
        <v>-</v>
      </c>
      <c r="C763" s="435" t="str">
        <f>IF('合并利润表 '!I48=0,"-",TEXT('合并利润表 '!I48,"#,##0.00"))</f>
        <v>-</v>
      </c>
    </row>
    <row r="764" spans="1:5">
      <c r="A764" s="432" t="s">
        <v>4100</v>
      </c>
      <c r="B764" s="432" t="str">
        <f t="shared" si="11"/>
        <v>-</v>
      </c>
      <c r="C764" s="435" t="str">
        <f>IF('合并利润表 '!F6=0,"-",TEXT('合并利润表 '!F6,"#,##0.00"))</f>
        <v>-</v>
      </c>
    </row>
    <row r="765" spans="1:5">
      <c r="A765" s="432" t="s">
        <v>4101</v>
      </c>
      <c r="B765" s="432" t="str">
        <f t="shared" si="11"/>
        <v>-</v>
      </c>
      <c r="C765" s="435" t="str">
        <f>IF('合并利润表 '!G6=0,"-",TEXT('合并利润表 '!G6,"#,##0.00"))</f>
        <v>-</v>
      </c>
    </row>
    <row r="766" spans="1:5">
      <c r="A766" s="432" t="s">
        <v>4103</v>
      </c>
      <c r="B766" s="432" t="str">
        <f t="shared" si="11"/>
        <v>-</v>
      </c>
      <c r="C766" s="435" t="str">
        <f>IF('合并利润表 '!H6=0,"-",TEXT('合并利润表 '!H6,"#,##0.00"))</f>
        <v>-</v>
      </c>
    </row>
    <row r="767" spans="1:5">
      <c r="A767" s="432" t="s">
        <v>4104</v>
      </c>
      <c r="B767" s="432" t="str">
        <f t="shared" si="11"/>
        <v>-</v>
      </c>
      <c r="C767" s="435" t="str">
        <f>IF('合并利润表 '!I6=0,"-",TEXT('合并利润表 '!I6,"#,##0.00"))</f>
        <v>-</v>
      </c>
    </row>
    <row r="768" spans="1:5">
      <c r="A768" s="432" t="s">
        <v>1341</v>
      </c>
      <c r="B768" s="432" t="str">
        <f t="shared" si="11"/>
        <v>-</v>
      </c>
      <c r="C768" s="435" t="str">
        <f>IF('母公司利润表 '!F4=0,"-",TEXT('母公司利润表 '!F4,"#,##0.00"))</f>
        <v>-</v>
      </c>
      <c r="E768" s="436" t="s">
        <v>2285</v>
      </c>
    </row>
    <row r="769" spans="1:3">
      <c r="A769" s="432" t="s">
        <v>1342</v>
      </c>
      <c r="B769" s="432" t="str">
        <f t="shared" si="11"/>
        <v>-</v>
      </c>
      <c r="C769" s="435" t="str">
        <f>IF('母公司利润表 '!F5=0,"-",TEXT('母公司利润表 '!F5,"#,##0.00"))</f>
        <v>-</v>
      </c>
    </row>
    <row r="770" spans="1:3">
      <c r="A770" s="432" t="s">
        <v>1343</v>
      </c>
      <c r="B770" s="432" t="str">
        <f t="shared" si="11"/>
        <v>-</v>
      </c>
      <c r="C770" s="435" t="str">
        <f>IF('母公司利润表 '!F6=0,"-",TEXT('母公司利润表 '!F6,"#,##0.00"))</f>
        <v>-</v>
      </c>
    </row>
    <row r="771" spans="1:3">
      <c r="A771" s="432" t="s">
        <v>1344</v>
      </c>
      <c r="B771" s="432" t="str">
        <f t="shared" si="11"/>
        <v>-</v>
      </c>
      <c r="C771" s="435" t="str">
        <f>IF('母公司利润表 '!F7=0,"-",TEXT('母公司利润表 '!F7,"#,##0.00"))</f>
        <v>-</v>
      </c>
    </row>
    <row r="772" spans="1:3">
      <c r="A772" s="432" t="s">
        <v>1345</v>
      </c>
      <c r="B772" s="432" t="str">
        <f t="shared" si="11"/>
        <v>-</v>
      </c>
      <c r="C772" s="435" t="str">
        <f>IF('母公司利润表 '!F8=0,"-",TEXT('母公司利润表 '!F8,"#,##0.00"))</f>
        <v>-</v>
      </c>
    </row>
    <row r="773" spans="1:3">
      <c r="A773" s="432" t="s">
        <v>1346</v>
      </c>
      <c r="B773" s="432" t="str">
        <f t="shared" si="11"/>
        <v>-</v>
      </c>
      <c r="C773" s="435" t="str">
        <f>IF('母公司利润表 '!F9=0,"-",TEXT('母公司利润表 '!F9,"#,##0.00"))</f>
        <v>-</v>
      </c>
    </row>
    <row r="774" spans="1:3">
      <c r="A774" s="432" t="s">
        <v>1347</v>
      </c>
      <c r="B774" s="432" t="str">
        <f t="shared" si="11"/>
        <v>-</v>
      </c>
      <c r="C774" s="435" t="str">
        <f>IF('母公司利润表 '!F10=0,"-",TEXT('母公司利润表 '!F10,"#,##0.00"))</f>
        <v>-</v>
      </c>
    </row>
    <row r="775" spans="1:3">
      <c r="A775" s="432" t="s">
        <v>1348</v>
      </c>
      <c r="B775" s="432" t="str">
        <f t="shared" si="11"/>
        <v>-</v>
      </c>
      <c r="C775" s="435" t="str">
        <f>IF('母公司利润表 '!F11=0,"-",TEXT('母公司利润表 '!F11,"#,##0.00"))</f>
        <v>-</v>
      </c>
    </row>
    <row r="776" spans="1:3">
      <c r="A776" s="432" t="s">
        <v>1349</v>
      </c>
      <c r="B776" s="432" t="str">
        <f t="shared" ref="B776:B839" si="12">TRIM(C776)</f>
        <v>-</v>
      </c>
      <c r="C776" s="435" t="str">
        <f>IF('母公司利润表 '!F12=0,"-",TEXT('母公司利润表 '!F12,"#,##0.00"))</f>
        <v>-</v>
      </c>
    </row>
    <row r="777" spans="1:3">
      <c r="A777" s="432" t="s">
        <v>1350</v>
      </c>
      <c r="B777" s="432" t="str">
        <f t="shared" si="12"/>
        <v>-</v>
      </c>
      <c r="C777" s="435" t="str">
        <f>IF('母公司利润表 '!F13=0,"-",TEXT('母公司利润表 '!F13,"#,##0.00"))</f>
        <v>-</v>
      </c>
    </row>
    <row r="778" spans="1:3">
      <c r="A778" s="432" t="s">
        <v>1351</v>
      </c>
      <c r="B778" s="432" t="str">
        <f t="shared" si="12"/>
        <v>-</v>
      </c>
      <c r="C778" s="435" t="str">
        <f>IF('母公司利润表 '!F14=0,"-",TEXT('母公司利润表 '!F14,"#,##0.00"))</f>
        <v>-</v>
      </c>
    </row>
    <row r="779" spans="1:3">
      <c r="A779" s="432" t="s">
        <v>1352</v>
      </c>
      <c r="B779" s="432" t="str">
        <f t="shared" si="12"/>
        <v>-</v>
      </c>
      <c r="C779" s="435" t="str">
        <f>IF('母公司利润表 '!F15=0,"-",TEXT('母公司利润表 '!F15,"#,##0.00"))</f>
        <v>-</v>
      </c>
    </row>
    <row r="780" spans="1:3">
      <c r="A780" s="432" t="s">
        <v>1353</v>
      </c>
      <c r="B780" s="432" t="str">
        <f t="shared" si="12"/>
        <v>-</v>
      </c>
      <c r="C780" s="435" t="str">
        <f>IF('母公司利润表 '!F16=0,"-",TEXT('母公司利润表 '!F16,"#,##0.00"))</f>
        <v>-</v>
      </c>
    </row>
    <row r="781" spans="1:3">
      <c r="A781" s="432" t="s">
        <v>1354</v>
      </c>
      <c r="B781" s="432" t="str">
        <f t="shared" si="12"/>
        <v>-</v>
      </c>
      <c r="C781" s="435" t="str">
        <f>IF('母公司利润表 '!F17=0,"-",TEXT('母公司利润表 '!F17,"#,##0.00"))</f>
        <v>-</v>
      </c>
    </row>
    <row r="782" spans="1:3">
      <c r="A782" s="432" t="s">
        <v>1355</v>
      </c>
      <c r="B782" s="432" t="str">
        <f t="shared" si="12"/>
        <v>-</v>
      </c>
      <c r="C782" s="435" t="str">
        <f>IF('母公司利润表 '!F18=0,"-",TEXT('母公司利润表 '!F18,"#,##0.00"))</f>
        <v>-</v>
      </c>
    </row>
    <row r="783" spans="1:3">
      <c r="A783" s="432" t="s">
        <v>1356</v>
      </c>
      <c r="B783" s="432" t="str">
        <f t="shared" si="12"/>
        <v>-</v>
      </c>
      <c r="C783" s="435" t="str">
        <f>IF('母公司利润表 '!F19=0,"-",TEXT('母公司利润表 '!F19,"#,##0.00"))</f>
        <v>-</v>
      </c>
    </row>
    <row r="784" spans="1:3">
      <c r="A784" s="432" t="s">
        <v>1357</v>
      </c>
      <c r="B784" s="432" t="str">
        <f t="shared" si="12"/>
        <v>-</v>
      </c>
      <c r="C784" s="435" t="str">
        <f>IF('母公司利润表 '!F20=0,"-",TEXT('母公司利润表 '!F20,"#,##0.00"))</f>
        <v>-</v>
      </c>
    </row>
    <row r="785" spans="1:3">
      <c r="A785" s="432" t="s">
        <v>1358</v>
      </c>
      <c r="B785" s="432" t="str">
        <f t="shared" si="12"/>
        <v>-</v>
      </c>
      <c r="C785" s="435" t="str">
        <f>IF('母公司利润表 '!F21=0,"-",TEXT('母公司利润表 '!F21,"#,##0.00"))</f>
        <v>-</v>
      </c>
    </row>
    <row r="786" spans="1:3">
      <c r="A786" s="432" t="s">
        <v>1359</v>
      </c>
      <c r="B786" s="432" t="str">
        <f t="shared" si="12"/>
        <v>-</v>
      </c>
      <c r="C786" s="435" t="str">
        <f>IF('母公司利润表 '!F22=0,"-",TEXT('母公司利润表 '!F22,"#,##0.00"))</f>
        <v>-</v>
      </c>
    </row>
    <row r="787" spans="1:3">
      <c r="A787" s="432" t="s">
        <v>1360</v>
      </c>
      <c r="B787" s="432" t="str">
        <f t="shared" si="12"/>
        <v>-</v>
      </c>
      <c r="C787" s="435" t="str">
        <f>IF('母公司利润表 '!F23=0,"-",TEXT('母公司利润表 '!F23,"#,##0.00"))</f>
        <v>-</v>
      </c>
    </row>
    <row r="788" spans="1:3">
      <c r="A788" s="432" t="s">
        <v>1361</v>
      </c>
      <c r="B788" s="432" t="str">
        <f t="shared" si="12"/>
        <v>-</v>
      </c>
      <c r="C788" s="435" t="str">
        <f>IF('母公司利润表 '!F24=0,"-",TEXT('母公司利润表 '!F24,"#,##0.00"))</f>
        <v>-</v>
      </c>
    </row>
    <row r="789" spans="1:3">
      <c r="A789" s="432" t="s">
        <v>2270</v>
      </c>
      <c r="B789" s="432" t="str">
        <f t="shared" si="12"/>
        <v>-</v>
      </c>
      <c r="C789" s="435" t="str">
        <f>IF('母公司利润表 '!F25=0,"-",TEXT('母公司利润表 '!F25,"#,##0.00"))</f>
        <v>-</v>
      </c>
    </row>
    <row r="790" spans="1:3">
      <c r="A790" s="432" t="s">
        <v>1362</v>
      </c>
      <c r="B790" s="432" t="str">
        <f t="shared" si="12"/>
        <v>-</v>
      </c>
      <c r="C790" s="435" t="str">
        <f>IF('母公司利润表 '!F26=0,"-",TEXT('母公司利润表 '!F26,"#,##0.00"))</f>
        <v>-</v>
      </c>
    </row>
    <row r="791" spans="1:3">
      <c r="A791" s="432" t="s">
        <v>2271</v>
      </c>
      <c r="B791" s="432" t="str">
        <f t="shared" si="12"/>
        <v>-</v>
      </c>
      <c r="C791" s="435" t="str">
        <f>IF('母公司利润表 '!F27=0,"-",TEXT('母公司利润表 '!F27,"#,##0.00"))</f>
        <v>-</v>
      </c>
    </row>
    <row r="792" spans="1:3">
      <c r="A792" s="432" t="s">
        <v>1363</v>
      </c>
      <c r="B792" s="432" t="str">
        <f t="shared" si="12"/>
        <v>-</v>
      </c>
      <c r="C792" s="435" t="str">
        <f>IF('母公司利润表 '!F28=0,"-",TEXT('母公司利润表 '!F28,"#,##0.00"))</f>
        <v>-</v>
      </c>
    </row>
    <row r="793" spans="1:3">
      <c r="A793" s="432" t="s">
        <v>2272</v>
      </c>
      <c r="B793" s="432" t="str">
        <f t="shared" si="12"/>
        <v>-</v>
      </c>
      <c r="C793" s="435" t="str">
        <f>IF('母公司利润表 '!F29=0,"-",TEXT('母公司利润表 '!F29,"#,##0.00"))</f>
        <v>-</v>
      </c>
    </row>
    <row r="794" spans="1:3">
      <c r="A794" s="432" t="s">
        <v>1364</v>
      </c>
      <c r="B794" s="432" t="str">
        <f t="shared" si="12"/>
        <v>-</v>
      </c>
      <c r="C794" s="435" t="str">
        <f>IF('母公司利润表 '!F30=0,"-",TEXT('母公司利润表 '!F30,"#,##0.00"))</f>
        <v>-</v>
      </c>
    </row>
    <row r="795" spans="1:3">
      <c r="A795" s="432" t="s">
        <v>1365</v>
      </c>
      <c r="B795" s="432" t="str">
        <f t="shared" si="12"/>
        <v>-</v>
      </c>
      <c r="C795" s="435" t="str">
        <f>IF('母公司利润表 '!F31=0,"-",TEXT('母公司利润表 '!F31,"#,##0.00"))</f>
        <v>-</v>
      </c>
    </row>
    <row r="796" spans="1:3">
      <c r="A796" s="432" t="s">
        <v>1366</v>
      </c>
      <c r="B796" s="432" t="str">
        <f t="shared" si="12"/>
        <v>-</v>
      </c>
      <c r="C796" s="435" t="str">
        <f>IF('母公司利润表 '!F32=0,"-",TEXT('母公司利润表 '!F32,"#,##0.00"))</f>
        <v>-</v>
      </c>
    </row>
    <row r="797" spans="1:3">
      <c r="A797" s="432" t="s">
        <v>1367</v>
      </c>
      <c r="B797" s="432" t="str">
        <f t="shared" si="12"/>
        <v>-</v>
      </c>
      <c r="C797" s="435" t="str">
        <f>IF('母公司利润表 '!F33=0,"-",TEXT('母公司利润表 '!F33,"#,##0.00"))</f>
        <v>-</v>
      </c>
    </row>
    <row r="798" spans="1:3">
      <c r="A798" s="432" t="s">
        <v>1368</v>
      </c>
      <c r="B798" s="432" t="str">
        <f t="shared" si="12"/>
        <v>-</v>
      </c>
      <c r="C798" s="435" t="str">
        <f>IF('母公司利润表 '!F34=0,"-",TEXT('母公司利润表 '!F34,"#,##0.00"))</f>
        <v>-</v>
      </c>
    </row>
    <row r="799" spans="1:3">
      <c r="A799" s="432" t="s">
        <v>1369</v>
      </c>
      <c r="B799" s="432" t="str">
        <f t="shared" si="12"/>
        <v>-</v>
      </c>
      <c r="C799" s="435" t="str">
        <f>IF('母公司利润表 '!F35=0,"-",TEXT('母公司利润表 '!F35,"#,##0.00"))</f>
        <v>-</v>
      </c>
    </row>
    <row r="800" spans="1:3">
      <c r="A800" s="432" t="s">
        <v>1370</v>
      </c>
      <c r="B800" s="432" t="str">
        <f t="shared" si="12"/>
        <v>-</v>
      </c>
      <c r="C800" s="435" t="str">
        <f>IF('母公司利润表 '!F36=0,"-",TEXT('母公司利润表 '!F36,"#,##0.00"))</f>
        <v>-</v>
      </c>
    </row>
    <row r="801" spans="1:3">
      <c r="A801" s="432" t="s">
        <v>1371</v>
      </c>
      <c r="B801" s="432" t="str">
        <f t="shared" si="12"/>
        <v>-</v>
      </c>
      <c r="C801" s="435" t="str">
        <f>IF('母公司利润表 '!F37=0,"-",TEXT('母公司利润表 '!F37,"#,##0.00"))</f>
        <v>-</v>
      </c>
    </row>
    <row r="802" spans="1:3">
      <c r="A802" s="432" t="s">
        <v>1372</v>
      </c>
      <c r="B802" s="432" t="str">
        <f t="shared" si="12"/>
        <v>-</v>
      </c>
      <c r="C802" s="435" t="str">
        <f>IF('母公司利润表 '!F38=0,"-",TEXT('母公司利润表 '!F38,"#,##0.00"))</f>
        <v>-</v>
      </c>
    </row>
    <row r="803" spans="1:3">
      <c r="A803" s="432" t="s">
        <v>1373</v>
      </c>
      <c r="B803" s="432" t="str">
        <f t="shared" si="12"/>
        <v>-</v>
      </c>
      <c r="C803" s="435" t="str">
        <f>IF('母公司利润表 '!G4=0,"-",TEXT('母公司利润表 '!G4,"#,##0.00"))</f>
        <v>-</v>
      </c>
    </row>
    <row r="804" spans="1:3">
      <c r="A804" s="432" t="s">
        <v>1374</v>
      </c>
      <c r="B804" s="432" t="str">
        <f t="shared" si="12"/>
        <v>-</v>
      </c>
      <c r="C804" s="435" t="str">
        <f>IF('母公司利润表 '!G5=0,"-",TEXT('母公司利润表 '!G5,"#,##0.00"))</f>
        <v>-</v>
      </c>
    </row>
    <row r="805" spans="1:3">
      <c r="A805" s="432" t="s">
        <v>1375</v>
      </c>
      <c r="B805" s="432" t="str">
        <f t="shared" si="12"/>
        <v>-</v>
      </c>
      <c r="C805" s="435" t="str">
        <f>IF('母公司利润表 '!G6=0,"-",TEXT('母公司利润表 '!G6,"#,##0.00"))</f>
        <v>-</v>
      </c>
    </row>
    <row r="806" spans="1:3">
      <c r="A806" s="432" t="s">
        <v>1376</v>
      </c>
      <c r="B806" s="432" t="str">
        <f t="shared" si="12"/>
        <v>-</v>
      </c>
      <c r="C806" s="435" t="str">
        <f>IF('母公司利润表 '!G7=0,"-",TEXT('母公司利润表 '!G7,"#,##0.00"))</f>
        <v>-</v>
      </c>
    </row>
    <row r="807" spans="1:3">
      <c r="A807" s="432" t="s">
        <v>1377</v>
      </c>
      <c r="B807" s="432" t="str">
        <f t="shared" si="12"/>
        <v>-</v>
      </c>
      <c r="C807" s="435" t="str">
        <f>IF('母公司利润表 '!G8=0,"-",TEXT('母公司利润表 '!G8,"#,##0.00"))</f>
        <v>-</v>
      </c>
    </row>
    <row r="808" spans="1:3">
      <c r="A808" s="432" t="s">
        <v>1378</v>
      </c>
      <c r="B808" s="432" t="str">
        <f t="shared" si="12"/>
        <v>-</v>
      </c>
      <c r="C808" s="435" t="str">
        <f>IF('母公司利润表 '!G9=0,"-",TEXT('母公司利润表 '!G9,"#,##0.00"))</f>
        <v>-</v>
      </c>
    </row>
    <row r="809" spans="1:3">
      <c r="A809" s="432" t="s">
        <v>1379</v>
      </c>
      <c r="B809" s="432" t="str">
        <f t="shared" si="12"/>
        <v>-</v>
      </c>
      <c r="C809" s="435" t="str">
        <f>IF('母公司利润表 '!G10=0,"-",TEXT('母公司利润表 '!G10,"#,##0.00"))</f>
        <v>-</v>
      </c>
    </row>
    <row r="810" spans="1:3">
      <c r="A810" s="432" t="s">
        <v>1380</v>
      </c>
      <c r="B810" s="432" t="str">
        <f t="shared" si="12"/>
        <v>-</v>
      </c>
      <c r="C810" s="435" t="str">
        <f>IF('母公司利润表 '!G11=0,"-",TEXT('母公司利润表 '!G11,"#,##0.00"))</f>
        <v>-</v>
      </c>
    </row>
    <row r="811" spans="1:3">
      <c r="A811" s="432" t="s">
        <v>1381</v>
      </c>
      <c r="B811" s="432" t="str">
        <f t="shared" si="12"/>
        <v>-</v>
      </c>
      <c r="C811" s="435" t="str">
        <f>IF('母公司利润表 '!G12=0,"-",TEXT('母公司利润表 '!G12,"#,##0.00"))</f>
        <v>-</v>
      </c>
    </row>
    <row r="812" spans="1:3">
      <c r="A812" s="432" t="s">
        <v>1382</v>
      </c>
      <c r="B812" s="432" t="str">
        <f t="shared" si="12"/>
        <v>-</v>
      </c>
      <c r="C812" s="435" t="str">
        <f>IF('母公司利润表 '!G13=0,"-",TEXT('母公司利润表 '!G13,"#,##0.00"))</f>
        <v>-</v>
      </c>
    </row>
    <row r="813" spans="1:3">
      <c r="A813" s="432" t="s">
        <v>1383</v>
      </c>
      <c r="B813" s="432" t="str">
        <f t="shared" si="12"/>
        <v>-</v>
      </c>
      <c r="C813" s="435" t="str">
        <f>IF('母公司利润表 '!G14=0,"-",TEXT('母公司利润表 '!G14,"#,##0.00"))</f>
        <v>-</v>
      </c>
    </row>
    <row r="814" spans="1:3">
      <c r="A814" s="432" t="s">
        <v>1384</v>
      </c>
      <c r="B814" s="432" t="str">
        <f t="shared" si="12"/>
        <v>-</v>
      </c>
      <c r="C814" s="435" t="str">
        <f>IF('母公司利润表 '!G15=0,"-",TEXT('母公司利润表 '!G15,"#,##0.00"))</f>
        <v>-</v>
      </c>
    </row>
    <row r="815" spans="1:3">
      <c r="A815" s="432" t="s">
        <v>1385</v>
      </c>
      <c r="B815" s="432" t="str">
        <f t="shared" si="12"/>
        <v>-</v>
      </c>
      <c r="C815" s="435" t="str">
        <f>IF('母公司利润表 '!G16=0,"-",TEXT('母公司利润表 '!G16,"#,##0.00"))</f>
        <v>-</v>
      </c>
    </row>
    <row r="816" spans="1:3">
      <c r="A816" s="432" t="s">
        <v>1386</v>
      </c>
      <c r="B816" s="432" t="str">
        <f t="shared" si="12"/>
        <v>-</v>
      </c>
      <c r="C816" s="435" t="str">
        <f>IF('母公司利润表 '!G17=0,"-",TEXT('母公司利润表 '!G17,"#,##0.00"))</f>
        <v>-</v>
      </c>
    </row>
    <row r="817" spans="1:3">
      <c r="A817" s="432" t="s">
        <v>1387</v>
      </c>
      <c r="B817" s="432" t="str">
        <f t="shared" si="12"/>
        <v>-</v>
      </c>
      <c r="C817" s="435" t="str">
        <f>IF('母公司利润表 '!G18=0,"-",TEXT('母公司利润表 '!G18,"#,##0.00"))</f>
        <v>-</v>
      </c>
    </row>
    <row r="818" spans="1:3">
      <c r="A818" s="432" t="s">
        <v>1388</v>
      </c>
      <c r="B818" s="432" t="str">
        <f t="shared" si="12"/>
        <v>-</v>
      </c>
      <c r="C818" s="435" t="str">
        <f>IF('母公司利润表 '!G19=0,"-",TEXT('母公司利润表 '!G19,"#,##0.00"))</f>
        <v>-</v>
      </c>
    </row>
    <row r="819" spans="1:3">
      <c r="A819" s="432" t="s">
        <v>1389</v>
      </c>
      <c r="B819" s="432" t="str">
        <f t="shared" si="12"/>
        <v>-</v>
      </c>
      <c r="C819" s="435" t="str">
        <f>IF('母公司利润表 '!G20=0,"-",TEXT('母公司利润表 '!G20,"#,##0.00"))</f>
        <v>-</v>
      </c>
    </row>
    <row r="820" spans="1:3">
      <c r="A820" s="432" t="s">
        <v>1390</v>
      </c>
      <c r="B820" s="432" t="str">
        <f t="shared" si="12"/>
        <v>-</v>
      </c>
      <c r="C820" s="435" t="str">
        <f>IF('母公司利润表 '!G21=0,"-",TEXT('母公司利润表 '!G21,"#,##0.00"))</f>
        <v>-</v>
      </c>
    </row>
    <row r="821" spans="1:3">
      <c r="A821" s="432" t="s">
        <v>1391</v>
      </c>
      <c r="B821" s="432" t="str">
        <f t="shared" si="12"/>
        <v>-</v>
      </c>
      <c r="C821" s="435" t="str">
        <f>IF('母公司利润表 '!G22=0,"-",TEXT('母公司利润表 '!G22,"#,##0.00"))</f>
        <v>-</v>
      </c>
    </row>
    <row r="822" spans="1:3">
      <c r="A822" s="432" t="s">
        <v>1392</v>
      </c>
      <c r="B822" s="432" t="str">
        <f t="shared" si="12"/>
        <v>-</v>
      </c>
      <c r="C822" s="435" t="str">
        <f>IF('母公司利润表 '!G23=0,"-",TEXT('母公司利润表 '!G23,"#,##0.00"))</f>
        <v>-</v>
      </c>
    </row>
    <row r="823" spans="1:3">
      <c r="A823" s="432" t="s">
        <v>1393</v>
      </c>
      <c r="B823" s="432" t="str">
        <f t="shared" si="12"/>
        <v>-</v>
      </c>
      <c r="C823" s="435" t="str">
        <f>IF('母公司利润表 '!G24=0,"-",TEXT('母公司利润表 '!G24,"#,##0.00"))</f>
        <v>-</v>
      </c>
    </row>
    <row r="824" spans="1:3">
      <c r="A824" s="432" t="s">
        <v>2274</v>
      </c>
      <c r="B824" s="432" t="str">
        <f t="shared" si="12"/>
        <v>-</v>
      </c>
      <c r="C824" s="435" t="str">
        <f>IF('母公司利润表 '!G25=0,"-",TEXT('母公司利润表 '!G25,"#,##0.00"))</f>
        <v>-</v>
      </c>
    </row>
    <row r="825" spans="1:3">
      <c r="A825" s="432" t="s">
        <v>1394</v>
      </c>
      <c r="B825" s="432" t="str">
        <f t="shared" si="12"/>
        <v>-</v>
      </c>
      <c r="C825" s="435" t="str">
        <f>IF('母公司利润表 '!G26=0,"-",TEXT('母公司利润表 '!G26,"#,##0.00"))</f>
        <v>-</v>
      </c>
    </row>
    <row r="826" spans="1:3">
      <c r="A826" s="432" t="s">
        <v>2275</v>
      </c>
      <c r="B826" s="432" t="str">
        <f t="shared" si="12"/>
        <v>-</v>
      </c>
      <c r="C826" s="435" t="str">
        <f>IF('母公司利润表 '!G27=0,"-",TEXT('母公司利润表 '!G27,"#,##0.00"))</f>
        <v>-</v>
      </c>
    </row>
    <row r="827" spans="1:3">
      <c r="A827" s="432" t="s">
        <v>1395</v>
      </c>
      <c r="B827" s="432" t="str">
        <f t="shared" si="12"/>
        <v>-</v>
      </c>
      <c r="C827" s="435" t="str">
        <f>IF('母公司利润表 '!G28=0,"-",TEXT('母公司利润表 '!G28,"#,##0.00"))</f>
        <v>-</v>
      </c>
    </row>
    <row r="828" spans="1:3">
      <c r="A828" s="432" t="s">
        <v>2276</v>
      </c>
      <c r="B828" s="432" t="str">
        <f t="shared" si="12"/>
        <v>-</v>
      </c>
      <c r="C828" s="435" t="str">
        <f>IF('母公司利润表 '!G29=0,"-",TEXT('母公司利润表 '!G29,"#,##0.00"))</f>
        <v>-</v>
      </c>
    </row>
    <row r="829" spans="1:3">
      <c r="A829" s="432" t="s">
        <v>1396</v>
      </c>
      <c r="B829" s="432" t="str">
        <f t="shared" si="12"/>
        <v>-</v>
      </c>
      <c r="C829" s="435" t="str">
        <f>IF('母公司利润表 '!G30=0,"-",TEXT('母公司利润表 '!G30,"#,##0.00"))</f>
        <v>-</v>
      </c>
    </row>
    <row r="830" spans="1:3">
      <c r="A830" s="432" t="s">
        <v>1397</v>
      </c>
      <c r="B830" s="432" t="str">
        <f t="shared" si="12"/>
        <v>-</v>
      </c>
      <c r="C830" s="435" t="str">
        <f>IF('母公司利润表 '!G31=0,"-",TEXT('母公司利润表 '!G31,"#,##0.00"))</f>
        <v>-</v>
      </c>
    </row>
    <row r="831" spans="1:3">
      <c r="A831" s="432" t="s">
        <v>1398</v>
      </c>
      <c r="B831" s="432" t="str">
        <f t="shared" si="12"/>
        <v>-</v>
      </c>
      <c r="C831" s="435" t="str">
        <f>IF('母公司利润表 '!G32=0,"-",TEXT('母公司利润表 '!G32,"#,##0.00"))</f>
        <v>-</v>
      </c>
    </row>
    <row r="832" spans="1:3">
      <c r="A832" s="432" t="s">
        <v>1399</v>
      </c>
      <c r="B832" s="432" t="str">
        <f t="shared" si="12"/>
        <v>-</v>
      </c>
      <c r="C832" s="435" t="str">
        <f>IF('母公司利润表 '!G33=0,"-",TEXT('母公司利润表 '!G33,"#,##0.00"))</f>
        <v>-</v>
      </c>
    </row>
    <row r="833" spans="1:3">
      <c r="A833" s="432" t="s">
        <v>1400</v>
      </c>
      <c r="B833" s="432" t="str">
        <f t="shared" si="12"/>
        <v>-</v>
      </c>
      <c r="C833" s="435" t="str">
        <f>IF('母公司利润表 '!G34=0,"-",TEXT('母公司利润表 '!G34,"#,##0.00"))</f>
        <v>-</v>
      </c>
    </row>
    <row r="834" spans="1:3">
      <c r="A834" s="432" t="s">
        <v>1401</v>
      </c>
      <c r="B834" s="432" t="str">
        <f t="shared" si="12"/>
        <v>-</v>
      </c>
      <c r="C834" s="435" t="str">
        <f>IF('母公司利润表 '!G35=0,"-",TEXT('母公司利润表 '!G35,"#,##0.00"))</f>
        <v>-</v>
      </c>
    </row>
    <row r="835" spans="1:3">
      <c r="A835" s="432" t="s">
        <v>1402</v>
      </c>
      <c r="B835" s="432" t="str">
        <f t="shared" si="12"/>
        <v>-</v>
      </c>
      <c r="C835" s="435" t="str">
        <f>IF('母公司利润表 '!G36=0,"-",TEXT('母公司利润表 '!G36,"#,##0.00"))</f>
        <v>-</v>
      </c>
    </row>
    <row r="836" spans="1:3">
      <c r="A836" s="432" t="s">
        <v>1403</v>
      </c>
      <c r="B836" s="432" t="str">
        <f t="shared" si="12"/>
        <v>-</v>
      </c>
      <c r="C836" s="435" t="str">
        <f>IF('母公司利润表 '!G37=0,"-",TEXT('母公司利润表 '!G37,"#,##0.00"))</f>
        <v>-</v>
      </c>
    </row>
    <row r="837" spans="1:3">
      <c r="A837" s="432" t="s">
        <v>1404</v>
      </c>
      <c r="B837" s="432" t="str">
        <f t="shared" si="12"/>
        <v>-</v>
      </c>
      <c r="C837" s="435" t="str">
        <f>IF('母公司利润表 '!G38=0,"-",TEXT('母公司利润表 '!G38,"#,##0.00"))</f>
        <v>-</v>
      </c>
    </row>
    <row r="838" spans="1:3">
      <c r="A838" s="432" t="s">
        <v>1405</v>
      </c>
      <c r="B838" s="432" t="str">
        <f t="shared" si="12"/>
        <v>-</v>
      </c>
      <c r="C838" s="435" t="str">
        <f>IF('母公司利润表 '!H4=0,"-",TEXT('母公司利润表 '!H4,"#,##0.00"))</f>
        <v>-</v>
      </c>
    </row>
    <row r="839" spans="1:3">
      <c r="A839" s="432" t="s">
        <v>1406</v>
      </c>
      <c r="B839" s="432" t="str">
        <f t="shared" si="12"/>
        <v>-</v>
      </c>
      <c r="C839" s="435" t="str">
        <f>IF('母公司利润表 '!H5=0,"-",TEXT('母公司利润表 '!H5,"#,##0.00"))</f>
        <v>-</v>
      </c>
    </row>
    <row r="840" spans="1:3">
      <c r="A840" s="432" t="s">
        <v>1407</v>
      </c>
      <c r="B840" s="432" t="str">
        <f t="shared" ref="B840:B903" si="13">TRIM(C840)</f>
        <v>-</v>
      </c>
      <c r="C840" s="435" t="str">
        <f>IF('母公司利润表 '!H6=0,"-",TEXT('母公司利润表 '!H6,"#,##0.00"))</f>
        <v>-</v>
      </c>
    </row>
    <row r="841" spans="1:3">
      <c r="A841" s="432" t="s">
        <v>1408</v>
      </c>
      <c r="B841" s="432" t="str">
        <f t="shared" si="13"/>
        <v>-</v>
      </c>
      <c r="C841" s="435" t="str">
        <f>IF('母公司利润表 '!H7=0,"-",TEXT('母公司利润表 '!H7,"#,##0.00"))</f>
        <v>-</v>
      </c>
    </row>
    <row r="842" spans="1:3">
      <c r="A842" s="432" t="s">
        <v>1409</v>
      </c>
      <c r="B842" s="432" t="str">
        <f t="shared" si="13"/>
        <v>-</v>
      </c>
      <c r="C842" s="435" t="str">
        <f>IF('母公司利润表 '!H8=0,"-",TEXT('母公司利润表 '!H8,"#,##0.00"))</f>
        <v>-</v>
      </c>
    </row>
    <row r="843" spans="1:3">
      <c r="A843" s="432" t="s">
        <v>1410</v>
      </c>
      <c r="B843" s="432" t="str">
        <f t="shared" si="13"/>
        <v>-</v>
      </c>
      <c r="C843" s="435" t="str">
        <f>IF('母公司利润表 '!H9=0,"-",TEXT('母公司利润表 '!H9,"#,##0.00"))</f>
        <v>-</v>
      </c>
    </row>
    <row r="844" spans="1:3">
      <c r="A844" s="432" t="s">
        <v>1411</v>
      </c>
      <c r="B844" s="432" t="str">
        <f t="shared" si="13"/>
        <v>-</v>
      </c>
      <c r="C844" s="435" t="str">
        <f>IF('母公司利润表 '!H10=0,"-",TEXT('母公司利润表 '!H10,"#,##0.00"))</f>
        <v>-</v>
      </c>
    </row>
    <row r="845" spans="1:3">
      <c r="A845" s="432" t="s">
        <v>1412</v>
      </c>
      <c r="B845" s="432" t="str">
        <f t="shared" si="13"/>
        <v>-</v>
      </c>
      <c r="C845" s="435" t="str">
        <f>IF('母公司利润表 '!H11=0,"-",TEXT('母公司利润表 '!H11,"#,##0.00"))</f>
        <v>-</v>
      </c>
    </row>
    <row r="846" spans="1:3">
      <c r="A846" s="432" t="s">
        <v>1413</v>
      </c>
      <c r="B846" s="432" t="str">
        <f t="shared" si="13"/>
        <v>-</v>
      </c>
      <c r="C846" s="435" t="str">
        <f>IF('母公司利润表 '!H12=0,"-",TEXT('母公司利润表 '!H12,"#,##0.00"))</f>
        <v>-</v>
      </c>
    </row>
    <row r="847" spans="1:3">
      <c r="A847" s="432" t="s">
        <v>1414</v>
      </c>
      <c r="B847" s="432" t="str">
        <f t="shared" si="13"/>
        <v>-</v>
      </c>
      <c r="C847" s="435" t="str">
        <f>IF('母公司利润表 '!H13=0,"-",TEXT('母公司利润表 '!H13,"#,##0.00"))</f>
        <v>-</v>
      </c>
    </row>
    <row r="848" spans="1:3">
      <c r="A848" s="432" t="s">
        <v>1415</v>
      </c>
      <c r="B848" s="432" t="str">
        <f t="shared" si="13"/>
        <v>-</v>
      </c>
      <c r="C848" s="435" t="str">
        <f>IF('母公司利润表 '!H14=0,"-",TEXT('母公司利润表 '!H14,"#,##0.00"))</f>
        <v>-</v>
      </c>
    </row>
    <row r="849" spans="1:3">
      <c r="A849" s="432" t="s">
        <v>1416</v>
      </c>
      <c r="B849" s="432" t="str">
        <f t="shared" si="13"/>
        <v>-</v>
      </c>
      <c r="C849" s="435" t="str">
        <f>IF('母公司利润表 '!H15=0,"-",TEXT('母公司利润表 '!H15,"#,##0.00"))</f>
        <v>-</v>
      </c>
    </row>
    <row r="850" spans="1:3">
      <c r="A850" s="432" t="s">
        <v>1417</v>
      </c>
      <c r="B850" s="432" t="str">
        <f t="shared" si="13"/>
        <v>-</v>
      </c>
      <c r="C850" s="435" t="str">
        <f>IF('母公司利润表 '!H16=0,"-",TEXT('母公司利润表 '!H16,"#,##0.00"))</f>
        <v>-</v>
      </c>
    </row>
    <row r="851" spans="1:3">
      <c r="A851" s="432" t="s">
        <v>1418</v>
      </c>
      <c r="B851" s="432" t="str">
        <f t="shared" si="13"/>
        <v>-</v>
      </c>
      <c r="C851" s="435" t="str">
        <f>IF('母公司利润表 '!H17=0,"-",TEXT('母公司利润表 '!H17,"#,##0.00"))</f>
        <v>-</v>
      </c>
    </row>
    <row r="852" spans="1:3">
      <c r="A852" s="432" t="s">
        <v>1419</v>
      </c>
      <c r="B852" s="432" t="str">
        <f t="shared" si="13"/>
        <v>-</v>
      </c>
      <c r="C852" s="435" t="str">
        <f>IF('母公司利润表 '!H18=0,"-",TEXT('母公司利润表 '!H18,"#,##0.00"))</f>
        <v>-</v>
      </c>
    </row>
    <row r="853" spans="1:3">
      <c r="A853" s="432" t="s">
        <v>1420</v>
      </c>
      <c r="B853" s="432" t="str">
        <f t="shared" si="13"/>
        <v>-</v>
      </c>
      <c r="C853" s="435" t="str">
        <f>IF('母公司利润表 '!H19=0,"-",TEXT('母公司利润表 '!H19,"#,##0.00"))</f>
        <v>-</v>
      </c>
    </row>
    <row r="854" spans="1:3">
      <c r="A854" s="432" t="s">
        <v>1421</v>
      </c>
      <c r="B854" s="432" t="str">
        <f t="shared" si="13"/>
        <v>-</v>
      </c>
      <c r="C854" s="435" t="str">
        <f>IF('母公司利润表 '!H20=0,"-",TEXT('母公司利润表 '!H20,"#,##0.00"))</f>
        <v>-</v>
      </c>
    </row>
    <row r="855" spans="1:3">
      <c r="A855" s="432" t="s">
        <v>1422</v>
      </c>
      <c r="B855" s="432" t="str">
        <f t="shared" si="13"/>
        <v>-</v>
      </c>
      <c r="C855" s="435" t="str">
        <f>IF('母公司利润表 '!H21=0,"-",TEXT('母公司利润表 '!H21,"#,##0.00"))</f>
        <v>-</v>
      </c>
    </row>
    <row r="856" spans="1:3">
      <c r="A856" s="432" t="s">
        <v>1423</v>
      </c>
      <c r="B856" s="432" t="str">
        <f t="shared" si="13"/>
        <v>-</v>
      </c>
      <c r="C856" s="435" t="str">
        <f>IF('母公司利润表 '!H22=0,"-",TEXT('母公司利润表 '!H22,"#,##0.00"))</f>
        <v>-</v>
      </c>
    </row>
    <row r="857" spans="1:3">
      <c r="A857" s="432" t="s">
        <v>1424</v>
      </c>
      <c r="B857" s="432" t="str">
        <f t="shared" si="13"/>
        <v>-</v>
      </c>
      <c r="C857" s="435" t="str">
        <f>IF('母公司利润表 '!H23=0,"-",TEXT('母公司利润表 '!H23,"#,##0.00"))</f>
        <v>-</v>
      </c>
    </row>
    <row r="858" spans="1:3">
      <c r="A858" s="432" t="s">
        <v>1425</v>
      </c>
      <c r="B858" s="432" t="str">
        <f t="shared" si="13"/>
        <v>-</v>
      </c>
      <c r="C858" s="435" t="str">
        <f>IF('母公司利润表 '!H24=0,"-",TEXT('母公司利润表 '!H24,"#,##0.00"))</f>
        <v>-</v>
      </c>
    </row>
    <row r="859" spans="1:3">
      <c r="A859" s="432" t="s">
        <v>2277</v>
      </c>
      <c r="B859" s="432" t="str">
        <f t="shared" si="13"/>
        <v>-</v>
      </c>
      <c r="C859" s="435" t="str">
        <f>IF('母公司利润表 '!H25=0,"-",TEXT('母公司利润表 '!H25,"#,##0.00"))</f>
        <v>-</v>
      </c>
    </row>
    <row r="860" spans="1:3">
      <c r="A860" s="432" t="s">
        <v>1426</v>
      </c>
      <c r="B860" s="432" t="str">
        <f t="shared" si="13"/>
        <v>-</v>
      </c>
      <c r="C860" s="435" t="str">
        <f>IF('母公司利润表 '!H26=0,"-",TEXT('母公司利润表 '!H26,"#,##0.00"))</f>
        <v>-</v>
      </c>
    </row>
    <row r="861" spans="1:3">
      <c r="A861" s="432" t="s">
        <v>2278</v>
      </c>
      <c r="B861" s="432" t="str">
        <f t="shared" si="13"/>
        <v>-</v>
      </c>
      <c r="C861" s="435" t="str">
        <f>IF('母公司利润表 '!H27=0,"-",TEXT('母公司利润表 '!H27,"#,##0.00"))</f>
        <v>-</v>
      </c>
    </row>
    <row r="862" spans="1:3">
      <c r="A862" s="432" t="s">
        <v>1427</v>
      </c>
      <c r="B862" s="432" t="str">
        <f t="shared" si="13"/>
        <v>-</v>
      </c>
      <c r="C862" s="435" t="str">
        <f>IF('母公司利润表 '!H28=0,"-",TEXT('母公司利润表 '!H28,"#,##0.00"))</f>
        <v>-</v>
      </c>
    </row>
    <row r="863" spans="1:3">
      <c r="A863" s="432" t="s">
        <v>2279</v>
      </c>
      <c r="B863" s="432" t="str">
        <f t="shared" si="13"/>
        <v>-</v>
      </c>
      <c r="C863" s="435" t="str">
        <f>IF('母公司利润表 '!H29=0,"-",TEXT('母公司利润表 '!H29,"#,##0.00"))</f>
        <v>-</v>
      </c>
    </row>
    <row r="864" spans="1:3">
      <c r="A864" s="432" t="s">
        <v>1428</v>
      </c>
      <c r="B864" s="432" t="str">
        <f t="shared" si="13"/>
        <v>-</v>
      </c>
      <c r="C864" s="435" t="str">
        <f>IF('母公司利润表 '!H30=0,"-",TEXT('母公司利润表 '!H30,"#,##0.00"))</f>
        <v>-</v>
      </c>
    </row>
    <row r="865" spans="1:3">
      <c r="A865" s="432" t="s">
        <v>1429</v>
      </c>
      <c r="B865" s="432" t="str">
        <f t="shared" si="13"/>
        <v>-</v>
      </c>
      <c r="C865" s="435" t="str">
        <f>IF('母公司利润表 '!H31=0,"-",TEXT('母公司利润表 '!H31,"#,##0.00"))</f>
        <v>-</v>
      </c>
    </row>
    <row r="866" spans="1:3">
      <c r="A866" s="432" t="s">
        <v>1430</v>
      </c>
      <c r="B866" s="432" t="str">
        <f t="shared" si="13"/>
        <v>-</v>
      </c>
      <c r="C866" s="435" t="str">
        <f>IF('母公司利润表 '!H32=0,"-",TEXT('母公司利润表 '!H32,"#,##0.00"))</f>
        <v>-</v>
      </c>
    </row>
    <row r="867" spans="1:3">
      <c r="A867" s="432" t="s">
        <v>1431</v>
      </c>
      <c r="B867" s="432" t="str">
        <f t="shared" si="13"/>
        <v>-</v>
      </c>
      <c r="C867" s="435" t="str">
        <f>IF('母公司利润表 '!H33=0,"-",TEXT('母公司利润表 '!H33,"#,##0.00"))</f>
        <v>-</v>
      </c>
    </row>
    <row r="868" spans="1:3">
      <c r="A868" s="432" t="s">
        <v>1432</v>
      </c>
      <c r="B868" s="432" t="str">
        <f t="shared" si="13"/>
        <v>-</v>
      </c>
      <c r="C868" s="435" t="str">
        <f>IF('母公司利润表 '!H34=0,"-",TEXT('母公司利润表 '!H34,"#,##0.00"))</f>
        <v>-</v>
      </c>
    </row>
    <row r="869" spans="1:3">
      <c r="A869" s="432" t="s">
        <v>1433</v>
      </c>
      <c r="B869" s="432" t="str">
        <f t="shared" si="13"/>
        <v>-</v>
      </c>
      <c r="C869" s="435" t="str">
        <f>IF('母公司利润表 '!H35=0,"-",TEXT('母公司利润表 '!H35,"#,##0.00"))</f>
        <v>-</v>
      </c>
    </row>
    <row r="870" spans="1:3">
      <c r="A870" s="432" t="s">
        <v>1434</v>
      </c>
      <c r="B870" s="432" t="str">
        <f t="shared" si="13"/>
        <v>-</v>
      </c>
      <c r="C870" s="435" t="str">
        <f>IF('母公司利润表 '!H36=0,"-",TEXT('母公司利润表 '!H36,"#,##0.00"))</f>
        <v>-</v>
      </c>
    </row>
    <row r="871" spans="1:3">
      <c r="A871" s="432" t="s">
        <v>1435</v>
      </c>
      <c r="B871" s="432" t="str">
        <f t="shared" si="13"/>
        <v>-</v>
      </c>
      <c r="C871" s="435" t="str">
        <f>IF('母公司利润表 '!H37=0,"-",TEXT('母公司利润表 '!H37,"#,##0.00"))</f>
        <v>-</v>
      </c>
    </row>
    <row r="872" spans="1:3">
      <c r="A872" s="432" t="s">
        <v>1436</v>
      </c>
      <c r="B872" s="432" t="str">
        <f t="shared" si="13"/>
        <v>-</v>
      </c>
      <c r="C872" s="435" t="str">
        <f>IF('母公司利润表 '!H38=0,"-",TEXT('母公司利润表 '!H38,"#,##0.00"))</f>
        <v>-</v>
      </c>
    </row>
    <row r="873" spans="1:3">
      <c r="A873" s="432" t="s">
        <v>1437</v>
      </c>
      <c r="B873" s="432" t="str">
        <f t="shared" si="13"/>
        <v>-</v>
      </c>
      <c r="C873" s="435" t="str">
        <f>IF('母公司利润表 '!I4=0,"-",TEXT('母公司利润表 '!I4,"#,##0.00"))</f>
        <v>-</v>
      </c>
    </row>
    <row r="874" spans="1:3">
      <c r="A874" s="432" t="s">
        <v>1438</v>
      </c>
      <c r="B874" s="432" t="str">
        <f t="shared" si="13"/>
        <v>-</v>
      </c>
      <c r="C874" s="435" t="str">
        <f>IF('母公司利润表 '!I5=0,"-",TEXT('母公司利润表 '!I5,"#,##0.00"))</f>
        <v>-</v>
      </c>
    </row>
    <row r="875" spans="1:3">
      <c r="A875" s="432" t="s">
        <v>1439</v>
      </c>
      <c r="B875" s="432" t="str">
        <f t="shared" si="13"/>
        <v>-</v>
      </c>
      <c r="C875" s="435" t="str">
        <f>IF('母公司利润表 '!I6=0,"-",TEXT('母公司利润表 '!I6,"#,##0.00"))</f>
        <v>-</v>
      </c>
    </row>
    <row r="876" spans="1:3">
      <c r="A876" s="432" t="s">
        <v>1440</v>
      </c>
      <c r="B876" s="432" t="str">
        <f t="shared" si="13"/>
        <v>-</v>
      </c>
      <c r="C876" s="435" t="str">
        <f>IF('母公司利润表 '!I7=0,"-",TEXT('母公司利润表 '!I7,"#,##0.00"))</f>
        <v>-</v>
      </c>
    </row>
    <row r="877" spans="1:3">
      <c r="A877" s="432" t="s">
        <v>1441</v>
      </c>
      <c r="B877" s="432" t="str">
        <f t="shared" si="13"/>
        <v>-</v>
      </c>
      <c r="C877" s="435" t="str">
        <f>IF('母公司利润表 '!I8=0,"-",TEXT('母公司利润表 '!I8,"#,##0.00"))</f>
        <v>-</v>
      </c>
    </row>
    <row r="878" spans="1:3">
      <c r="A878" s="432" t="s">
        <v>1442</v>
      </c>
      <c r="B878" s="432" t="str">
        <f t="shared" si="13"/>
        <v>-</v>
      </c>
      <c r="C878" s="435" t="str">
        <f>IF('母公司利润表 '!I9=0,"-",TEXT('母公司利润表 '!I9,"#,##0.00"))</f>
        <v>-</v>
      </c>
    </row>
    <row r="879" spans="1:3">
      <c r="A879" s="432" t="s">
        <v>1443</v>
      </c>
      <c r="B879" s="432" t="str">
        <f t="shared" si="13"/>
        <v>-</v>
      </c>
      <c r="C879" s="435" t="str">
        <f>IF('母公司利润表 '!I10=0,"-",TEXT('母公司利润表 '!I10,"#,##0.00"))</f>
        <v>-</v>
      </c>
    </row>
    <row r="880" spans="1:3">
      <c r="A880" s="432" t="s">
        <v>1444</v>
      </c>
      <c r="B880" s="432" t="str">
        <f t="shared" si="13"/>
        <v>-</v>
      </c>
      <c r="C880" s="435" t="str">
        <f>IF('母公司利润表 '!I11=0,"-",TEXT('母公司利润表 '!I11,"#,##0.00"))</f>
        <v>-</v>
      </c>
    </row>
    <row r="881" spans="1:3">
      <c r="A881" s="432" t="s">
        <v>1445</v>
      </c>
      <c r="B881" s="432" t="str">
        <f t="shared" si="13"/>
        <v>-</v>
      </c>
      <c r="C881" s="435" t="str">
        <f>IF('母公司利润表 '!I12=0,"-",TEXT('母公司利润表 '!I12,"#,##0.00"))</f>
        <v>-</v>
      </c>
    </row>
    <row r="882" spans="1:3">
      <c r="A882" s="432" t="s">
        <v>1446</v>
      </c>
      <c r="B882" s="432" t="str">
        <f t="shared" si="13"/>
        <v>-</v>
      </c>
      <c r="C882" s="435" t="str">
        <f>IF('母公司利润表 '!I13=0,"-",TEXT('母公司利润表 '!I13,"#,##0.00"))</f>
        <v>-</v>
      </c>
    </row>
    <row r="883" spans="1:3">
      <c r="A883" s="432" t="s">
        <v>1447</v>
      </c>
      <c r="B883" s="432" t="str">
        <f t="shared" si="13"/>
        <v>-</v>
      </c>
      <c r="C883" s="435" t="str">
        <f>IF('母公司利润表 '!I14=0,"-",TEXT('母公司利润表 '!I14,"#,##0.00"))</f>
        <v>-</v>
      </c>
    </row>
    <row r="884" spans="1:3">
      <c r="A884" s="432" t="s">
        <v>1448</v>
      </c>
      <c r="B884" s="432" t="str">
        <f t="shared" si="13"/>
        <v>-</v>
      </c>
      <c r="C884" s="435" t="str">
        <f>IF('母公司利润表 '!I15=0,"-",TEXT('母公司利润表 '!I15,"#,##0.00"))</f>
        <v>-</v>
      </c>
    </row>
    <row r="885" spans="1:3">
      <c r="A885" s="432" t="s">
        <v>1449</v>
      </c>
      <c r="B885" s="432" t="str">
        <f t="shared" si="13"/>
        <v>-</v>
      </c>
      <c r="C885" s="435" t="str">
        <f>IF('母公司利润表 '!I16=0,"-",TEXT('母公司利润表 '!I16,"#,##0.00"))</f>
        <v>-</v>
      </c>
    </row>
    <row r="886" spans="1:3">
      <c r="A886" s="432" t="s">
        <v>1450</v>
      </c>
      <c r="B886" s="432" t="str">
        <f t="shared" si="13"/>
        <v>-</v>
      </c>
      <c r="C886" s="435" t="str">
        <f>IF('母公司利润表 '!I17=0,"-",TEXT('母公司利润表 '!I17,"#,##0.00"))</f>
        <v>-</v>
      </c>
    </row>
    <row r="887" spans="1:3">
      <c r="A887" s="432" t="s">
        <v>1451</v>
      </c>
      <c r="B887" s="432" t="str">
        <f t="shared" si="13"/>
        <v>-</v>
      </c>
      <c r="C887" s="435" t="str">
        <f>IF('母公司利润表 '!I18=0,"-",TEXT('母公司利润表 '!I18,"#,##0.00"))</f>
        <v>-</v>
      </c>
    </row>
    <row r="888" spans="1:3">
      <c r="A888" s="432" t="s">
        <v>1452</v>
      </c>
      <c r="B888" s="432" t="str">
        <f t="shared" si="13"/>
        <v>-</v>
      </c>
      <c r="C888" s="435" t="str">
        <f>IF('母公司利润表 '!I19=0,"-",TEXT('母公司利润表 '!I19,"#,##0.00"))</f>
        <v>-</v>
      </c>
    </row>
    <row r="889" spans="1:3">
      <c r="A889" s="432" t="s">
        <v>1453</v>
      </c>
      <c r="B889" s="432" t="str">
        <f t="shared" si="13"/>
        <v>-</v>
      </c>
      <c r="C889" s="435" t="str">
        <f>IF('母公司利润表 '!I20=0,"-",TEXT('母公司利润表 '!I20,"#,##0.00"))</f>
        <v>-</v>
      </c>
    </row>
    <row r="890" spans="1:3">
      <c r="A890" s="432" t="s">
        <v>1454</v>
      </c>
      <c r="B890" s="432" t="str">
        <f t="shared" si="13"/>
        <v>-</v>
      </c>
      <c r="C890" s="435" t="str">
        <f>IF('母公司利润表 '!I21=0,"-",TEXT('母公司利润表 '!I21,"#,##0.00"))</f>
        <v>-</v>
      </c>
    </row>
    <row r="891" spans="1:3">
      <c r="A891" s="432" t="s">
        <v>1455</v>
      </c>
      <c r="B891" s="432" t="str">
        <f t="shared" si="13"/>
        <v>-</v>
      </c>
      <c r="C891" s="435" t="str">
        <f>IF('母公司利润表 '!I22=0,"-",TEXT('母公司利润表 '!I22,"#,##0.00"))</f>
        <v>-</v>
      </c>
    </row>
    <row r="892" spans="1:3">
      <c r="A892" s="432" t="s">
        <v>1456</v>
      </c>
      <c r="B892" s="432" t="str">
        <f t="shared" si="13"/>
        <v>-</v>
      </c>
      <c r="C892" s="435" t="str">
        <f>IF('母公司利润表 '!I23=0,"-",TEXT('母公司利润表 '!I23,"#,##0.00"))</f>
        <v>-</v>
      </c>
    </row>
    <row r="893" spans="1:3">
      <c r="A893" s="432" t="s">
        <v>1457</v>
      </c>
      <c r="B893" s="432" t="str">
        <f t="shared" si="13"/>
        <v>-</v>
      </c>
      <c r="C893" s="435" t="str">
        <f>IF('母公司利润表 '!I24=0,"-",TEXT('母公司利润表 '!I24,"#,##0.00"))</f>
        <v>-</v>
      </c>
    </row>
    <row r="894" spans="1:3">
      <c r="A894" s="432" t="s">
        <v>2280</v>
      </c>
      <c r="B894" s="432" t="str">
        <f t="shared" si="13"/>
        <v>-</v>
      </c>
      <c r="C894" s="435" t="str">
        <f>IF('母公司利润表 '!I25=0,"-",TEXT('母公司利润表 '!I25,"#,##0.00"))</f>
        <v>-</v>
      </c>
    </row>
    <row r="895" spans="1:3">
      <c r="A895" s="432" t="s">
        <v>1458</v>
      </c>
      <c r="B895" s="432" t="str">
        <f t="shared" si="13"/>
        <v>-</v>
      </c>
      <c r="C895" s="435" t="str">
        <f>IF('母公司利润表 '!I26=0,"-",TEXT('母公司利润表 '!I26,"#,##0.00"))</f>
        <v>-</v>
      </c>
    </row>
    <row r="896" spans="1:3">
      <c r="A896" s="432" t="s">
        <v>2281</v>
      </c>
      <c r="B896" s="432" t="str">
        <f t="shared" si="13"/>
        <v>-</v>
      </c>
      <c r="C896" s="435" t="str">
        <f>IF('母公司利润表 '!I27=0,"-",TEXT('母公司利润表 '!I27,"#,##0.00"))</f>
        <v>-</v>
      </c>
    </row>
    <row r="897" spans="1:5">
      <c r="A897" s="432" t="s">
        <v>1459</v>
      </c>
      <c r="B897" s="432" t="str">
        <f t="shared" si="13"/>
        <v>-</v>
      </c>
      <c r="C897" s="435" t="str">
        <f>IF('母公司利润表 '!I28=0,"-",TEXT('母公司利润表 '!I28,"#,##0.00"))</f>
        <v>-</v>
      </c>
    </row>
    <row r="898" spans="1:5">
      <c r="A898" s="432" t="s">
        <v>2282</v>
      </c>
      <c r="B898" s="432" t="str">
        <f t="shared" si="13"/>
        <v>-</v>
      </c>
      <c r="C898" s="435" t="str">
        <f>IF('母公司利润表 '!I29=0,"-",TEXT('母公司利润表 '!I29,"#,##0.00"))</f>
        <v>-</v>
      </c>
    </row>
    <row r="899" spans="1:5">
      <c r="A899" s="432" t="s">
        <v>1460</v>
      </c>
      <c r="B899" s="432" t="str">
        <f t="shared" si="13"/>
        <v>-</v>
      </c>
      <c r="C899" s="435" t="str">
        <f>IF('母公司利润表 '!I30=0,"-",TEXT('母公司利润表 '!I30,"#,##0.00"))</f>
        <v>-</v>
      </c>
    </row>
    <row r="900" spans="1:5">
      <c r="A900" s="432" t="s">
        <v>1461</v>
      </c>
      <c r="B900" s="432" t="str">
        <f t="shared" si="13"/>
        <v>-</v>
      </c>
      <c r="C900" s="435" t="str">
        <f>IF('母公司利润表 '!I31=0,"-",TEXT('母公司利润表 '!I31,"#,##0.00"))</f>
        <v>-</v>
      </c>
    </row>
    <row r="901" spans="1:5">
      <c r="A901" s="432" t="s">
        <v>1462</v>
      </c>
      <c r="B901" s="432" t="str">
        <f t="shared" si="13"/>
        <v>-</v>
      </c>
      <c r="C901" s="435" t="str">
        <f>IF('母公司利润表 '!I32=0,"-",TEXT('母公司利润表 '!I32,"#,##0.00"))</f>
        <v>-</v>
      </c>
    </row>
    <row r="902" spans="1:5">
      <c r="A902" s="432" t="s">
        <v>1463</v>
      </c>
      <c r="B902" s="432" t="str">
        <f t="shared" si="13"/>
        <v>-</v>
      </c>
      <c r="C902" s="435" t="str">
        <f>IF('母公司利润表 '!I33=0,"-",TEXT('母公司利润表 '!I33,"#,##0.00"))</f>
        <v>-</v>
      </c>
    </row>
    <row r="903" spans="1:5">
      <c r="A903" s="432" t="s">
        <v>1464</v>
      </c>
      <c r="B903" s="432" t="str">
        <f t="shared" si="13"/>
        <v>-</v>
      </c>
      <c r="C903" s="435" t="str">
        <f>IF('母公司利润表 '!I34=0,"-",TEXT('母公司利润表 '!I34,"#,##0.00"))</f>
        <v>-</v>
      </c>
    </row>
    <row r="904" spans="1:5">
      <c r="A904" s="432" t="s">
        <v>1465</v>
      </c>
      <c r="B904" s="432" t="str">
        <f t="shared" ref="B904:B967" si="14">TRIM(C904)</f>
        <v>-</v>
      </c>
      <c r="C904" s="435" t="str">
        <f>IF('母公司利润表 '!I35=0,"-",TEXT('母公司利润表 '!I35,"#,##0.00"))</f>
        <v>-</v>
      </c>
    </row>
    <row r="905" spans="1:5">
      <c r="A905" s="432" t="s">
        <v>1466</v>
      </c>
      <c r="B905" s="432" t="str">
        <f t="shared" si="14"/>
        <v>-</v>
      </c>
      <c r="C905" s="435" t="str">
        <f>IF('母公司利润表 '!I36=0,"-",TEXT('母公司利润表 '!I36,"#,##0.00"))</f>
        <v>-</v>
      </c>
    </row>
    <row r="906" spans="1:5">
      <c r="A906" s="432" t="s">
        <v>1467</v>
      </c>
      <c r="B906" s="432" t="str">
        <f t="shared" si="14"/>
        <v>-</v>
      </c>
      <c r="C906" s="435" t="str">
        <f>IF('母公司利润表 '!I37=0,"-",TEXT('母公司利润表 '!I37,"#,##0.00"))</f>
        <v>-</v>
      </c>
    </row>
    <row r="907" spans="1:5">
      <c r="A907" s="432" t="s">
        <v>1468</v>
      </c>
      <c r="B907" s="432" t="str">
        <f t="shared" si="14"/>
        <v>-</v>
      </c>
      <c r="C907" s="435" t="str">
        <f>IF('母公司利润表 '!I38=0,"-",TEXT('母公司利润表 '!I38,"#,##0.00"))</f>
        <v>-</v>
      </c>
    </row>
    <row r="908" spans="1:5">
      <c r="A908" s="432" t="s">
        <v>1197</v>
      </c>
      <c r="B908" s="432" t="str">
        <f t="shared" si="14"/>
        <v>-</v>
      </c>
      <c r="C908" s="435" t="str">
        <f>IF(合并现金流量表!F5=0,"-",TEXT(合并现金流量表!F5,"#,##0.00"))</f>
        <v>-</v>
      </c>
      <c r="E908" s="436" t="s">
        <v>2286</v>
      </c>
    </row>
    <row r="909" spans="1:5">
      <c r="A909" s="432" t="s">
        <v>1198</v>
      </c>
      <c r="B909" s="432" t="str">
        <f t="shared" si="14"/>
        <v>-</v>
      </c>
      <c r="C909" s="435" t="str">
        <f>IF(合并现金流量表!F6=0,"-",TEXT(合并现金流量表!F6,"#,##0.00"))</f>
        <v>-</v>
      </c>
    </row>
    <row r="910" spans="1:5">
      <c r="A910" s="432" t="s">
        <v>1199</v>
      </c>
      <c r="B910" s="432" t="str">
        <f t="shared" si="14"/>
        <v>-</v>
      </c>
      <c r="C910" s="435" t="str">
        <f>IF(合并现金流量表!F7=0,"-",TEXT(合并现金流量表!F7,"#,##0.00"))</f>
        <v>-</v>
      </c>
    </row>
    <row r="911" spans="1:5">
      <c r="A911" s="432" t="s">
        <v>1200</v>
      </c>
      <c r="B911" s="432" t="str">
        <f t="shared" si="14"/>
        <v>-</v>
      </c>
      <c r="C911" s="435" t="str">
        <f>IF(合并现金流量表!F8=0,"-",TEXT(合并现金流量表!F8,"#,##0.00"))</f>
        <v>-</v>
      </c>
    </row>
    <row r="912" spans="1:5">
      <c r="A912" s="432" t="s">
        <v>1201</v>
      </c>
      <c r="B912" s="432" t="str">
        <f t="shared" si="14"/>
        <v>-</v>
      </c>
      <c r="C912" s="435" t="str">
        <f>IF(合并现金流量表!F9=0,"-",TEXT(合并现金流量表!F9,"#,##0.00"))</f>
        <v>-</v>
      </c>
    </row>
    <row r="913" spans="1:3">
      <c r="A913" s="432" t="s">
        <v>1202</v>
      </c>
      <c r="B913" s="432" t="str">
        <f t="shared" si="14"/>
        <v>-</v>
      </c>
      <c r="C913" s="435" t="str">
        <f>IF(合并现金流量表!F10=0,"-",TEXT(合并现金流量表!F10,"#,##0.00"))</f>
        <v>-</v>
      </c>
    </row>
    <row r="914" spans="1:3">
      <c r="A914" s="432" t="s">
        <v>1203</v>
      </c>
      <c r="B914" s="432" t="str">
        <f t="shared" si="14"/>
        <v>-</v>
      </c>
      <c r="C914" s="435" t="str">
        <f>IF(合并现金流量表!F11=0,"-",TEXT(合并现金流量表!F11,"#,##0.00"))</f>
        <v>-</v>
      </c>
    </row>
    <row r="915" spans="1:3">
      <c r="A915" s="432" t="s">
        <v>1204</v>
      </c>
      <c r="B915" s="432" t="str">
        <f t="shared" si="14"/>
        <v>-</v>
      </c>
      <c r="C915" s="435" t="str">
        <f>IF(合并现金流量表!F12=0,"-",TEXT(合并现金流量表!F12,"#,##0.00"))</f>
        <v>-</v>
      </c>
    </row>
    <row r="916" spans="1:3">
      <c r="A916" s="432" t="s">
        <v>1205</v>
      </c>
      <c r="B916" s="432" t="str">
        <f t="shared" si="14"/>
        <v>-</v>
      </c>
      <c r="C916" s="435" t="str">
        <f>IF(合并现金流量表!F13=0,"-",TEXT(合并现金流量表!F13,"#,##0.00"))</f>
        <v>-</v>
      </c>
    </row>
    <row r="917" spans="1:3">
      <c r="A917" s="432" t="s">
        <v>1206</v>
      </c>
      <c r="B917" s="432" t="str">
        <f t="shared" si="14"/>
        <v>-</v>
      </c>
      <c r="C917" s="435" t="str">
        <f>IF(合并现金流量表!F14=0,"-",TEXT(合并现金流量表!F14,"#,##0.00"))</f>
        <v>-</v>
      </c>
    </row>
    <row r="918" spans="1:3">
      <c r="A918" s="432" t="s">
        <v>1207</v>
      </c>
      <c r="B918" s="432" t="str">
        <f t="shared" si="14"/>
        <v>-</v>
      </c>
      <c r="C918" s="435" t="str">
        <f>IF(合并现金流量表!F16=0,"-",TEXT(合并现金流量表!F16,"#,##0.00"))</f>
        <v>-</v>
      </c>
    </row>
    <row r="919" spans="1:3">
      <c r="A919" s="432" t="s">
        <v>1208</v>
      </c>
      <c r="B919" s="432" t="str">
        <f t="shared" si="14"/>
        <v>-</v>
      </c>
      <c r="C919" s="435" t="str">
        <f>IF(合并现金流量表!F17=0,"-",TEXT(合并现金流量表!F17,"#,##0.00"))</f>
        <v>-</v>
      </c>
    </row>
    <row r="920" spans="1:3">
      <c r="A920" s="432" t="s">
        <v>1209</v>
      </c>
      <c r="B920" s="432" t="str">
        <f t="shared" si="14"/>
        <v>-</v>
      </c>
      <c r="C920" s="435" t="str">
        <f>IF(合并现金流量表!F18=0,"-",TEXT(合并现金流量表!F18,"#,##0.00"))</f>
        <v>-</v>
      </c>
    </row>
    <row r="921" spans="1:3">
      <c r="A921" s="432" t="s">
        <v>1210</v>
      </c>
      <c r="B921" s="432" t="str">
        <f t="shared" si="14"/>
        <v>-</v>
      </c>
      <c r="C921" s="435" t="str">
        <f>IF(合并现金流量表!F19=0,"-",TEXT(合并现金流量表!F19,"#,##0.00"))</f>
        <v>-</v>
      </c>
    </row>
    <row r="922" spans="1:3">
      <c r="A922" s="432" t="s">
        <v>1211</v>
      </c>
      <c r="B922" s="432" t="str">
        <f t="shared" si="14"/>
        <v>-</v>
      </c>
      <c r="C922" s="435" t="str">
        <f>IF(合并现金流量表!F20=0,"-",TEXT(合并现金流量表!F20,"#,##0.00"))</f>
        <v>-</v>
      </c>
    </row>
    <row r="923" spans="1:3">
      <c r="A923" s="432" t="s">
        <v>1212</v>
      </c>
      <c r="B923" s="432" t="str">
        <f t="shared" si="14"/>
        <v>-</v>
      </c>
      <c r="C923" s="435" t="str">
        <f>IF(合并现金流量表!F21=0,"-",TEXT(合并现金流量表!F21,"#,##0.00"))</f>
        <v>-</v>
      </c>
    </row>
    <row r="924" spans="1:3">
      <c r="A924" s="432" t="s">
        <v>1213</v>
      </c>
      <c r="B924" s="432" t="str">
        <f t="shared" si="14"/>
        <v>-</v>
      </c>
      <c r="C924" s="435" t="str">
        <f>IF(合并现金流量表!F22=0,"-",TEXT(合并现金流量表!F22,"#,##0.00"))</f>
        <v>-</v>
      </c>
    </row>
    <row r="925" spans="1:3">
      <c r="A925" s="432" t="s">
        <v>1214</v>
      </c>
      <c r="B925" s="432" t="str">
        <f t="shared" si="14"/>
        <v>-</v>
      </c>
      <c r="C925" s="435" t="str">
        <f>IF(合并现金流量表!F23=0,"-",TEXT(合并现金流量表!F23,"#,##0.00"))</f>
        <v>-</v>
      </c>
    </row>
    <row r="926" spans="1:3">
      <c r="A926" s="432" t="s">
        <v>1215</v>
      </c>
      <c r="B926" s="432" t="str">
        <f t="shared" si="14"/>
        <v>-</v>
      </c>
      <c r="C926" s="435" t="str">
        <f>IF(合并现金流量表!F24=0,"-",TEXT(合并现金流量表!F24,"#,##0.00"))</f>
        <v>-</v>
      </c>
    </row>
    <row r="927" spans="1:3">
      <c r="A927" s="432" t="s">
        <v>1216</v>
      </c>
      <c r="B927" s="432" t="str">
        <f t="shared" si="14"/>
        <v>-</v>
      </c>
      <c r="C927" s="435" t="str">
        <f>IF(合并现金流量表!F25=0,"-",TEXT(合并现金流量表!F25,"#,##0.00"))</f>
        <v>-</v>
      </c>
    </row>
    <row r="928" spans="1:3">
      <c r="A928" s="432" t="s">
        <v>1217</v>
      </c>
      <c r="B928" s="432" t="str">
        <f t="shared" si="14"/>
        <v>-</v>
      </c>
      <c r="C928" s="435" t="str">
        <f>IF(合并现金流量表!F26=0,"-",TEXT(合并现金流量表!F26,"#,##0.00"))</f>
        <v>-</v>
      </c>
    </row>
    <row r="929" spans="1:3">
      <c r="A929" s="432" t="s">
        <v>1218</v>
      </c>
      <c r="B929" s="432" t="str">
        <f t="shared" si="14"/>
        <v>-</v>
      </c>
      <c r="C929" s="435" t="str">
        <f>IF(合并现金流量表!F27=0,"-",TEXT(合并现金流量表!F27,"#,##0.00"))</f>
        <v>-</v>
      </c>
    </row>
    <row r="930" spans="1:3">
      <c r="A930" s="432" t="s">
        <v>1219</v>
      </c>
      <c r="B930" s="432" t="str">
        <f t="shared" si="14"/>
        <v>-</v>
      </c>
      <c r="C930" s="435" t="str">
        <f>IF(合并现金流量表!F29=0,"-",TEXT(合并现金流量表!F29,"#,##0.00"))</f>
        <v>-</v>
      </c>
    </row>
    <row r="931" spans="1:3">
      <c r="A931" s="432" t="s">
        <v>1220</v>
      </c>
      <c r="B931" s="432" t="str">
        <f t="shared" si="14"/>
        <v>-</v>
      </c>
      <c r="C931" s="435" t="str">
        <f>IF(合并现金流量表!F30=0,"-",TEXT(合并现金流量表!F30,"#,##0.00"))</f>
        <v>-</v>
      </c>
    </row>
    <row r="932" spans="1:3">
      <c r="A932" s="432" t="s">
        <v>1221</v>
      </c>
      <c r="B932" s="432" t="str">
        <f t="shared" si="14"/>
        <v>-</v>
      </c>
      <c r="C932" s="435" t="str">
        <f>IF(合并现金流量表!F31=0,"-",TEXT(合并现金流量表!F31,"#,##0.00"))</f>
        <v>-</v>
      </c>
    </row>
    <row r="933" spans="1:3">
      <c r="A933" s="432" t="s">
        <v>1222</v>
      </c>
      <c r="B933" s="432" t="str">
        <f t="shared" si="14"/>
        <v>-</v>
      </c>
      <c r="C933" s="435" t="str">
        <f>IF(合并现金流量表!F32=0,"-",TEXT(合并现金流量表!F32,"#,##0.00"))</f>
        <v>-</v>
      </c>
    </row>
    <row r="934" spans="1:3">
      <c r="A934" s="432" t="s">
        <v>1223</v>
      </c>
      <c r="B934" s="432" t="str">
        <f t="shared" si="14"/>
        <v>-</v>
      </c>
      <c r="C934" s="435" t="str">
        <f>IF(合并现金流量表!F33=0,"-",TEXT(合并现金流量表!F33,"#,##0.00"))</f>
        <v>-</v>
      </c>
    </row>
    <row r="935" spans="1:3">
      <c r="A935" s="432" t="s">
        <v>1224</v>
      </c>
      <c r="B935" s="432" t="str">
        <f t="shared" si="14"/>
        <v>-</v>
      </c>
      <c r="C935" s="435" t="str">
        <f>IF(合并现金流量表!F34=0,"-",TEXT(合并现金流量表!F34,"#,##0.00"))</f>
        <v>-</v>
      </c>
    </row>
    <row r="936" spans="1:3">
      <c r="A936" s="432" t="s">
        <v>1225</v>
      </c>
      <c r="B936" s="432" t="str">
        <f t="shared" si="14"/>
        <v>-</v>
      </c>
      <c r="C936" s="435" t="str">
        <f>IF(合并现金流量表!F35=0,"-",TEXT(合并现金流量表!F35,"#,##0.00"))</f>
        <v>-</v>
      </c>
    </row>
    <row r="937" spans="1:3">
      <c r="A937" s="432" t="s">
        <v>1226</v>
      </c>
      <c r="B937" s="432" t="str">
        <f t="shared" si="14"/>
        <v>-</v>
      </c>
      <c r="C937" s="435" t="str">
        <f>IF(合并现金流量表!F36=0,"-",TEXT(合并现金流量表!F36,"#,##0.00"))</f>
        <v>-</v>
      </c>
    </row>
    <row r="938" spans="1:3">
      <c r="A938" s="432" t="s">
        <v>1227</v>
      </c>
      <c r="B938" s="432" t="str">
        <f t="shared" si="14"/>
        <v>-</v>
      </c>
      <c r="C938" s="435" t="str">
        <f>IF(合并现金流量表!F37=0,"-",TEXT(合并现金流量表!F37,"#,##0.00"))</f>
        <v>-</v>
      </c>
    </row>
    <row r="939" spans="1:3">
      <c r="A939" s="432" t="s">
        <v>1228</v>
      </c>
      <c r="B939" s="432" t="str">
        <f t="shared" si="14"/>
        <v>-</v>
      </c>
      <c r="C939" s="435" t="str">
        <f>IF(合并现金流量表!F38=0,"-",TEXT(合并现金流量表!F38,"#,##0.00"))</f>
        <v>-</v>
      </c>
    </row>
    <row r="940" spans="1:3">
      <c r="A940" s="432" t="s">
        <v>1229</v>
      </c>
      <c r="B940" s="432" t="str">
        <f t="shared" si="14"/>
        <v>-</v>
      </c>
      <c r="C940" s="435" t="str">
        <f>IF(合并现金流量表!F39=0,"-",TEXT(合并现金流量表!F39,"#,##0.00"))</f>
        <v>-</v>
      </c>
    </row>
    <row r="941" spans="1:3">
      <c r="A941" s="432" t="s">
        <v>1230</v>
      </c>
      <c r="B941" s="432" t="str">
        <f t="shared" si="14"/>
        <v>-</v>
      </c>
      <c r="C941" s="435" t="str">
        <f>IF(合并现金流量表!F40=0,"-",TEXT(合并现金流量表!F40,"#,##0.00"))</f>
        <v>-</v>
      </c>
    </row>
    <row r="942" spans="1:3">
      <c r="A942" s="432" t="s">
        <v>1231</v>
      </c>
      <c r="B942" s="432" t="str">
        <f t="shared" si="14"/>
        <v>-</v>
      </c>
      <c r="C942" s="435" t="str">
        <f>IF(合并现金流量表!F41=0,"-",TEXT(合并现金流量表!F41,"#,##0.00"))</f>
        <v>-</v>
      </c>
    </row>
    <row r="943" spans="1:3">
      <c r="A943" s="432" t="s">
        <v>1232</v>
      </c>
      <c r="B943" s="432" t="str">
        <f t="shared" si="14"/>
        <v>-</v>
      </c>
      <c r="C943" s="435" t="str">
        <f>IF(合并现金流量表!F42=0,"-",TEXT(合并现金流量表!F42,"#,##0.00"))</f>
        <v>-</v>
      </c>
    </row>
    <row r="944" spans="1:3">
      <c r="A944" s="432" t="s">
        <v>1233</v>
      </c>
      <c r="B944" s="432" t="str">
        <f t="shared" si="14"/>
        <v>-</v>
      </c>
      <c r="C944" s="435" t="str">
        <f>IF(合并现金流量表!G5=0,"-",TEXT(合并现金流量表!G5,"#,##0.00"))</f>
        <v>-</v>
      </c>
    </row>
    <row r="945" spans="1:3">
      <c r="A945" s="432" t="s">
        <v>1234</v>
      </c>
      <c r="B945" s="432" t="str">
        <f t="shared" si="14"/>
        <v>-</v>
      </c>
      <c r="C945" s="435" t="str">
        <f>IF(合并现金流量表!G6=0,"-",TEXT(合并现金流量表!G6,"#,##0.00"))</f>
        <v>-</v>
      </c>
    </row>
    <row r="946" spans="1:3">
      <c r="A946" s="432" t="s">
        <v>1235</v>
      </c>
      <c r="B946" s="432" t="str">
        <f t="shared" si="14"/>
        <v>-</v>
      </c>
      <c r="C946" s="435" t="str">
        <f>IF(合并现金流量表!G7=0,"-",TEXT(合并现金流量表!G7,"#,##0.00"))</f>
        <v>-</v>
      </c>
    </row>
    <row r="947" spans="1:3">
      <c r="A947" s="432" t="s">
        <v>1236</v>
      </c>
      <c r="B947" s="432" t="str">
        <f t="shared" si="14"/>
        <v>-</v>
      </c>
      <c r="C947" s="435" t="str">
        <f>IF(合并现金流量表!G8=0,"-",TEXT(合并现金流量表!G8,"#,##0.00"))</f>
        <v>-</v>
      </c>
    </row>
    <row r="948" spans="1:3">
      <c r="A948" s="432" t="s">
        <v>1237</v>
      </c>
      <c r="B948" s="432" t="str">
        <f t="shared" si="14"/>
        <v>-</v>
      </c>
      <c r="C948" s="435" t="str">
        <f>IF(合并现金流量表!G9=0,"-",TEXT(合并现金流量表!G9,"#,##0.00"))</f>
        <v>-</v>
      </c>
    </row>
    <row r="949" spans="1:3">
      <c r="A949" s="432" t="s">
        <v>1238</v>
      </c>
      <c r="B949" s="432" t="str">
        <f t="shared" si="14"/>
        <v>-</v>
      </c>
      <c r="C949" s="435" t="str">
        <f>IF(合并现金流量表!G10=0,"-",TEXT(合并现金流量表!G10,"#,##0.00"))</f>
        <v>-</v>
      </c>
    </row>
    <row r="950" spans="1:3">
      <c r="A950" s="432" t="s">
        <v>1239</v>
      </c>
      <c r="B950" s="432" t="str">
        <f t="shared" si="14"/>
        <v>-</v>
      </c>
      <c r="C950" s="435" t="str">
        <f>IF(合并现金流量表!G11=0,"-",TEXT(合并现金流量表!G11,"#,##0.00"))</f>
        <v>-</v>
      </c>
    </row>
    <row r="951" spans="1:3">
      <c r="A951" s="432" t="s">
        <v>1240</v>
      </c>
      <c r="B951" s="432" t="str">
        <f t="shared" si="14"/>
        <v>-</v>
      </c>
      <c r="C951" s="435" t="str">
        <f>IF(合并现金流量表!G12=0,"-",TEXT(合并现金流量表!G12,"#,##0.00"))</f>
        <v>-</v>
      </c>
    </row>
    <row r="952" spans="1:3">
      <c r="A952" s="432" t="s">
        <v>1241</v>
      </c>
      <c r="B952" s="432" t="str">
        <f t="shared" si="14"/>
        <v>-</v>
      </c>
      <c r="C952" s="435" t="str">
        <f>IF(合并现金流量表!G13=0,"-",TEXT(合并现金流量表!G13,"#,##0.00"))</f>
        <v>-</v>
      </c>
    </row>
    <row r="953" spans="1:3">
      <c r="A953" s="432" t="s">
        <v>1242</v>
      </c>
      <c r="B953" s="432" t="str">
        <f t="shared" si="14"/>
        <v>-</v>
      </c>
      <c r="C953" s="435" t="str">
        <f>IF(合并现金流量表!G14=0,"-",TEXT(合并现金流量表!G14,"#,##0.00"))</f>
        <v>-</v>
      </c>
    </row>
    <row r="954" spans="1:3">
      <c r="A954" s="432" t="s">
        <v>1243</v>
      </c>
      <c r="B954" s="432" t="str">
        <f t="shared" si="14"/>
        <v>-</v>
      </c>
      <c r="C954" s="435" t="str">
        <f>IF(合并现金流量表!G16=0,"-",TEXT(合并现金流量表!G16,"#,##0.00"))</f>
        <v>-</v>
      </c>
    </row>
    <row r="955" spans="1:3">
      <c r="A955" s="432" t="s">
        <v>1244</v>
      </c>
      <c r="B955" s="432" t="str">
        <f t="shared" si="14"/>
        <v>-</v>
      </c>
      <c r="C955" s="435" t="str">
        <f>IF(合并现金流量表!G17=0,"-",TEXT(合并现金流量表!G17,"#,##0.00"))</f>
        <v>-</v>
      </c>
    </row>
    <row r="956" spans="1:3">
      <c r="A956" s="432" t="s">
        <v>1245</v>
      </c>
      <c r="B956" s="432" t="str">
        <f t="shared" si="14"/>
        <v>-</v>
      </c>
      <c r="C956" s="435" t="str">
        <f>IF(合并现金流量表!G18=0,"-",TEXT(合并现金流量表!G18,"#,##0.00"))</f>
        <v>-</v>
      </c>
    </row>
    <row r="957" spans="1:3">
      <c r="A957" s="432" t="s">
        <v>1246</v>
      </c>
      <c r="B957" s="432" t="str">
        <f t="shared" si="14"/>
        <v>-</v>
      </c>
      <c r="C957" s="435" t="str">
        <f>IF(合并现金流量表!G19=0,"-",TEXT(合并现金流量表!G19,"#,##0.00"))</f>
        <v>-</v>
      </c>
    </row>
    <row r="958" spans="1:3">
      <c r="A958" s="432" t="s">
        <v>1247</v>
      </c>
      <c r="B958" s="432" t="str">
        <f t="shared" si="14"/>
        <v>-</v>
      </c>
      <c r="C958" s="435" t="str">
        <f>IF(合并现金流量表!G20=0,"-",TEXT(合并现金流量表!G20,"#,##0.00"))</f>
        <v>-</v>
      </c>
    </row>
    <row r="959" spans="1:3">
      <c r="A959" s="432" t="s">
        <v>1248</v>
      </c>
      <c r="B959" s="432" t="str">
        <f t="shared" si="14"/>
        <v>-</v>
      </c>
      <c r="C959" s="435" t="str">
        <f>IF(合并现金流量表!G21=0,"-",TEXT(合并现金流量表!G21,"#,##0.00"))</f>
        <v>-</v>
      </c>
    </row>
    <row r="960" spans="1:3">
      <c r="A960" s="432" t="s">
        <v>1249</v>
      </c>
      <c r="B960" s="432" t="str">
        <f t="shared" si="14"/>
        <v>-</v>
      </c>
      <c r="C960" s="435" t="str">
        <f>IF(合并现金流量表!G22=0,"-",TEXT(合并现金流量表!G22,"#,##0.00"))</f>
        <v>-</v>
      </c>
    </row>
    <row r="961" spans="1:3">
      <c r="A961" s="432" t="s">
        <v>1250</v>
      </c>
      <c r="B961" s="432" t="str">
        <f t="shared" si="14"/>
        <v>-</v>
      </c>
      <c r="C961" s="435" t="str">
        <f>IF(合并现金流量表!G23=0,"-",TEXT(合并现金流量表!G23,"#,##0.00"))</f>
        <v>-</v>
      </c>
    </row>
    <row r="962" spans="1:3">
      <c r="A962" s="432" t="s">
        <v>1251</v>
      </c>
      <c r="B962" s="432" t="str">
        <f t="shared" si="14"/>
        <v>-</v>
      </c>
      <c r="C962" s="435" t="str">
        <f>IF(合并现金流量表!G24=0,"-",TEXT(合并现金流量表!G24,"#,##0.00"))</f>
        <v>-</v>
      </c>
    </row>
    <row r="963" spans="1:3">
      <c r="A963" s="432" t="s">
        <v>1252</v>
      </c>
      <c r="B963" s="432" t="str">
        <f t="shared" si="14"/>
        <v>-</v>
      </c>
      <c r="C963" s="435" t="str">
        <f>IF(合并现金流量表!G25=0,"-",TEXT(合并现金流量表!G25,"#,##0.00"))</f>
        <v>-</v>
      </c>
    </row>
    <row r="964" spans="1:3">
      <c r="A964" s="432" t="s">
        <v>1253</v>
      </c>
      <c r="B964" s="432" t="str">
        <f t="shared" si="14"/>
        <v>-</v>
      </c>
      <c r="C964" s="435" t="str">
        <f>IF(合并现金流量表!G26=0,"-",TEXT(合并现金流量表!G26,"#,##0.00"))</f>
        <v>-</v>
      </c>
    </row>
    <row r="965" spans="1:3">
      <c r="A965" s="432" t="s">
        <v>1254</v>
      </c>
      <c r="B965" s="432" t="str">
        <f t="shared" si="14"/>
        <v>-</v>
      </c>
      <c r="C965" s="435" t="str">
        <f>IF(合并现金流量表!G27=0,"-",TEXT(合并现金流量表!G27,"#,##0.00"))</f>
        <v>-</v>
      </c>
    </row>
    <row r="966" spans="1:3">
      <c r="A966" s="432" t="s">
        <v>1255</v>
      </c>
      <c r="B966" s="432" t="str">
        <f t="shared" si="14"/>
        <v>-</v>
      </c>
      <c r="C966" s="435" t="str">
        <f>IF(合并现金流量表!G29=0,"-",TEXT(合并现金流量表!G29,"#,##0.00"))</f>
        <v>-</v>
      </c>
    </row>
    <row r="967" spans="1:3">
      <c r="A967" s="432" t="s">
        <v>1256</v>
      </c>
      <c r="B967" s="432" t="str">
        <f t="shared" si="14"/>
        <v>-</v>
      </c>
      <c r="C967" s="435" t="str">
        <f>IF(合并现金流量表!G30=0,"-",TEXT(合并现金流量表!G30,"#,##0.00"))</f>
        <v>-</v>
      </c>
    </row>
    <row r="968" spans="1:3">
      <c r="A968" s="432" t="s">
        <v>1257</v>
      </c>
      <c r="B968" s="432" t="str">
        <f t="shared" ref="B968:B1031" si="15">TRIM(C968)</f>
        <v>-</v>
      </c>
      <c r="C968" s="435" t="str">
        <f>IF(合并现金流量表!G31=0,"-",TEXT(合并现金流量表!G31,"#,##0.00"))</f>
        <v>-</v>
      </c>
    </row>
    <row r="969" spans="1:3">
      <c r="A969" s="432" t="s">
        <v>1258</v>
      </c>
      <c r="B969" s="432" t="str">
        <f t="shared" si="15"/>
        <v>-</v>
      </c>
      <c r="C969" s="435" t="str">
        <f>IF(合并现金流量表!G32=0,"-",TEXT(合并现金流量表!G32,"#,##0.00"))</f>
        <v>-</v>
      </c>
    </row>
    <row r="970" spans="1:3">
      <c r="A970" s="432" t="s">
        <v>1259</v>
      </c>
      <c r="B970" s="432" t="str">
        <f t="shared" si="15"/>
        <v>-</v>
      </c>
      <c r="C970" s="435" t="str">
        <f>IF(合并现金流量表!G33=0,"-",TEXT(合并现金流量表!G33,"#,##0.00"))</f>
        <v>-</v>
      </c>
    </row>
    <row r="971" spans="1:3">
      <c r="A971" s="432" t="s">
        <v>1260</v>
      </c>
      <c r="B971" s="432" t="str">
        <f t="shared" si="15"/>
        <v>-</v>
      </c>
      <c r="C971" s="435" t="str">
        <f>IF(合并现金流量表!G34=0,"-",TEXT(合并现金流量表!G34,"#,##0.00"))</f>
        <v>-</v>
      </c>
    </row>
    <row r="972" spans="1:3">
      <c r="A972" s="432" t="s">
        <v>1261</v>
      </c>
      <c r="B972" s="432" t="str">
        <f t="shared" si="15"/>
        <v>-</v>
      </c>
      <c r="C972" s="435" t="str">
        <f>IF(合并现金流量表!G35=0,"-",TEXT(合并现金流量表!G35,"#,##0.00"))</f>
        <v>-</v>
      </c>
    </row>
    <row r="973" spans="1:3">
      <c r="A973" s="432" t="s">
        <v>1262</v>
      </c>
      <c r="B973" s="432" t="str">
        <f t="shared" si="15"/>
        <v>-</v>
      </c>
      <c r="C973" s="435" t="str">
        <f>IF(合并现金流量表!G36=0,"-",TEXT(合并现金流量表!G36,"#,##0.00"))</f>
        <v>-</v>
      </c>
    </row>
    <row r="974" spans="1:3">
      <c r="A974" s="432" t="s">
        <v>1263</v>
      </c>
      <c r="B974" s="432" t="str">
        <f t="shared" si="15"/>
        <v>-</v>
      </c>
      <c r="C974" s="435" t="str">
        <f>IF(合并现金流量表!G37=0,"-",TEXT(合并现金流量表!G37,"#,##0.00"))</f>
        <v>-</v>
      </c>
    </row>
    <row r="975" spans="1:3">
      <c r="A975" s="432" t="s">
        <v>1264</v>
      </c>
      <c r="B975" s="432" t="str">
        <f t="shared" si="15"/>
        <v>-</v>
      </c>
      <c r="C975" s="435" t="str">
        <f>IF(合并现金流量表!G38=0,"-",TEXT(合并现金流量表!G38,"#,##0.00"))</f>
        <v>-</v>
      </c>
    </row>
    <row r="976" spans="1:3">
      <c r="A976" s="432" t="s">
        <v>1265</v>
      </c>
      <c r="B976" s="432" t="str">
        <f t="shared" si="15"/>
        <v>-</v>
      </c>
      <c r="C976" s="435" t="str">
        <f>IF(合并现金流量表!G39=0,"-",TEXT(合并现金流量表!G39,"#,##0.00"))</f>
        <v>-</v>
      </c>
    </row>
    <row r="977" spans="1:3">
      <c r="A977" s="432" t="s">
        <v>1266</v>
      </c>
      <c r="B977" s="432" t="str">
        <f t="shared" si="15"/>
        <v>-</v>
      </c>
      <c r="C977" s="435" t="str">
        <f>IF(合并现金流量表!G40=0,"-",TEXT(合并现金流量表!G40,"#,##0.00"))</f>
        <v>-</v>
      </c>
    </row>
    <row r="978" spans="1:3">
      <c r="A978" s="432" t="s">
        <v>1267</v>
      </c>
      <c r="B978" s="432" t="str">
        <f t="shared" si="15"/>
        <v>-</v>
      </c>
      <c r="C978" s="435" t="str">
        <f>IF(合并现金流量表!G41=0,"-",TEXT(合并现金流量表!G41,"#,##0.00"))</f>
        <v>-</v>
      </c>
    </row>
    <row r="979" spans="1:3">
      <c r="A979" s="432" t="s">
        <v>1268</v>
      </c>
      <c r="B979" s="432" t="str">
        <f t="shared" si="15"/>
        <v>-</v>
      </c>
      <c r="C979" s="435" t="str">
        <f>IF(合并现金流量表!G42=0,"-",TEXT(合并现金流量表!G42,"#,##0.00"))</f>
        <v>-</v>
      </c>
    </row>
    <row r="980" spans="1:3">
      <c r="A980" s="432" t="s">
        <v>1269</v>
      </c>
      <c r="B980" s="432" t="str">
        <f t="shared" si="15"/>
        <v>-</v>
      </c>
      <c r="C980" s="435" t="str">
        <f>IF(合并现金流量表!H5=0,"-",TEXT(合并现金流量表!H5,"#,##0.00"))</f>
        <v>-</v>
      </c>
    </row>
    <row r="981" spans="1:3">
      <c r="A981" s="432" t="s">
        <v>1270</v>
      </c>
      <c r="B981" s="432" t="str">
        <f t="shared" si="15"/>
        <v>-</v>
      </c>
      <c r="C981" s="435" t="str">
        <f>IF(合并现金流量表!H6=0,"-",TEXT(合并现金流量表!H6,"#,##0.00"))</f>
        <v>-</v>
      </c>
    </row>
    <row r="982" spans="1:3">
      <c r="A982" s="432" t="s">
        <v>1271</v>
      </c>
      <c r="B982" s="432" t="str">
        <f t="shared" si="15"/>
        <v>-</v>
      </c>
      <c r="C982" s="435" t="str">
        <f>IF(合并现金流量表!H7=0,"-",TEXT(合并现金流量表!H7,"#,##0.00"))</f>
        <v>-</v>
      </c>
    </row>
    <row r="983" spans="1:3">
      <c r="A983" s="432" t="s">
        <v>1272</v>
      </c>
      <c r="B983" s="432" t="str">
        <f t="shared" si="15"/>
        <v>-</v>
      </c>
      <c r="C983" s="435" t="str">
        <f>IF(合并现金流量表!H8=0,"-",TEXT(合并现金流量表!H8,"#,##0.00"))</f>
        <v>-</v>
      </c>
    </row>
    <row r="984" spans="1:3">
      <c r="A984" s="432" t="s">
        <v>1273</v>
      </c>
      <c r="B984" s="432" t="str">
        <f t="shared" si="15"/>
        <v>-</v>
      </c>
      <c r="C984" s="435" t="str">
        <f>IF(合并现金流量表!H9=0,"-",TEXT(合并现金流量表!H9,"#,##0.00"))</f>
        <v>-</v>
      </c>
    </row>
    <row r="985" spans="1:3">
      <c r="A985" s="432" t="s">
        <v>1274</v>
      </c>
      <c r="B985" s="432" t="str">
        <f t="shared" si="15"/>
        <v>-</v>
      </c>
      <c r="C985" s="435" t="str">
        <f>IF(合并现金流量表!H10=0,"-",TEXT(合并现金流量表!H10,"#,##0.00"))</f>
        <v>-</v>
      </c>
    </row>
    <row r="986" spans="1:3">
      <c r="A986" s="432" t="s">
        <v>1275</v>
      </c>
      <c r="B986" s="432" t="str">
        <f t="shared" si="15"/>
        <v>-</v>
      </c>
      <c r="C986" s="435" t="str">
        <f>IF(合并现金流量表!H11=0,"-",TEXT(合并现金流量表!H11,"#,##0.00"))</f>
        <v>-</v>
      </c>
    </row>
    <row r="987" spans="1:3">
      <c r="A987" s="432" t="s">
        <v>1276</v>
      </c>
      <c r="B987" s="432" t="str">
        <f t="shared" si="15"/>
        <v>-</v>
      </c>
      <c r="C987" s="435" t="str">
        <f>IF(合并现金流量表!H12=0,"-",TEXT(合并现金流量表!H12,"#,##0.00"))</f>
        <v>-</v>
      </c>
    </row>
    <row r="988" spans="1:3">
      <c r="A988" s="432" t="s">
        <v>1277</v>
      </c>
      <c r="B988" s="432" t="str">
        <f t="shared" si="15"/>
        <v>-</v>
      </c>
      <c r="C988" s="435" t="str">
        <f>IF(合并现金流量表!H13=0,"-",TEXT(合并现金流量表!H13,"#,##0.00"))</f>
        <v>-</v>
      </c>
    </row>
    <row r="989" spans="1:3">
      <c r="A989" s="432" t="s">
        <v>1278</v>
      </c>
      <c r="B989" s="432" t="str">
        <f t="shared" si="15"/>
        <v>-</v>
      </c>
      <c r="C989" s="435" t="str">
        <f>IF(合并现金流量表!H14=0,"-",TEXT(合并现金流量表!H14,"#,##0.00"))</f>
        <v>-</v>
      </c>
    </row>
    <row r="990" spans="1:3">
      <c r="A990" s="432" t="s">
        <v>1279</v>
      </c>
      <c r="B990" s="432" t="str">
        <f t="shared" si="15"/>
        <v>-</v>
      </c>
      <c r="C990" s="435" t="str">
        <f>IF(合并现金流量表!H16=0,"-",TEXT(合并现金流量表!H16,"#,##0.00"))</f>
        <v>-</v>
      </c>
    </row>
    <row r="991" spans="1:3">
      <c r="A991" s="432" t="s">
        <v>1280</v>
      </c>
      <c r="B991" s="432" t="str">
        <f t="shared" si="15"/>
        <v>-</v>
      </c>
      <c r="C991" s="435" t="str">
        <f>IF(合并现金流量表!H17=0,"-",TEXT(合并现金流量表!H17,"#,##0.00"))</f>
        <v>-</v>
      </c>
    </row>
    <row r="992" spans="1:3">
      <c r="A992" s="432" t="s">
        <v>1281</v>
      </c>
      <c r="B992" s="432" t="str">
        <f t="shared" si="15"/>
        <v>-</v>
      </c>
      <c r="C992" s="435" t="str">
        <f>IF(合并现金流量表!H18=0,"-",TEXT(合并现金流量表!H18,"#,##0.00"))</f>
        <v>-</v>
      </c>
    </row>
    <row r="993" spans="1:3">
      <c r="A993" s="432" t="s">
        <v>1282</v>
      </c>
      <c r="B993" s="432" t="str">
        <f t="shared" si="15"/>
        <v>-</v>
      </c>
      <c r="C993" s="435" t="str">
        <f>IF(合并现金流量表!H19=0,"-",TEXT(合并现金流量表!H19,"#,##0.00"))</f>
        <v>-</v>
      </c>
    </row>
    <row r="994" spans="1:3">
      <c r="A994" s="432" t="s">
        <v>1283</v>
      </c>
      <c r="B994" s="432" t="str">
        <f t="shared" si="15"/>
        <v>-</v>
      </c>
      <c r="C994" s="435" t="str">
        <f>IF(合并现金流量表!H20=0,"-",TEXT(合并现金流量表!H20,"#,##0.00"))</f>
        <v>-</v>
      </c>
    </row>
    <row r="995" spans="1:3">
      <c r="A995" s="432" t="s">
        <v>1284</v>
      </c>
      <c r="B995" s="432" t="str">
        <f t="shared" si="15"/>
        <v>-</v>
      </c>
      <c r="C995" s="435" t="str">
        <f>IF(合并现金流量表!H21=0,"-",TEXT(合并现金流量表!H21,"#,##0.00"))</f>
        <v>-</v>
      </c>
    </row>
    <row r="996" spans="1:3">
      <c r="A996" s="432" t="s">
        <v>1285</v>
      </c>
      <c r="B996" s="432" t="str">
        <f t="shared" si="15"/>
        <v>-</v>
      </c>
      <c r="C996" s="435" t="str">
        <f>IF(合并现金流量表!H22=0,"-",TEXT(合并现金流量表!H22,"#,##0.00"))</f>
        <v>-</v>
      </c>
    </row>
    <row r="997" spans="1:3">
      <c r="A997" s="432" t="s">
        <v>1286</v>
      </c>
      <c r="B997" s="432" t="str">
        <f t="shared" si="15"/>
        <v>-</v>
      </c>
      <c r="C997" s="435" t="str">
        <f>IF(合并现金流量表!H23=0,"-",TEXT(合并现金流量表!H23,"#,##0.00"))</f>
        <v>-</v>
      </c>
    </row>
    <row r="998" spans="1:3">
      <c r="A998" s="432" t="s">
        <v>1287</v>
      </c>
      <c r="B998" s="432" t="str">
        <f t="shared" si="15"/>
        <v>-</v>
      </c>
      <c r="C998" s="435" t="str">
        <f>IF(合并现金流量表!H24=0,"-",TEXT(合并现金流量表!H24,"#,##0.00"))</f>
        <v>-</v>
      </c>
    </row>
    <row r="999" spans="1:3">
      <c r="A999" s="432" t="s">
        <v>1288</v>
      </c>
      <c r="B999" s="432" t="str">
        <f t="shared" si="15"/>
        <v>-</v>
      </c>
      <c r="C999" s="435" t="str">
        <f>IF(合并现金流量表!H25=0,"-",TEXT(合并现金流量表!H25,"#,##0.00"))</f>
        <v>-</v>
      </c>
    </row>
    <row r="1000" spans="1:3">
      <c r="A1000" s="432" t="s">
        <v>1289</v>
      </c>
      <c r="B1000" s="432" t="str">
        <f t="shared" si="15"/>
        <v>-</v>
      </c>
      <c r="C1000" s="435" t="str">
        <f>IF(合并现金流量表!H26=0,"-",TEXT(合并现金流量表!H26,"#,##0.00"))</f>
        <v>-</v>
      </c>
    </row>
    <row r="1001" spans="1:3">
      <c r="A1001" s="432" t="s">
        <v>1290</v>
      </c>
      <c r="B1001" s="432" t="str">
        <f t="shared" si="15"/>
        <v>-</v>
      </c>
      <c r="C1001" s="435" t="str">
        <f>IF(合并现金流量表!H27=0,"-",TEXT(合并现金流量表!H27,"#,##0.00"))</f>
        <v>-</v>
      </c>
    </row>
    <row r="1002" spans="1:3">
      <c r="A1002" s="432" t="s">
        <v>1291</v>
      </c>
      <c r="B1002" s="432" t="str">
        <f t="shared" si="15"/>
        <v>-</v>
      </c>
      <c r="C1002" s="435" t="str">
        <f>IF(合并现金流量表!H29=0,"-",TEXT(合并现金流量表!H29,"#,##0.00"))</f>
        <v>-</v>
      </c>
    </row>
    <row r="1003" spans="1:3">
      <c r="A1003" s="432" t="s">
        <v>1292</v>
      </c>
      <c r="B1003" s="432" t="str">
        <f t="shared" si="15"/>
        <v>-</v>
      </c>
      <c r="C1003" s="435" t="str">
        <f>IF(合并现金流量表!H30=0,"-",TEXT(合并现金流量表!H30,"#,##0.00"))</f>
        <v>-</v>
      </c>
    </row>
    <row r="1004" spans="1:3">
      <c r="A1004" s="432" t="s">
        <v>1293</v>
      </c>
      <c r="B1004" s="432" t="str">
        <f t="shared" si="15"/>
        <v>-</v>
      </c>
      <c r="C1004" s="435" t="str">
        <f>IF(合并现金流量表!H31=0,"-",TEXT(合并现金流量表!H31,"#,##0.00"))</f>
        <v>-</v>
      </c>
    </row>
    <row r="1005" spans="1:3">
      <c r="A1005" s="432" t="s">
        <v>1294</v>
      </c>
      <c r="B1005" s="432" t="str">
        <f t="shared" si="15"/>
        <v>-</v>
      </c>
      <c r="C1005" s="435" t="str">
        <f>IF(合并现金流量表!H32=0,"-",TEXT(合并现金流量表!H32,"#,##0.00"))</f>
        <v>-</v>
      </c>
    </row>
    <row r="1006" spans="1:3">
      <c r="A1006" s="432" t="s">
        <v>1295</v>
      </c>
      <c r="B1006" s="432" t="str">
        <f t="shared" si="15"/>
        <v>-</v>
      </c>
      <c r="C1006" s="435" t="str">
        <f>IF(合并现金流量表!H33=0,"-",TEXT(合并现金流量表!H33,"#,##0.00"))</f>
        <v>-</v>
      </c>
    </row>
    <row r="1007" spans="1:3">
      <c r="A1007" s="432" t="s">
        <v>1296</v>
      </c>
      <c r="B1007" s="432" t="str">
        <f t="shared" si="15"/>
        <v>-</v>
      </c>
      <c r="C1007" s="435" t="str">
        <f>IF(合并现金流量表!H34=0,"-",TEXT(合并现金流量表!H34,"#,##0.00"))</f>
        <v>-</v>
      </c>
    </row>
    <row r="1008" spans="1:3">
      <c r="A1008" s="432" t="s">
        <v>1297</v>
      </c>
      <c r="B1008" s="432" t="str">
        <f t="shared" si="15"/>
        <v>-</v>
      </c>
      <c r="C1008" s="435" t="str">
        <f>IF(合并现金流量表!H35=0,"-",TEXT(合并现金流量表!H35,"#,##0.00"))</f>
        <v>-</v>
      </c>
    </row>
    <row r="1009" spans="1:3">
      <c r="A1009" s="432" t="s">
        <v>1298</v>
      </c>
      <c r="B1009" s="432" t="str">
        <f t="shared" si="15"/>
        <v>-</v>
      </c>
      <c r="C1009" s="435" t="str">
        <f>IF(合并现金流量表!H36=0,"-",TEXT(合并现金流量表!H36,"#,##0.00"))</f>
        <v>-</v>
      </c>
    </row>
    <row r="1010" spans="1:3">
      <c r="A1010" s="432" t="s">
        <v>1299</v>
      </c>
      <c r="B1010" s="432" t="str">
        <f t="shared" si="15"/>
        <v>-</v>
      </c>
      <c r="C1010" s="435" t="str">
        <f>IF(合并现金流量表!H37=0,"-",TEXT(合并现金流量表!H37,"#,##0.00"))</f>
        <v>-</v>
      </c>
    </row>
    <row r="1011" spans="1:3">
      <c r="A1011" s="432" t="s">
        <v>1300</v>
      </c>
      <c r="B1011" s="432" t="str">
        <f t="shared" si="15"/>
        <v>-</v>
      </c>
      <c r="C1011" s="435" t="str">
        <f>IF(合并现金流量表!H38=0,"-",TEXT(合并现金流量表!H38,"#,##0.00"))</f>
        <v>-</v>
      </c>
    </row>
    <row r="1012" spans="1:3">
      <c r="A1012" s="432" t="s">
        <v>1301</v>
      </c>
      <c r="B1012" s="432" t="str">
        <f t="shared" si="15"/>
        <v>-</v>
      </c>
      <c r="C1012" s="435" t="str">
        <f>IF(合并现金流量表!H39=0,"-",TEXT(合并现金流量表!H39,"#,##0.00"))</f>
        <v>-</v>
      </c>
    </row>
    <row r="1013" spans="1:3">
      <c r="A1013" s="432" t="s">
        <v>1302</v>
      </c>
      <c r="B1013" s="432" t="str">
        <f t="shared" si="15"/>
        <v>-</v>
      </c>
      <c r="C1013" s="435" t="str">
        <f>IF(合并现金流量表!H40=0,"-",TEXT(合并现金流量表!H40,"#,##0.00"))</f>
        <v>-</v>
      </c>
    </row>
    <row r="1014" spans="1:3">
      <c r="A1014" s="432" t="s">
        <v>1303</v>
      </c>
      <c r="B1014" s="432" t="str">
        <f t="shared" si="15"/>
        <v>-</v>
      </c>
      <c r="C1014" s="435" t="str">
        <f>IF(合并现金流量表!H41=0,"-",TEXT(合并现金流量表!H41,"#,##0.00"))</f>
        <v>-</v>
      </c>
    </row>
    <row r="1015" spans="1:3">
      <c r="A1015" s="432" t="s">
        <v>1304</v>
      </c>
      <c r="B1015" s="432" t="str">
        <f t="shared" si="15"/>
        <v>-</v>
      </c>
      <c r="C1015" s="435" t="str">
        <f>IF(合并现金流量表!H42=0,"-",TEXT(合并现金流量表!H42,"#,##0.00"))</f>
        <v>-</v>
      </c>
    </row>
    <row r="1016" spans="1:3">
      <c r="A1016" s="432" t="s">
        <v>1305</v>
      </c>
      <c r="B1016" s="432" t="str">
        <f t="shared" si="15"/>
        <v>-</v>
      </c>
      <c r="C1016" s="435" t="str">
        <f>IF(合并现金流量表!I5=0,"-",TEXT(合并现金流量表!I5,"#,##0.00"))</f>
        <v>-</v>
      </c>
    </row>
    <row r="1017" spans="1:3">
      <c r="A1017" s="432" t="s">
        <v>1306</v>
      </c>
      <c r="B1017" s="432" t="str">
        <f t="shared" si="15"/>
        <v>-</v>
      </c>
      <c r="C1017" s="435" t="str">
        <f>IF(合并现金流量表!I6=0,"-",TEXT(合并现金流量表!I6,"#,##0.00"))</f>
        <v>-</v>
      </c>
    </row>
    <row r="1018" spans="1:3">
      <c r="A1018" s="432" t="s">
        <v>1307</v>
      </c>
      <c r="B1018" s="432" t="str">
        <f t="shared" si="15"/>
        <v>-</v>
      </c>
      <c r="C1018" s="435" t="str">
        <f>IF(合并现金流量表!I7=0,"-",TEXT(合并现金流量表!I7,"#,##0.00"))</f>
        <v>-</v>
      </c>
    </row>
    <row r="1019" spans="1:3">
      <c r="A1019" s="432" t="s">
        <v>1308</v>
      </c>
      <c r="B1019" s="432" t="str">
        <f t="shared" si="15"/>
        <v>-</v>
      </c>
      <c r="C1019" s="435" t="str">
        <f>IF(合并现金流量表!I8=0,"-",TEXT(合并现金流量表!I8,"#,##0.00"))</f>
        <v>-</v>
      </c>
    </row>
    <row r="1020" spans="1:3">
      <c r="A1020" s="432" t="s">
        <v>1309</v>
      </c>
      <c r="B1020" s="432" t="str">
        <f t="shared" si="15"/>
        <v>-</v>
      </c>
      <c r="C1020" s="435" t="str">
        <f>IF(合并现金流量表!I9=0,"-",TEXT(合并现金流量表!I9,"#,##0.00"))</f>
        <v>-</v>
      </c>
    </row>
    <row r="1021" spans="1:3">
      <c r="A1021" s="432" t="s">
        <v>1310</v>
      </c>
      <c r="B1021" s="432" t="str">
        <f t="shared" si="15"/>
        <v>-</v>
      </c>
      <c r="C1021" s="435" t="str">
        <f>IF(合并现金流量表!I10=0,"-",TEXT(合并现金流量表!I10,"#,##0.00"))</f>
        <v>-</v>
      </c>
    </row>
    <row r="1022" spans="1:3">
      <c r="A1022" s="432" t="s">
        <v>1311</v>
      </c>
      <c r="B1022" s="432" t="str">
        <f t="shared" si="15"/>
        <v>-</v>
      </c>
      <c r="C1022" s="435" t="str">
        <f>IF(合并现金流量表!I11=0,"-",TEXT(合并现金流量表!I11,"#,##0.00"))</f>
        <v>-</v>
      </c>
    </row>
    <row r="1023" spans="1:3">
      <c r="A1023" s="432" t="s">
        <v>1312</v>
      </c>
      <c r="B1023" s="432" t="str">
        <f t="shared" si="15"/>
        <v>-</v>
      </c>
      <c r="C1023" s="435" t="str">
        <f>IF(合并现金流量表!I12=0,"-",TEXT(合并现金流量表!I12,"#,##0.00"))</f>
        <v>-</v>
      </c>
    </row>
    <row r="1024" spans="1:3">
      <c r="A1024" s="432" t="s">
        <v>1313</v>
      </c>
      <c r="B1024" s="432" t="str">
        <f t="shared" si="15"/>
        <v>-</v>
      </c>
      <c r="C1024" s="435" t="str">
        <f>IF(合并现金流量表!I13=0,"-",TEXT(合并现金流量表!I13,"#,##0.00"))</f>
        <v>-</v>
      </c>
    </row>
    <row r="1025" spans="1:3">
      <c r="A1025" s="432" t="s">
        <v>1314</v>
      </c>
      <c r="B1025" s="432" t="str">
        <f t="shared" si="15"/>
        <v>-</v>
      </c>
      <c r="C1025" s="435" t="str">
        <f>IF(合并现金流量表!I14=0,"-",TEXT(合并现金流量表!I14,"#,##0.00"))</f>
        <v>-</v>
      </c>
    </row>
    <row r="1026" spans="1:3">
      <c r="A1026" s="432" t="s">
        <v>1315</v>
      </c>
      <c r="B1026" s="432" t="str">
        <f t="shared" si="15"/>
        <v>-</v>
      </c>
      <c r="C1026" s="435" t="str">
        <f>IF(合并现金流量表!I16=0,"-",TEXT(合并现金流量表!I16,"#,##0.00"))</f>
        <v>-</v>
      </c>
    </row>
    <row r="1027" spans="1:3">
      <c r="A1027" s="432" t="s">
        <v>1316</v>
      </c>
      <c r="B1027" s="432" t="str">
        <f t="shared" si="15"/>
        <v>-</v>
      </c>
      <c r="C1027" s="435" t="str">
        <f>IF(合并现金流量表!I17=0,"-",TEXT(合并现金流量表!I17,"#,##0.00"))</f>
        <v>-</v>
      </c>
    </row>
    <row r="1028" spans="1:3">
      <c r="A1028" s="432" t="s">
        <v>1317</v>
      </c>
      <c r="B1028" s="432" t="str">
        <f t="shared" si="15"/>
        <v>-</v>
      </c>
      <c r="C1028" s="435" t="str">
        <f>IF(合并现金流量表!I18=0,"-",TEXT(合并现金流量表!I18,"#,##0.00"))</f>
        <v>-</v>
      </c>
    </row>
    <row r="1029" spans="1:3">
      <c r="A1029" s="432" t="s">
        <v>1318</v>
      </c>
      <c r="B1029" s="432" t="str">
        <f t="shared" si="15"/>
        <v>-</v>
      </c>
      <c r="C1029" s="435" t="str">
        <f>IF(合并现金流量表!I19=0,"-",TEXT(合并现金流量表!I19,"#,##0.00"))</f>
        <v>-</v>
      </c>
    </row>
    <row r="1030" spans="1:3">
      <c r="A1030" s="432" t="s">
        <v>1319</v>
      </c>
      <c r="B1030" s="432" t="str">
        <f t="shared" si="15"/>
        <v>-</v>
      </c>
      <c r="C1030" s="435" t="str">
        <f>IF(合并现金流量表!I20=0,"-",TEXT(合并现金流量表!I20,"#,##0.00"))</f>
        <v>-</v>
      </c>
    </row>
    <row r="1031" spans="1:3">
      <c r="A1031" s="432" t="s">
        <v>1320</v>
      </c>
      <c r="B1031" s="432" t="str">
        <f t="shared" si="15"/>
        <v>-</v>
      </c>
      <c r="C1031" s="435" t="str">
        <f>IF(合并现金流量表!I21=0,"-",TEXT(合并现金流量表!I21,"#,##0.00"))</f>
        <v>-</v>
      </c>
    </row>
    <row r="1032" spans="1:3">
      <c r="A1032" s="432" t="s">
        <v>1321</v>
      </c>
      <c r="B1032" s="432" t="str">
        <f t="shared" ref="B1032:B1095" si="16">TRIM(C1032)</f>
        <v>-</v>
      </c>
      <c r="C1032" s="435" t="str">
        <f>IF(合并现金流量表!I22=0,"-",TEXT(合并现金流量表!I22,"#,##0.00"))</f>
        <v>-</v>
      </c>
    </row>
    <row r="1033" spans="1:3">
      <c r="A1033" s="432" t="s">
        <v>1322</v>
      </c>
      <c r="B1033" s="432" t="str">
        <f t="shared" si="16"/>
        <v>-</v>
      </c>
      <c r="C1033" s="435" t="str">
        <f>IF(合并现金流量表!I23=0,"-",TEXT(合并现金流量表!I23,"#,##0.00"))</f>
        <v>-</v>
      </c>
    </row>
    <row r="1034" spans="1:3">
      <c r="A1034" s="432" t="s">
        <v>1323</v>
      </c>
      <c r="B1034" s="432" t="str">
        <f t="shared" si="16"/>
        <v>-</v>
      </c>
      <c r="C1034" s="435" t="str">
        <f>IF(合并现金流量表!I24=0,"-",TEXT(合并现金流量表!I24,"#,##0.00"))</f>
        <v>-</v>
      </c>
    </row>
    <row r="1035" spans="1:3">
      <c r="A1035" s="432" t="s">
        <v>1324</v>
      </c>
      <c r="B1035" s="432" t="str">
        <f t="shared" si="16"/>
        <v>-</v>
      </c>
      <c r="C1035" s="435" t="str">
        <f>IF(合并现金流量表!I25=0,"-",TEXT(合并现金流量表!I25,"#,##0.00"))</f>
        <v>-</v>
      </c>
    </row>
    <row r="1036" spans="1:3">
      <c r="A1036" s="432" t="s">
        <v>1325</v>
      </c>
      <c r="B1036" s="432" t="str">
        <f t="shared" si="16"/>
        <v>-</v>
      </c>
      <c r="C1036" s="435" t="str">
        <f>IF(合并现金流量表!I26=0,"-",TEXT(合并现金流量表!I26,"#,##0.00"))</f>
        <v>-</v>
      </c>
    </row>
    <row r="1037" spans="1:3">
      <c r="A1037" s="432" t="s">
        <v>1326</v>
      </c>
      <c r="B1037" s="432" t="str">
        <f t="shared" si="16"/>
        <v>-</v>
      </c>
      <c r="C1037" s="435" t="str">
        <f>IF(合并现金流量表!I27=0,"-",TEXT(合并现金流量表!I27,"#,##0.00"))</f>
        <v>-</v>
      </c>
    </row>
    <row r="1038" spans="1:3">
      <c r="A1038" s="432" t="s">
        <v>1327</v>
      </c>
      <c r="B1038" s="432" t="str">
        <f t="shared" si="16"/>
        <v>-</v>
      </c>
      <c r="C1038" s="435" t="str">
        <f>IF(合并现金流量表!I29=0,"-",TEXT(合并现金流量表!I29,"#,##0.00"))</f>
        <v>-</v>
      </c>
    </row>
    <row r="1039" spans="1:3">
      <c r="A1039" s="432" t="s">
        <v>1328</v>
      </c>
      <c r="B1039" s="432" t="str">
        <f t="shared" si="16"/>
        <v>-</v>
      </c>
      <c r="C1039" s="435" t="str">
        <f>IF(合并现金流量表!I30=0,"-",TEXT(合并现金流量表!I30,"#,##0.00"))</f>
        <v>-</v>
      </c>
    </row>
    <row r="1040" spans="1:3">
      <c r="A1040" s="432" t="s">
        <v>1329</v>
      </c>
      <c r="B1040" s="432" t="str">
        <f t="shared" si="16"/>
        <v>-</v>
      </c>
      <c r="C1040" s="435" t="str">
        <f>IF(合并现金流量表!I31=0,"-",TEXT(合并现金流量表!I31,"#,##0.00"))</f>
        <v>-</v>
      </c>
    </row>
    <row r="1041" spans="1:5">
      <c r="A1041" s="432" t="s">
        <v>1330</v>
      </c>
      <c r="B1041" s="432" t="str">
        <f t="shared" si="16"/>
        <v>-</v>
      </c>
      <c r="C1041" s="435" t="str">
        <f>IF(合并现金流量表!I32=0,"-",TEXT(合并现金流量表!I32,"#,##0.00"))</f>
        <v>-</v>
      </c>
    </row>
    <row r="1042" spans="1:5">
      <c r="A1042" s="432" t="s">
        <v>1331</v>
      </c>
      <c r="B1042" s="432" t="str">
        <f t="shared" si="16"/>
        <v>-</v>
      </c>
      <c r="C1042" s="435" t="str">
        <f>IF(合并现金流量表!I33=0,"-",TEXT(合并现金流量表!I33,"#,##0.00"))</f>
        <v>-</v>
      </c>
    </row>
    <row r="1043" spans="1:5">
      <c r="A1043" s="432" t="s">
        <v>1332</v>
      </c>
      <c r="B1043" s="432" t="str">
        <f t="shared" si="16"/>
        <v>-</v>
      </c>
      <c r="C1043" s="435" t="str">
        <f>IF(合并现金流量表!I34=0,"-",TEXT(合并现金流量表!I34,"#,##0.00"))</f>
        <v>-</v>
      </c>
    </row>
    <row r="1044" spans="1:5">
      <c r="A1044" s="432" t="s">
        <v>1333</v>
      </c>
      <c r="B1044" s="432" t="str">
        <f t="shared" si="16"/>
        <v>-</v>
      </c>
      <c r="C1044" s="435" t="str">
        <f>IF(合并现金流量表!I35=0,"-",TEXT(合并现金流量表!I35,"#,##0.00"))</f>
        <v>-</v>
      </c>
    </row>
    <row r="1045" spans="1:5">
      <c r="A1045" s="432" t="s">
        <v>1334</v>
      </c>
      <c r="B1045" s="432" t="str">
        <f t="shared" si="16"/>
        <v>-</v>
      </c>
      <c r="C1045" s="435" t="str">
        <f>IF(合并现金流量表!I36=0,"-",TEXT(合并现金流量表!I36,"#,##0.00"))</f>
        <v>-</v>
      </c>
    </row>
    <row r="1046" spans="1:5">
      <c r="A1046" s="432" t="s">
        <v>1335</v>
      </c>
      <c r="B1046" s="432" t="str">
        <f t="shared" si="16"/>
        <v>-</v>
      </c>
      <c r="C1046" s="435" t="str">
        <f>IF(合并现金流量表!I37=0,"-",TEXT(合并现金流量表!I37,"#,##0.00"))</f>
        <v>-</v>
      </c>
    </row>
    <row r="1047" spans="1:5">
      <c r="A1047" s="432" t="s">
        <v>1336</v>
      </c>
      <c r="B1047" s="432" t="str">
        <f t="shared" si="16"/>
        <v>-</v>
      </c>
      <c r="C1047" s="435" t="str">
        <f>IF(合并现金流量表!I38=0,"-",TEXT(合并现金流量表!I38,"#,##0.00"))</f>
        <v>-</v>
      </c>
    </row>
    <row r="1048" spans="1:5">
      <c r="A1048" s="432" t="s">
        <v>1337</v>
      </c>
      <c r="B1048" s="432" t="str">
        <f t="shared" si="16"/>
        <v>-</v>
      </c>
      <c r="C1048" s="435" t="str">
        <f>IF(合并现金流量表!I39=0,"-",TEXT(合并现金流量表!I39,"#,##0.00"))</f>
        <v>-</v>
      </c>
    </row>
    <row r="1049" spans="1:5">
      <c r="A1049" s="432" t="s">
        <v>1338</v>
      </c>
      <c r="B1049" s="432" t="str">
        <f t="shared" si="16"/>
        <v>-</v>
      </c>
      <c r="C1049" s="435" t="str">
        <f>IF(合并现金流量表!I40=0,"-",TEXT(合并现金流量表!I40,"#,##0.00"))</f>
        <v>-</v>
      </c>
    </row>
    <row r="1050" spans="1:5">
      <c r="A1050" s="432" t="s">
        <v>1339</v>
      </c>
      <c r="B1050" s="432" t="str">
        <f t="shared" si="16"/>
        <v>-</v>
      </c>
      <c r="C1050" s="435" t="str">
        <f>IF(合并现金流量表!I41=0,"-",TEXT(合并现金流量表!I41,"#,##0.00"))</f>
        <v>-</v>
      </c>
    </row>
    <row r="1051" spans="1:5">
      <c r="A1051" s="432" t="s">
        <v>1340</v>
      </c>
      <c r="B1051" s="432" t="str">
        <f t="shared" si="16"/>
        <v>-</v>
      </c>
      <c r="C1051" s="435" t="str">
        <f>IF(合并现金流量表!I42=0,"-",TEXT(合并现金流量表!I42,"#,##0.00"))</f>
        <v>-</v>
      </c>
    </row>
    <row r="1052" spans="1:5">
      <c r="A1052" s="432" t="s">
        <v>1469</v>
      </c>
      <c r="B1052" s="432" t="str">
        <f t="shared" si="16"/>
        <v>-</v>
      </c>
      <c r="C1052" s="435" t="str">
        <f>IF(母公司现金流量表!F5=0,"-",TEXT(母公司现金流量表!F5,"#,##0.00"))</f>
        <v>-</v>
      </c>
      <c r="E1052" s="436" t="s">
        <v>2287</v>
      </c>
    </row>
    <row r="1053" spans="1:5">
      <c r="A1053" s="432" t="s">
        <v>1470</v>
      </c>
      <c r="B1053" s="432" t="str">
        <f t="shared" si="16"/>
        <v>-</v>
      </c>
      <c r="C1053" s="435" t="str">
        <f>IF(母公司现金流量表!F6=0,"-",TEXT(母公司现金流量表!F6,"#,##0.00"))</f>
        <v>-</v>
      </c>
    </row>
    <row r="1054" spans="1:5">
      <c r="A1054" s="432" t="s">
        <v>1471</v>
      </c>
      <c r="B1054" s="432" t="str">
        <f t="shared" si="16"/>
        <v>-</v>
      </c>
      <c r="C1054" s="435" t="str">
        <f>IF(母公司现金流量表!F7=0,"-",TEXT(母公司现金流量表!F7,"#,##0.00"))</f>
        <v>-</v>
      </c>
    </row>
    <row r="1055" spans="1:5">
      <c r="A1055" s="432" t="s">
        <v>1472</v>
      </c>
      <c r="B1055" s="432" t="str">
        <f t="shared" si="16"/>
        <v>-</v>
      </c>
      <c r="C1055" s="435" t="str">
        <f>IF(母公司现金流量表!F8=0,"-",TEXT(母公司现金流量表!F8,"#,##0.00"))</f>
        <v>-</v>
      </c>
    </row>
    <row r="1056" spans="1:5">
      <c r="A1056" s="432" t="s">
        <v>1473</v>
      </c>
      <c r="B1056" s="432" t="str">
        <f t="shared" si="16"/>
        <v>-</v>
      </c>
      <c r="C1056" s="435" t="str">
        <f>IF(母公司现金流量表!F9=0,"-",TEXT(母公司现金流量表!F9,"#,##0.00"))</f>
        <v>-</v>
      </c>
    </row>
    <row r="1057" spans="1:3">
      <c r="A1057" s="432" t="s">
        <v>1474</v>
      </c>
      <c r="B1057" s="432" t="str">
        <f t="shared" si="16"/>
        <v>-</v>
      </c>
      <c r="C1057" s="435" t="str">
        <f>IF(母公司现金流量表!F10=0,"-",TEXT(母公司现金流量表!F10,"#,##0.00"))</f>
        <v>-</v>
      </c>
    </row>
    <row r="1058" spans="1:3">
      <c r="A1058" s="432" t="s">
        <v>1475</v>
      </c>
      <c r="B1058" s="432" t="str">
        <f t="shared" si="16"/>
        <v>-</v>
      </c>
      <c r="C1058" s="435" t="str">
        <f>IF(母公司现金流量表!F11=0,"-",TEXT(母公司现金流量表!F11,"#,##0.00"))</f>
        <v>-</v>
      </c>
    </row>
    <row r="1059" spans="1:3">
      <c r="A1059" s="432" t="s">
        <v>1476</v>
      </c>
      <c r="B1059" s="432" t="str">
        <f t="shared" si="16"/>
        <v>-</v>
      </c>
      <c r="C1059" s="435" t="str">
        <f>IF(母公司现金流量表!F12=0,"-",TEXT(母公司现金流量表!F12,"#,##0.00"))</f>
        <v>-</v>
      </c>
    </row>
    <row r="1060" spans="1:3">
      <c r="A1060" s="432" t="s">
        <v>1477</v>
      </c>
      <c r="B1060" s="432" t="str">
        <f t="shared" si="16"/>
        <v>-</v>
      </c>
      <c r="C1060" s="435" t="str">
        <f>IF(母公司现金流量表!F13=0,"-",TEXT(母公司现金流量表!F13,"#,##0.00"))</f>
        <v>-</v>
      </c>
    </row>
    <row r="1061" spans="1:3">
      <c r="A1061" s="432" t="s">
        <v>1478</v>
      </c>
      <c r="B1061" s="432" t="str">
        <f t="shared" si="16"/>
        <v>-</v>
      </c>
      <c r="C1061" s="435" t="str">
        <f>IF(母公司现金流量表!F14=0,"-",TEXT(母公司现金流量表!F14,"#,##0.00"))</f>
        <v>-</v>
      </c>
    </row>
    <row r="1062" spans="1:3">
      <c r="A1062" s="432" t="s">
        <v>1479</v>
      </c>
      <c r="B1062" s="432" t="str">
        <f t="shared" si="16"/>
        <v>-</v>
      </c>
      <c r="C1062" s="435" t="str">
        <f>IF(母公司现金流量表!F16=0,"-",TEXT(母公司现金流量表!F16,"#,##0.00"))</f>
        <v>-</v>
      </c>
    </row>
    <row r="1063" spans="1:3">
      <c r="A1063" s="432" t="s">
        <v>1480</v>
      </c>
      <c r="B1063" s="432" t="str">
        <f t="shared" si="16"/>
        <v>-</v>
      </c>
      <c r="C1063" s="435" t="str">
        <f>IF(母公司现金流量表!F17=0,"-",TEXT(母公司现金流量表!F17,"#,##0.00"))</f>
        <v>-</v>
      </c>
    </row>
    <row r="1064" spans="1:3">
      <c r="A1064" s="432" t="s">
        <v>1481</v>
      </c>
      <c r="B1064" s="432" t="str">
        <f t="shared" si="16"/>
        <v>-</v>
      </c>
      <c r="C1064" s="435" t="str">
        <f>IF(母公司现金流量表!F18=0,"-",TEXT(母公司现金流量表!F18,"#,##0.00"))</f>
        <v>-</v>
      </c>
    </row>
    <row r="1065" spans="1:3">
      <c r="A1065" s="432" t="s">
        <v>1482</v>
      </c>
      <c r="B1065" s="432" t="str">
        <f t="shared" si="16"/>
        <v>-</v>
      </c>
      <c r="C1065" s="435" t="str">
        <f>IF(母公司现金流量表!F19=0,"-",TEXT(母公司现金流量表!F19,"#,##0.00"))</f>
        <v>-</v>
      </c>
    </row>
    <row r="1066" spans="1:3">
      <c r="A1066" s="432" t="s">
        <v>1483</v>
      </c>
      <c r="B1066" s="432" t="str">
        <f t="shared" si="16"/>
        <v>-</v>
      </c>
      <c r="C1066" s="435" t="str">
        <f>IF(母公司现金流量表!F20=0,"-",TEXT(母公司现金流量表!F20,"#,##0.00"))</f>
        <v>-</v>
      </c>
    </row>
    <row r="1067" spans="1:3">
      <c r="A1067" s="432" t="s">
        <v>1484</v>
      </c>
      <c r="B1067" s="432" t="str">
        <f t="shared" si="16"/>
        <v>-</v>
      </c>
      <c r="C1067" s="435" t="str">
        <f>IF(母公司现金流量表!F21=0,"-",TEXT(母公司现金流量表!F21,"#,##0.00"))</f>
        <v>-</v>
      </c>
    </row>
    <row r="1068" spans="1:3">
      <c r="A1068" s="432" t="s">
        <v>1485</v>
      </c>
      <c r="B1068" s="432" t="str">
        <f t="shared" si="16"/>
        <v>-</v>
      </c>
      <c r="C1068" s="435" t="str">
        <f>IF(母公司现金流量表!F22=0,"-",TEXT(母公司现金流量表!F22,"#,##0.00"))</f>
        <v>-</v>
      </c>
    </row>
    <row r="1069" spans="1:3">
      <c r="A1069" s="432" t="s">
        <v>1486</v>
      </c>
      <c r="B1069" s="432" t="str">
        <f t="shared" si="16"/>
        <v>-</v>
      </c>
      <c r="C1069" s="435" t="str">
        <f>IF(母公司现金流量表!F23=0,"-",TEXT(母公司现金流量表!F23,"#,##0.00"))</f>
        <v>-</v>
      </c>
    </row>
    <row r="1070" spans="1:3">
      <c r="A1070" s="432" t="s">
        <v>1487</v>
      </c>
      <c r="B1070" s="432" t="str">
        <f t="shared" si="16"/>
        <v>-</v>
      </c>
      <c r="C1070" s="435" t="str">
        <f>IF(母公司现金流量表!F24=0,"-",TEXT(母公司现金流量表!F24,"#,##0.00"))</f>
        <v>-</v>
      </c>
    </row>
    <row r="1071" spans="1:3">
      <c r="A1071" s="432" t="s">
        <v>1488</v>
      </c>
      <c r="B1071" s="432" t="str">
        <f t="shared" si="16"/>
        <v>-</v>
      </c>
      <c r="C1071" s="435" t="str">
        <f>IF(母公司现金流量表!F25=0,"-",TEXT(母公司现金流量表!F25,"#,##0.00"))</f>
        <v>-</v>
      </c>
    </row>
    <row r="1072" spans="1:3">
      <c r="A1072" s="432" t="s">
        <v>1489</v>
      </c>
      <c r="B1072" s="432" t="str">
        <f t="shared" si="16"/>
        <v>-</v>
      </c>
      <c r="C1072" s="435" t="str">
        <f>IF(母公司现金流量表!F26=0,"-",TEXT(母公司现金流量表!F26,"#,##0.00"))</f>
        <v>-</v>
      </c>
    </row>
    <row r="1073" spans="1:3">
      <c r="A1073" s="432" t="s">
        <v>1490</v>
      </c>
      <c r="B1073" s="432" t="str">
        <f t="shared" si="16"/>
        <v>-</v>
      </c>
      <c r="C1073" s="435" t="str">
        <f>IF(母公司现金流量表!F27=0,"-",TEXT(母公司现金流量表!F27,"#,##0.00"))</f>
        <v>-</v>
      </c>
    </row>
    <row r="1074" spans="1:3">
      <c r="A1074" s="432" t="s">
        <v>1491</v>
      </c>
      <c r="B1074" s="432" t="str">
        <f t="shared" si="16"/>
        <v>-</v>
      </c>
      <c r="C1074" s="435" t="str">
        <f>IF(母公司现金流量表!F29=0,"-",TEXT(母公司现金流量表!F29,"#,##0.00"))</f>
        <v>-</v>
      </c>
    </row>
    <row r="1075" spans="1:3">
      <c r="A1075" s="432" t="s">
        <v>1492</v>
      </c>
      <c r="B1075" s="432" t="str">
        <f t="shared" si="16"/>
        <v>-</v>
      </c>
      <c r="C1075" s="435" t="str">
        <f>IF(母公司现金流量表!F30=0,"-",TEXT(母公司现金流量表!F30,"#,##0.00"))</f>
        <v>-</v>
      </c>
    </row>
    <row r="1076" spans="1:3">
      <c r="A1076" s="432" t="s">
        <v>1493</v>
      </c>
      <c r="B1076" s="432" t="str">
        <f t="shared" si="16"/>
        <v>-</v>
      </c>
      <c r="C1076" s="435" t="str">
        <f>IF(母公司现金流量表!F31=0,"-",TEXT(母公司现金流量表!F31,"#,##0.00"))</f>
        <v>-</v>
      </c>
    </row>
    <row r="1077" spans="1:3">
      <c r="A1077" s="432" t="s">
        <v>1494</v>
      </c>
      <c r="B1077" s="432" t="str">
        <f t="shared" si="16"/>
        <v>-</v>
      </c>
      <c r="C1077" s="435" t="str">
        <f>IF(母公司现金流量表!F32=0,"-",TEXT(母公司现金流量表!F32,"#,##0.00"))</f>
        <v>-</v>
      </c>
    </row>
    <row r="1078" spans="1:3">
      <c r="A1078" s="432" t="s">
        <v>1495</v>
      </c>
      <c r="B1078" s="432" t="str">
        <f t="shared" si="16"/>
        <v>-</v>
      </c>
      <c r="C1078" s="435" t="str">
        <f>IF(母公司现金流量表!F33=0,"-",TEXT(母公司现金流量表!F33,"#,##0.00"))</f>
        <v>-</v>
      </c>
    </row>
    <row r="1079" spans="1:3">
      <c r="A1079" s="432" t="s">
        <v>1496</v>
      </c>
      <c r="B1079" s="432" t="str">
        <f t="shared" si="16"/>
        <v>-</v>
      </c>
      <c r="C1079" s="435" t="str">
        <f>IF(母公司现金流量表!F34=0,"-",TEXT(母公司现金流量表!F34,"#,##0.00"))</f>
        <v>-</v>
      </c>
    </row>
    <row r="1080" spans="1:3">
      <c r="A1080" s="432" t="s">
        <v>1497</v>
      </c>
      <c r="B1080" s="432" t="str">
        <f t="shared" si="16"/>
        <v>-</v>
      </c>
      <c r="C1080" s="435" t="str">
        <f>IF(母公司现金流量表!F35=0,"-",TEXT(母公司现金流量表!F35,"#,##0.00"))</f>
        <v>-</v>
      </c>
    </row>
    <row r="1081" spans="1:3">
      <c r="A1081" s="432" t="s">
        <v>1498</v>
      </c>
      <c r="B1081" s="432" t="str">
        <f t="shared" si="16"/>
        <v>-</v>
      </c>
      <c r="C1081" s="435" t="str">
        <f>IF(母公司现金流量表!F36=0,"-",TEXT(母公司现金流量表!F36,"#,##0.00"))</f>
        <v>-</v>
      </c>
    </row>
    <row r="1082" spans="1:3">
      <c r="A1082" s="432" t="s">
        <v>1499</v>
      </c>
      <c r="B1082" s="432" t="str">
        <f t="shared" si="16"/>
        <v>-</v>
      </c>
      <c r="C1082" s="435" t="str">
        <f>IF(母公司现金流量表!F37=0,"-",TEXT(母公司现金流量表!F37,"#,##0.00"))</f>
        <v>-</v>
      </c>
    </row>
    <row r="1083" spans="1:3">
      <c r="A1083" s="432" t="s">
        <v>1500</v>
      </c>
      <c r="B1083" s="432" t="str">
        <f t="shared" si="16"/>
        <v>-</v>
      </c>
      <c r="C1083" s="435" t="str">
        <f>IF(母公司现金流量表!F38=0,"-",TEXT(母公司现金流量表!F38,"#,##0.00"))</f>
        <v>-</v>
      </c>
    </row>
    <row r="1084" spans="1:3">
      <c r="A1084" s="432" t="s">
        <v>1501</v>
      </c>
      <c r="B1084" s="432" t="str">
        <f t="shared" si="16"/>
        <v>-</v>
      </c>
      <c r="C1084" s="435" t="str">
        <f>IF(母公司现金流量表!F39=0,"-",TEXT(母公司现金流量表!F39,"#,##0.00"))</f>
        <v>-</v>
      </c>
    </row>
    <row r="1085" spans="1:3">
      <c r="A1085" s="432" t="s">
        <v>1502</v>
      </c>
      <c r="B1085" s="432" t="str">
        <f t="shared" si="16"/>
        <v>-</v>
      </c>
      <c r="C1085" s="435" t="str">
        <f>IF(母公司现金流量表!F40=0,"-",TEXT(母公司现金流量表!F40,"#,##0.00"))</f>
        <v>-</v>
      </c>
    </row>
    <row r="1086" spans="1:3">
      <c r="A1086" s="432" t="s">
        <v>1503</v>
      </c>
      <c r="B1086" s="432" t="str">
        <f t="shared" si="16"/>
        <v>-</v>
      </c>
      <c r="C1086" s="435" t="str">
        <f>IF(母公司现金流量表!F41=0,"-",TEXT(母公司现金流量表!F41,"#,##0.00"))</f>
        <v>-</v>
      </c>
    </row>
    <row r="1087" spans="1:3">
      <c r="A1087" s="432" t="s">
        <v>1504</v>
      </c>
      <c r="B1087" s="432" t="str">
        <f t="shared" si="16"/>
        <v>-</v>
      </c>
      <c r="C1087" s="435" t="str">
        <f>IF(母公司现金流量表!F42=0,"-",TEXT(母公司现金流量表!F42,"#,##0.00"))</f>
        <v>-</v>
      </c>
    </row>
    <row r="1088" spans="1:3">
      <c r="A1088" s="432" t="s">
        <v>1505</v>
      </c>
      <c r="B1088" s="432" t="str">
        <f t="shared" si="16"/>
        <v>-</v>
      </c>
      <c r="C1088" s="435" t="str">
        <f>IF(母公司现金流量表!G5=0,"-",TEXT(母公司现金流量表!G5,"#,##0.00"))</f>
        <v>-</v>
      </c>
    </row>
    <row r="1089" spans="1:3">
      <c r="A1089" s="432" t="s">
        <v>1506</v>
      </c>
      <c r="B1089" s="432" t="str">
        <f t="shared" si="16"/>
        <v>-</v>
      </c>
      <c r="C1089" s="435" t="str">
        <f>IF(母公司现金流量表!G6=0,"-",TEXT(母公司现金流量表!G6,"#,##0.00"))</f>
        <v>-</v>
      </c>
    </row>
    <row r="1090" spans="1:3">
      <c r="A1090" s="432" t="s">
        <v>1507</v>
      </c>
      <c r="B1090" s="432" t="str">
        <f t="shared" si="16"/>
        <v>-</v>
      </c>
      <c r="C1090" s="435" t="str">
        <f>IF(母公司现金流量表!G7=0,"-",TEXT(母公司现金流量表!G7,"#,##0.00"))</f>
        <v>-</v>
      </c>
    </row>
    <row r="1091" spans="1:3">
      <c r="A1091" s="432" t="s">
        <v>1508</v>
      </c>
      <c r="B1091" s="432" t="str">
        <f t="shared" si="16"/>
        <v>-</v>
      </c>
      <c r="C1091" s="435" t="str">
        <f>IF(母公司现金流量表!G8=0,"-",TEXT(母公司现金流量表!G8,"#,##0.00"))</f>
        <v>-</v>
      </c>
    </row>
    <row r="1092" spans="1:3">
      <c r="A1092" s="432" t="s">
        <v>1509</v>
      </c>
      <c r="B1092" s="432" t="str">
        <f t="shared" si="16"/>
        <v>-</v>
      </c>
      <c r="C1092" s="435" t="str">
        <f>IF(母公司现金流量表!G9=0,"-",TEXT(母公司现金流量表!G9,"#,##0.00"))</f>
        <v>-</v>
      </c>
    </row>
    <row r="1093" spans="1:3">
      <c r="A1093" s="432" t="s">
        <v>1510</v>
      </c>
      <c r="B1093" s="432" t="str">
        <f t="shared" si="16"/>
        <v>-</v>
      </c>
      <c r="C1093" s="435" t="str">
        <f>IF(母公司现金流量表!G10=0,"-",TEXT(母公司现金流量表!G10,"#,##0.00"))</f>
        <v>-</v>
      </c>
    </row>
    <row r="1094" spans="1:3">
      <c r="A1094" s="432" t="s">
        <v>1511</v>
      </c>
      <c r="B1094" s="432" t="str">
        <f t="shared" si="16"/>
        <v>-</v>
      </c>
      <c r="C1094" s="435" t="str">
        <f>IF(母公司现金流量表!G11=0,"-",TEXT(母公司现金流量表!G11,"#,##0.00"))</f>
        <v>-</v>
      </c>
    </row>
    <row r="1095" spans="1:3">
      <c r="A1095" s="432" t="s">
        <v>1512</v>
      </c>
      <c r="B1095" s="432" t="str">
        <f t="shared" si="16"/>
        <v>-</v>
      </c>
      <c r="C1095" s="435" t="str">
        <f>IF(母公司现金流量表!G12=0,"-",TEXT(母公司现金流量表!G12,"#,##0.00"))</f>
        <v>-</v>
      </c>
    </row>
    <row r="1096" spans="1:3">
      <c r="A1096" s="432" t="s">
        <v>1513</v>
      </c>
      <c r="B1096" s="432" t="str">
        <f t="shared" ref="B1096:B1159" si="17">TRIM(C1096)</f>
        <v>-</v>
      </c>
      <c r="C1096" s="435" t="str">
        <f>IF(母公司现金流量表!G13=0,"-",TEXT(母公司现金流量表!G13,"#,##0.00"))</f>
        <v>-</v>
      </c>
    </row>
    <row r="1097" spans="1:3">
      <c r="A1097" s="432" t="s">
        <v>1514</v>
      </c>
      <c r="B1097" s="432" t="str">
        <f t="shared" si="17"/>
        <v>-</v>
      </c>
      <c r="C1097" s="435" t="str">
        <f>IF(母公司现金流量表!G14=0,"-",TEXT(母公司现金流量表!G14,"#,##0.00"))</f>
        <v>-</v>
      </c>
    </row>
    <row r="1098" spans="1:3">
      <c r="A1098" s="432" t="s">
        <v>1515</v>
      </c>
      <c r="B1098" s="432" t="str">
        <f t="shared" si="17"/>
        <v>-</v>
      </c>
      <c r="C1098" s="435" t="str">
        <f>IF(母公司现金流量表!G16=0,"-",TEXT(母公司现金流量表!G16,"#,##0.00"))</f>
        <v>-</v>
      </c>
    </row>
    <row r="1099" spans="1:3">
      <c r="A1099" s="432" t="s">
        <v>1516</v>
      </c>
      <c r="B1099" s="432" t="str">
        <f t="shared" si="17"/>
        <v>-</v>
      </c>
      <c r="C1099" s="435" t="str">
        <f>IF(母公司现金流量表!G17=0,"-",TEXT(母公司现金流量表!G17,"#,##0.00"))</f>
        <v>-</v>
      </c>
    </row>
    <row r="1100" spans="1:3">
      <c r="A1100" s="432" t="s">
        <v>1517</v>
      </c>
      <c r="B1100" s="432" t="str">
        <f t="shared" si="17"/>
        <v>-</v>
      </c>
      <c r="C1100" s="435" t="str">
        <f>IF(母公司现金流量表!G18=0,"-",TEXT(母公司现金流量表!G18,"#,##0.00"))</f>
        <v>-</v>
      </c>
    </row>
    <row r="1101" spans="1:3">
      <c r="A1101" s="432" t="s">
        <v>1518</v>
      </c>
      <c r="B1101" s="432" t="str">
        <f t="shared" si="17"/>
        <v>-</v>
      </c>
      <c r="C1101" s="435" t="str">
        <f>IF(母公司现金流量表!G19=0,"-",TEXT(母公司现金流量表!G19,"#,##0.00"))</f>
        <v>-</v>
      </c>
    </row>
    <row r="1102" spans="1:3">
      <c r="A1102" s="432" t="s">
        <v>1519</v>
      </c>
      <c r="B1102" s="432" t="str">
        <f t="shared" si="17"/>
        <v>-</v>
      </c>
      <c r="C1102" s="435" t="str">
        <f>IF(母公司现金流量表!G20=0,"-",TEXT(母公司现金流量表!G20,"#,##0.00"))</f>
        <v>-</v>
      </c>
    </row>
    <row r="1103" spans="1:3">
      <c r="A1103" s="432" t="s">
        <v>1520</v>
      </c>
      <c r="B1103" s="432" t="str">
        <f t="shared" si="17"/>
        <v>-</v>
      </c>
      <c r="C1103" s="435" t="str">
        <f>IF(母公司现金流量表!G21=0,"-",TEXT(母公司现金流量表!G21,"#,##0.00"))</f>
        <v>-</v>
      </c>
    </row>
    <row r="1104" spans="1:3">
      <c r="A1104" s="432" t="s">
        <v>1521</v>
      </c>
      <c r="B1104" s="432" t="str">
        <f t="shared" si="17"/>
        <v>-</v>
      </c>
      <c r="C1104" s="435" t="str">
        <f>IF(母公司现金流量表!G22=0,"-",TEXT(母公司现金流量表!G22,"#,##0.00"))</f>
        <v>-</v>
      </c>
    </row>
    <row r="1105" spans="1:3">
      <c r="A1105" s="432" t="s">
        <v>1522</v>
      </c>
      <c r="B1105" s="432" t="str">
        <f t="shared" si="17"/>
        <v>-</v>
      </c>
      <c r="C1105" s="435" t="str">
        <f>IF(母公司现金流量表!G23=0,"-",TEXT(母公司现金流量表!G23,"#,##0.00"))</f>
        <v>-</v>
      </c>
    </row>
    <row r="1106" spans="1:3">
      <c r="A1106" s="432" t="s">
        <v>1523</v>
      </c>
      <c r="B1106" s="432" t="str">
        <f t="shared" si="17"/>
        <v>-</v>
      </c>
      <c r="C1106" s="435" t="str">
        <f>IF(母公司现金流量表!G24=0,"-",TEXT(母公司现金流量表!G24,"#,##0.00"))</f>
        <v>-</v>
      </c>
    </row>
    <row r="1107" spans="1:3">
      <c r="A1107" s="432" t="s">
        <v>1524</v>
      </c>
      <c r="B1107" s="432" t="str">
        <f t="shared" si="17"/>
        <v>-</v>
      </c>
      <c r="C1107" s="435" t="str">
        <f>IF(母公司现金流量表!G25=0,"-",TEXT(母公司现金流量表!G25,"#,##0.00"))</f>
        <v>-</v>
      </c>
    </row>
    <row r="1108" spans="1:3">
      <c r="A1108" s="432" t="s">
        <v>1525</v>
      </c>
      <c r="B1108" s="432" t="str">
        <f t="shared" si="17"/>
        <v>-</v>
      </c>
      <c r="C1108" s="435" t="str">
        <f>IF(母公司现金流量表!G26=0,"-",TEXT(母公司现金流量表!G26,"#,##0.00"))</f>
        <v>-</v>
      </c>
    </row>
    <row r="1109" spans="1:3">
      <c r="A1109" s="432" t="s">
        <v>1526</v>
      </c>
      <c r="B1109" s="432" t="str">
        <f t="shared" si="17"/>
        <v>-</v>
      </c>
      <c r="C1109" s="435" t="str">
        <f>IF(母公司现金流量表!G27=0,"-",TEXT(母公司现金流量表!G27,"#,##0.00"))</f>
        <v>-</v>
      </c>
    </row>
    <row r="1110" spans="1:3">
      <c r="A1110" s="432" t="s">
        <v>1527</v>
      </c>
      <c r="B1110" s="432" t="str">
        <f t="shared" si="17"/>
        <v>-</v>
      </c>
      <c r="C1110" s="435" t="str">
        <f>IF(母公司现金流量表!G29=0,"-",TEXT(母公司现金流量表!G29,"#,##0.00"))</f>
        <v>-</v>
      </c>
    </row>
    <row r="1111" spans="1:3">
      <c r="A1111" s="432" t="s">
        <v>1528</v>
      </c>
      <c r="B1111" s="432" t="str">
        <f t="shared" si="17"/>
        <v>-</v>
      </c>
      <c r="C1111" s="435" t="str">
        <f>IF(母公司现金流量表!G30=0,"-",TEXT(母公司现金流量表!G30,"#,##0.00"))</f>
        <v>-</v>
      </c>
    </row>
    <row r="1112" spans="1:3">
      <c r="A1112" s="432" t="s">
        <v>1529</v>
      </c>
      <c r="B1112" s="432" t="str">
        <f t="shared" si="17"/>
        <v>-</v>
      </c>
      <c r="C1112" s="435" t="str">
        <f>IF(母公司现金流量表!G31=0,"-",TEXT(母公司现金流量表!G31,"#,##0.00"))</f>
        <v>-</v>
      </c>
    </row>
    <row r="1113" spans="1:3">
      <c r="A1113" s="432" t="s">
        <v>1530</v>
      </c>
      <c r="B1113" s="432" t="str">
        <f t="shared" si="17"/>
        <v>-</v>
      </c>
      <c r="C1113" s="435" t="str">
        <f>IF(母公司现金流量表!G32=0,"-",TEXT(母公司现金流量表!G32,"#,##0.00"))</f>
        <v>-</v>
      </c>
    </row>
    <row r="1114" spans="1:3">
      <c r="A1114" s="432" t="s">
        <v>1531</v>
      </c>
      <c r="B1114" s="432" t="str">
        <f t="shared" si="17"/>
        <v>-</v>
      </c>
      <c r="C1114" s="435" t="str">
        <f>IF(母公司现金流量表!G33=0,"-",TEXT(母公司现金流量表!G33,"#,##0.00"))</f>
        <v>-</v>
      </c>
    </row>
    <row r="1115" spans="1:3">
      <c r="A1115" s="432" t="s">
        <v>1532</v>
      </c>
      <c r="B1115" s="432" t="str">
        <f t="shared" si="17"/>
        <v>-</v>
      </c>
      <c r="C1115" s="435" t="str">
        <f>IF(母公司现金流量表!G34=0,"-",TEXT(母公司现金流量表!G34,"#,##0.00"))</f>
        <v>-</v>
      </c>
    </row>
    <row r="1116" spans="1:3">
      <c r="A1116" s="432" t="s">
        <v>1533</v>
      </c>
      <c r="B1116" s="432" t="str">
        <f t="shared" si="17"/>
        <v>-</v>
      </c>
      <c r="C1116" s="435" t="str">
        <f>IF(母公司现金流量表!G35=0,"-",TEXT(母公司现金流量表!G35,"#,##0.00"))</f>
        <v>-</v>
      </c>
    </row>
    <row r="1117" spans="1:3">
      <c r="A1117" s="432" t="s">
        <v>1534</v>
      </c>
      <c r="B1117" s="432" t="str">
        <f t="shared" si="17"/>
        <v>-</v>
      </c>
      <c r="C1117" s="435" t="str">
        <f>IF(母公司现金流量表!G36=0,"-",TEXT(母公司现金流量表!G36,"#,##0.00"))</f>
        <v>-</v>
      </c>
    </row>
    <row r="1118" spans="1:3">
      <c r="A1118" s="432" t="s">
        <v>1535</v>
      </c>
      <c r="B1118" s="432" t="str">
        <f t="shared" si="17"/>
        <v>-</v>
      </c>
      <c r="C1118" s="435" t="str">
        <f>IF(母公司现金流量表!G37=0,"-",TEXT(母公司现金流量表!G37,"#,##0.00"))</f>
        <v>-</v>
      </c>
    </row>
    <row r="1119" spans="1:3">
      <c r="A1119" s="432" t="s">
        <v>1536</v>
      </c>
      <c r="B1119" s="432" t="str">
        <f t="shared" si="17"/>
        <v>-</v>
      </c>
      <c r="C1119" s="435" t="str">
        <f>IF(母公司现金流量表!G38=0,"-",TEXT(母公司现金流量表!G38,"#,##0.00"))</f>
        <v>-</v>
      </c>
    </row>
    <row r="1120" spans="1:3">
      <c r="A1120" s="432" t="s">
        <v>1537</v>
      </c>
      <c r="B1120" s="432" t="str">
        <f t="shared" si="17"/>
        <v>-</v>
      </c>
      <c r="C1120" s="435" t="str">
        <f>IF(母公司现金流量表!G39=0,"-",TEXT(母公司现金流量表!G39,"#,##0.00"))</f>
        <v>-</v>
      </c>
    </row>
    <row r="1121" spans="1:3">
      <c r="A1121" s="432" t="s">
        <v>1538</v>
      </c>
      <c r="B1121" s="432" t="str">
        <f t="shared" si="17"/>
        <v>-</v>
      </c>
      <c r="C1121" s="435" t="str">
        <f>IF(母公司现金流量表!G40=0,"-",TEXT(母公司现金流量表!G40,"#,##0.00"))</f>
        <v>-</v>
      </c>
    </row>
    <row r="1122" spans="1:3">
      <c r="A1122" s="432" t="s">
        <v>1539</v>
      </c>
      <c r="B1122" s="432" t="str">
        <f t="shared" si="17"/>
        <v>-</v>
      </c>
      <c r="C1122" s="435" t="str">
        <f>IF(母公司现金流量表!G41=0,"-",TEXT(母公司现金流量表!G41,"#,##0.00"))</f>
        <v>-</v>
      </c>
    </row>
    <row r="1123" spans="1:3">
      <c r="A1123" s="432" t="s">
        <v>1540</v>
      </c>
      <c r="B1123" s="432" t="str">
        <f t="shared" si="17"/>
        <v>-</v>
      </c>
      <c r="C1123" s="435" t="str">
        <f>IF(母公司现金流量表!G42=0,"-",TEXT(母公司现金流量表!G42,"#,##0.00"))</f>
        <v>-</v>
      </c>
    </row>
    <row r="1124" spans="1:3">
      <c r="A1124" s="432" t="s">
        <v>1541</v>
      </c>
      <c r="B1124" s="432" t="str">
        <f t="shared" si="17"/>
        <v>-</v>
      </c>
      <c r="C1124" s="435" t="str">
        <f>IF(母公司现金流量表!H5=0,"-",TEXT(母公司现金流量表!H5,"#,##0.00"))</f>
        <v>-</v>
      </c>
    </row>
    <row r="1125" spans="1:3">
      <c r="A1125" s="432" t="s">
        <v>1542</v>
      </c>
      <c r="B1125" s="432" t="str">
        <f t="shared" si="17"/>
        <v>-</v>
      </c>
      <c r="C1125" s="435" t="str">
        <f>IF(母公司现金流量表!H6=0,"-",TEXT(母公司现金流量表!H6,"#,##0.00"))</f>
        <v>-</v>
      </c>
    </row>
    <row r="1126" spans="1:3">
      <c r="A1126" s="432" t="s">
        <v>1543</v>
      </c>
      <c r="B1126" s="432" t="str">
        <f t="shared" si="17"/>
        <v>-</v>
      </c>
      <c r="C1126" s="435" t="str">
        <f>IF(母公司现金流量表!H7=0,"-",TEXT(母公司现金流量表!H7,"#,##0.00"))</f>
        <v>-</v>
      </c>
    </row>
    <row r="1127" spans="1:3">
      <c r="A1127" s="432" t="s">
        <v>1544</v>
      </c>
      <c r="B1127" s="432" t="str">
        <f t="shared" si="17"/>
        <v>-</v>
      </c>
      <c r="C1127" s="435" t="str">
        <f>IF(母公司现金流量表!H8=0,"-",TEXT(母公司现金流量表!H8,"#,##0.00"))</f>
        <v>-</v>
      </c>
    </row>
    <row r="1128" spans="1:3">
      <c r="A1128" s="432" t="s">
        <v>1545</v>
      </c>
      <c r="B1128" s="432" t="str">
        <f t="shared" si="17"/>
        <v>-</v>
      </c>
      <c r="C1128" s="435" t="str">
        <f>IF(母公司现金流量表!H9=0,"-",TEXT(母公司现金流量表!H9,"#,##0.00"))</f>
        <v>-</v>
      </c>
    </row>
    <row r="1129" spans="1:3">
      <c r="A1129" s="432" t="s">
        <v>1546</v>
      </c>
      <c r="B1129" s="432" t="str">
        <f t="shared" si="17"/>
        <v>-</v>
      </c>
      <c r="C1129" s="435" t="str">
        <f>IF(母公司现金流量表!H10=0,"-",TEXT(母公司现金流量表!H10,"#,##0.00"))</f>
        <v>-</v>
      </c>
    </row>
    <row r="1130" spans="1:3">
      <c r="A1130" s="432" t="s">
        <v>1547</v>
      </c>
      <c r="B1130" s="432" t="str">
        <f t="shared" si="17"/>
        <v>-</v>
      </c>
      <c r="C1130" s="435" t="str">
        <f>IF(母公司现金流量表!H11=0,"-",TEXT(母公司现金流量表!H11,"#,##0.00"))</f>
        <v>-</v>
      </c>
    </row>
    <row r="1131" spans="1:3">
      <c r="A1131" s="432" t="s">
        <v>1548</v>
      </c>
      <c r="B1131" s="432" t="str">
        <f t="shared" si="17"/>
        <v>-</v>
      </c>
      <c r="C1131" s="435" t="str">
        <f>IF(母公司现金流量表!H12=0,"-",TEXT(母公司现金流量表!H12,"#,##0.00"))</f>
        <v>-</v>
      </c>
    </row>
    <row r="1132" spans="1:3">
      <c r="A1132" s="432" t="s">
        <v>1549</v>
      </c>
      <c r="B1132" s="432" t="str">
        <f t="shared" si="17"/>
        <v>-</v>
      </c>
      <c r="C1132" s="435" t="str">
        <f>IF(母公司现金流量表!H13=0,"-",TEXT(母公司现金流量表!H13,"#,##0.00"))</f>
        <v>-</v>
      </c>
    </row>
    <row r="1133" spans="1:3">
      <c r="A1133" s="432" t="s">
        <v>1550</v>
      </c>
      <c r="B1133" s="432" t="str">
        <f t="shared" si="17"/>
        <v>-</v>
      </c>
      <c r="C1133" s="435" t="str">
        <f>IF(母公司现金流量表!H14=0,"-",TEXT(母公司现金流量表!H14,"#,##0.00"))</f>
        <v>-</v>
      </c>
    </row>
    <row r="1134" spans="1:3">
      <c r="A1134" s="432" t="s">
        <v>1551</v>
      </c>
      <c r="B1134" s="432" t="str">
        <f t="shared" si="17"/>
        <v>-</v>
      </c>
      <c r="C1134" s="435" t="str">
        <f>IF(母公司现金流量表!H16=0,"-",TEXT(母公司现金流量表!H16,"#,##0.00"))</f>
        <v>-</v>
      </c>
    </row>
    <row r="1135" spans="1:3">
      <c r="A1135" s="432" t="s">
        <v>1552</v>
      </c>
      <c r="B1135" s="432" t="str">
        <f t="shared" si="17"/>
        <v>-</v>
      </c>
      <c r="C1135" s="435" t="str">
        <f>IF(母公司现金流量表!H17=0,"-",TEXT(母公司现金流量表!H17,"#,##0.00"))</f>
        <v>-</v>
      </c>
    </row>
    <row r="1136" spans="1:3">
      <c r="A1136" s="432" t="s">
        <v>1553</v>
      </c>
      <c r="B1136" s="432" t="str">
        <f t="shared" si="17"/>
        <v>-</v>
      </c>
      <c r="C1136" s="435" t="str">
        <f>IF(母公司现金流量表!H18=0,"-",TEXT(母公司现金流量表!H18,"#,##0.00"))</f>
        <v>-</v>
      </c>
    </row>
    <row r="1137" spans="1:3">
      <c r="A1137" s="432" t="s">
        <v>1554</v>
      </c>
      <c r="B1137" s="432" t="str">
        <f t="shared" si="17"/>
        <v>-</v>
      </c>
      <c r="C1137" s="435" t="str">
        <f>IF(母公司现金流量表!H19=0,"-",TEXT(母公司现金流量表!H19,"#,##0.00"))</f>
        <v>-</v>
      </c>
    </row>
    <row r="1138" spans="1:3">
      <c r="A1138" s="432" t="s">
        <v>1555</v>
      </c>
      <c r="B1138" s="432" t="str">
        <f t="shared" si="17"/>
        <v>-</v>
      </c>
      <c r="C1138" s="435" t="str">
        <f>IF(母公司现金流量表!H20=0,"-",TEXT(母公司现金流量表!H20,"#,##0.00"))</f>
        <v>-</v>
      </c>
    </row>
    <row r="1139" spans="1:3">
      <c r="A1139" s="432" t="s">
        <v>1556</v>
      </c>
      <c r="B1139" s="432" t="str">
        <f t="shared" si="17"/>
        <v>-</v>
      </c>
      <c r="C1139" s="435" t="str">
        <f>IF(母公司现金流量表!H21=0,"-",TEXT(母公司现金流量表!H21,"#,##0.00"))</f>
        <v>-</v>
      </c>
    </row>
    <row r="1140" spans="1:3">
      <c r="A1140" s="432" t="s">
        <v>1557</v>
      </c>
      <c r="B1140" s="432" t="str">
        <f t="shared" si="17"/>
        <v>-</v>
      </c>
      <c r="C1140" s="435" t="str">
        <f>IF(母公司现金流量表!H22=0,"-",TEXT(母公司现金流量表!H22,"#,##0.00"))</f>
        <v>-</v>
      </c>
    </row>
    <row r="1141" spans="1:3">
      <c r="A1141" s="432" t="s">
        <v>1558</v>
      </c>
      <c r="B1141" s="432" t="str">
        <f t="shared" si="17"/>
        <v>-</v>
      </c>
      <c r="C1141" s="435" t="str">
        <f>IF(母公司现金流量表!H23=0,"-",TEXT(母公司现金流量表!H23,"#,##0.00"))</f>
        <v>-</v>
      </c>
    </row>
    <row r="1142" spans="1:3">
      <c r="A1142" s="432" t="s">
        <v>1559</v>
      </c>
      <c r="B1142" s="432" t="str">
        <f t="shared" si="17"/>
        <v>-</v>
      </c>
      <c r="C1142" s="435" t="str">
        <f>IF(母公司现金流量表!H24=0,"-",TEXT(母公司现金流量表!H24,"#,##0.00"))</f>
        <v>-</v>
      </c>
    </row>
    <row r="1143" spans="1:3">
      <c r="A1143" s="432" t="s">
        <v>1560</v>
      </c>
      <c r="B1143" s="432" t="str">
        <f t="shared" si="17"/>
        <v>-</v>
      </c>
      <c r="C1143" s="435" t="str">
        <f>IF(母公司现金流量表!H25=0,"-",TEXT(母公司现金流量表!H25,"#,##0.00"))</f>
        <v>-</v>
      </c>
    </row>
    <row r="1144" spans="1:3">
      <c r="A1144" s="432" t="s">
        <v>1561</v>
      </c>
      <c r="B1144" s="432" t="str">
        <f t="shared" si="17"/>
        <v>-</v>
      </c>
      <c r="C1144" s="435" t="str">
        <f>IF(母公司现金流量表!H26=0,"-",TEXT(母公司现金流量表!H26,"#,##0.00"))</f>
        <v>-</v>
      </c>
    </row>
    <row r="1145" spans="1:3">
      <c r="A1145" s="432" t="s">
        <v>1562</v>
      </c>
      <c r="B1145" s="432" t="str">
        <f t="shared" si="17"/>
        <v>-</v>
      </c>
      <c r="C1145" s="435" t="str">
        <f>IF(母公司现金流量表!H27=0,"-",TEXT(母公司现金流量表!H27,"#,##0.00"))</f>
        <v>-</v>
      </c>
    </row>
    <row r="1146" spans="1:3">
      <c r="A1146" s="432" t="s">
        <v>1563</v>
      </c>
      <c r="B1146" s="432" t="str">
        <f t="shared" si="17"/>
        <v>-</v>
      </c>
      <c r="C1146" s="435" t="str">
        <f>IF(母公司现金流量表!H29=0,"-",TEXT(母公司现金流量表!H29,"#,##0.00"))</f>
        <v>-</v>
      </c>
    </row>
    <row r="1147" spans="1:3">
      <c r="A1147" s="432" t="s">
        <v>1564</v>
      </c>
      <c r="B1147" s="432" t="str">
        <f t="shared" si="17"/>
        <v>-</v>
      </c>
      <c r="C1147" s="435" t="str">
        <f>IF(母公司现金流量表!H30=0,"-",TEXT(母公司现金流量表!H30,"#,##0.00"))</f>
        <v>-</v>
      </c>
    </row>
    <row r="1148" spans="1:3">
      <c r="A1148" s="432" t="s">
        <v>1565</v>
      </c>
      <c r="B1148" s="432" t="str">
        <f t="shared" si="17"/>
        <v>-</v>
      </c>
      <c r="C1148" s="435" t="str">
        <f>IF(母公司现金流量表!H31=0,"-",TEXT(母公司现金流量表!H31,"#,##0.00"))</f>
        <v>-</v>
      </c>
    </row>
    <row r="1149" spans="1:3">
      <c r="A1149" s="432" t="s">
        <v>1566</v>
      </c>
      <c r="B1149" s="432" t="str">
        <f t="shared" si="17"/>
        <v>-</v>
      </c>
      <c r="C1149" s="435" t="str">
        <f>IF(母公司现金流量表!H32=0,"-",TEXT(母公司现金流量表!H32,"#,##0.00"))</f>
        <v>-</v>
      </c>
    </row>
    <row r="1150" spans="1:3">
      <c r="A1150" s="432" t="s">
        <v>1567</v>
      </c>
      <c r="B1150" s="432" t="str">
        <f t="shared" si="17"/>
        <v>-</v>
      </c>
      <c r="C1150" s="435" t="str">
        <f>IF(母公司现金流量表!H33=0,"-",TEXT(母公司现金流量表!H33,"#,##0.00"))</f>
        <v>-</v>
      </c>
    </row>
    <row r="1151" spans="1:3">
      <c r="A1151" s="432" t="s">
        <v>1568</v>
      </c>
      <c r="B1151" s="432" t="str">
        <f t="shared" si="17"/>
        <v>-</v>
      </c>
      <c r="C1151" s="435" t="str">
        <f>IF(母公司现金流量表!H34=0,"-",TEXT(母公司现金流量表!H34,"#,##0.00"))</f>
        <v>-</v>
      </c>
    </row>
    <row r="1152" spans="1:3">
      <c r="A1152" s="432" t="s">
        <v>1569</v>
      </c>
      <c r="B1152" s="432" t="str">
        <f t="shared" si="17"/>
        <v>-</v>
      </c>
      <c r="C1152" s="435" t="str">
        <f>IF(母公司现金流量表!H35=0,"-",TEXT(母公司现金流量表!H35,"#,##0.00"))</f>
        <v>-</v>
      </c>
    </row>
    <row r="1153" spans="1:3">
      <c r="A1153" s="432" t="s">
        <v>1570</v>
      </c>
      <c r="B1153" s="432" t="str">
        <f t="shared" si="17"/>
        <v>-</v>
      </c>
      <c r="C1153" s="435" t="str">
        <f>IF(母公司现金流量表!H36=0,"-",TEXT(母公司现金流量表!H36,"#,##0.00"))</f>
        <v>-</v>
      </c>
    </row>
    <row r="1154" spans="1:3">
      <c r="A1154" s="432" t="s">
        <v>1571</v>
      </c>
      <c r="B1154" s="432" t="str">
        <f t="shared" si="17"/>
        <v>-</v>
      </c>
      <c r="C1154" s="435" t="str">
        <f>IF(母公司现金流量表!H37=0,"-",TEXT(母公司现金流量表!H37,"#,##0.00"))</f>
        <v>-</v>
      </c>
    </row>
    <row r="1155" spans="1:3">
      <c r="A1155" s="432" t="s">
        <v>1572</v>
      </c>
      <c r="B1155" s="432" t="str">
        <f t="shared" si="17"/>
        <v>-</v>
      </c>
      <c r="C1155" s="435" t="str">
        <f>IF(母公司现金流量表!H38=0,"-",TEXT(母公司现金流量表!H38,"#,##0.00"))</f>
        <v>-</v>
      </c>
    </row>
    <row r="1156" spans="1:3">
      <c r="A1156" s="432" t="s">
        <v>1573</v>
      </c>
      <c r="B1156" s="432" t="str">
        <f t="shared" si="17"/>
        <v>-</v>
      </c>
      <c r="C1156" s="435" t="str">
        <f>IF(母公司现金流量表!H39=0,"-",TEXT(母公司现金流量表!H39,"#,##0.00"))</f>
        <v>-</v>
      </c>
    </row>
    <row r="1157" spans="1:3">
      <c r="A1157" s="432" t="s">
        <v>1574</v>
      </c>
      <c r="B1157" s="432" t="str">
        <f t="shared" si="17"/>
        <v>-</v>
      </c>
      <c r="C1157" s="435" t="str">
        <f>IF(母公司现金流量表!H40=0,"-",TEXT(母公司现金流量表!H40,"#,##0.00"))</f>
        <v>-</v>
      </c>
    </row>
    <row r="1158" spans="1:3">
      <c r="A1158" s="432" t="s">
        <v>1575</v>
      </c>
      <c r="B1158" s="432" t="str">
        <f t="shared" si="17"/>
        <v>-</v>
      </c>
      <c r="C1158" s="435" t="str">
        <f>IF(母公司现金流量表!H41=0,"-",TEXT(母公司现金流量表!H41,"#,##0.00"))</f>
        <v>-</v>
      </c>
    </row>
    <row r="1159" spans="1:3">
      <c r="A1159" s="432" t="s">
        <v>1576</v>
      </c>
      <c r="B1159" s="432" t="str">
        <f t="shared" si="17"/>
        <v>-</v>
      </c>
      <c r="C1159" s="435" t="str">
        <f>IF(母公司现金流量表!H42=0,"-",TEXT(母公司现金流量表!H42,"#,##0.00"))</f>
        <v>-</v>
      </c>
    </row>
    <row r="1160" spans="1:3">
      <c r="A1160" s="432" t="s">
        <v>1577</v>
      </c>
      <c r="B1160" s="432" t="str">
        <f t="shared" ref="B1160:B1223" si="18">TRIM(C1160)</f>
        <v>-</v>
      </c>
      <c r="C1160" s="435" t="str">
        <f>IF(母公司现金流量表!I5=0,"-",TEXT(母公司现金流量表!I5,"#,##0.00"))</f>
        <v>-</v>
      </c>
    </row>
    <row r="1161" spans="1:3">
      <c r="A1161" s="432" t="s">
        <v>1578</v>
      </c>
      <c r="B1161" s="432" t="str">
        <f t="shared" si="18"/>
        <v>-</v>
      </c>
      <c r="C1161" s="435" t="str">
        <f>IF(母公司现金流量表!I6=0,"-",TEXT(母公司现金流量表!I6,"#,##0.00"))</f>
        <v>-</v>
      </c>
    </row>
    <row r="1162" spans="1:3">
      <c r="A1162" s="432" t="s">
        <v>1579</v>
      </c>
      <c r="B1162" s="432" t="str">
        <f t="shared" si="18"/>
        <v>-</v>
      </c>
      <c r="C1162" s="435" t="str">
        <f>IF(母公司现金流量表!I7=0,"-",TEXT(母公司现金流量表!I7,"#,##0.00"))</f>
        <v>-</v>
      </c>
    </row>
    <row r="1163" spans="1:3">
      <c r="A1163" s="432" t="s">
        <v>1580</v>
      </c>
      <c r="B1163" s="432" t="str">
        <f t="shared" si="18"/>
        <v>-</v>
      </c>
      <c r="C1163" s="435" t="str">
        <f>IF(母公司现金流量表!I8=0,"-",TEXT(母公司现金流量表!I8,"#,##0.00"))</f>
        <v>-</v>
      </c>
    </row>
    <row r="1164" spans="1:3">
      <c r="A1164" s="432" t="s">
        <v>1581</v>
      </c>
      <c r="B1164" s="432" t="str">
        <f t="shared" si="18"/>
        <v>-</v>
      </c>
      <c r="C1164" s="435" t="str">
        <f>IF(母公司现金流量表!I9=0,"-",TEXT(母公司现金流量表!I9,"#,##0.00"))</f>
        <v>-</v>
      </c>
    </row>
    <row r="1165" spans="1:3">
      <c r="A1165" s="432" t="s">
        <v>1582</v>
      </c>
      <c r="B1165" s="432" t="str">
        <f t="shared" si="18"/>
        <v>-</v>
      </c>
      <c r="C1165" s="435" t="str">
        <f>IF(母公司现金流量表!I10=0,"-",TEXT(母公司现金流量表!I10,"#,##0.00"))</f>
        <v>-</v>
      </c>
    </row>
    <row r="1166" spans="1:3">
      <c r="A1166" s="432" t="s">
        <v>1583</v>
      </c>
      <c r="B1166" s="432" t="str">
        <f t="shared" si="18"/>
        <v>-</v>
      </c>
      <c r="C1166" s="435" t="str">
        <f>IF(母公司现金流量表!I11=0,"-",TEXT(母公司现金流量表!I11,"#,##0.00"))</f>
        <v>-</v>
      </c>
    </row>
    <row r="1167" spans="1:3">
      <c r="A1167" s="432" t="s">
        <v>1584</v>
      </c>
      <c r="B1167" s="432" t="str">
        <f t="shared" si="18"/>
        <v>-</v>
      </c>
      <c r="C1167" s="435" t="str">
        <f>IF(母公司现金流量表!I12=0,"-",TEXT(母公司现金流量表!I12,"#,##0.00"))</f>
        <v>-</v>
      </c>
    </row>
    <row r="1168" spans="1:3">
      <c r="A1168" s="432" t="s">
        <v>1585</v>
      </c>
      <c r="B1168" s="432" t="str">
        <f t="shared" si="18"/>
        <v>-</v>
      </c>
      <c r="C1168" s="435" t="str">
        <f>IF(母公司现金流量表!I13=0,"-",TEXT(母公司现金流量表!I13,"#,##0.00"))</f>
        <v>-</v>
      </c>
    </row>
    <row r="1169" spans="1:3">
      <c r="A1169" s="432" t="s">
        <v>1586</v>
      </c>
      <c r="B1169" s="432" t="str">
        <f t="shared" si="18"/>
        <v>-</v>
      </c>
      <c r="C1169" s="435" t="str">
        <f>IF(母公司现金流量表!I14=0,"-",TEXT(母公司现金流量表!I14,"#,##0.00"))</f>
        <v>-</v>
      </c>
    </row>
    <row r="1170" spans="1:3">
      <c r="A1170" s="432" t="s">
        <v>1587</v>
      </c>
      <c r="B1170" s="432" t="str">
        <f t="shared" si="18"/>
        <v>-</v>
      </c>
      <c r="C1170" s="435" t="str">
        <f>IF(母公司现金流量表!I16=0,"-",TEXT(母公司现金流量表!I16,"#,##0.00"))</f>
        <v>-</v>
      </c>
    </row>
    <row r="1171" spans="1:3">
      <c r="A1171" s="432" t="s">
        <v>1588</v>
      </c>
      <c r="B1171" s="432" t="str">
        <f t="shared" si="18"/>
        <v>-</v>
      </c>
      <c r="C1171" s="435" t="str">
        <f>IF(母公司现金流量表!I17=0,"-",TEXT(母公司现金流量表!I17,"#,##0.00"))</f>
        <v>-</v>
      </c>
    </row>
    <row r="1172" spans="1:3">
      <c r="A1172" s="432" t="s">
        <v>1589</v>
      </c>
      <c r="B1172" s="432" t="str">
        <f t="shared" si="18"/>
        <v>-</v>
      </c>
      <c r="C1172" s="435" t="str">
        <f>IF(母公司现金流量表!I18=0,"-",TEXT(母公司现金流量表!I18,"#,##0.00"))</f>
        <v>-</v>
      </c>
    </row>
    <row r="1173" spans="1:3">
      <c r="A1173" s="432" t="s">
        <v>1590</v>
      </c>
      <c r="B1173" s="432" t="str">
        <f t="shared" si="18"/>
        <v>-</v>
      </c>
      <c r="C1173" s="435" t="str">
        <f>IF(母公司现金流量表!I19=0,"-",TEXT(母公司现金流量表!I19,"#,##0.00"))</f>
        <v>-</v>
      </c>
    </row>
    <row r="1174" spans="1:3">
      <c r="A1174" s="432" t="s">
        <v>1591</v>
      </c>
      <c r="B1174" s="432" t="str">
        <f t="shared" si="18"/>
        <v>-</v>
      </c>
      <c r="C1174" s="435" t="str">
        <f>IF(母公司现金流量表!I20=0,"-",TEXT(母公司现金流量表!I20,"#,##0.00"))</f>
        <v>-</v>
      </c>
    </row>
    <row r="1175" spans="1:3">
      <c r="A1175" s="432" t="s">
        <v>1592</v>
      </c>
      <c r="B1175" s="432" t="str">
        <f t="shared" si="18"/>
        <v>-</v>
      </c>
      <c r="C1175" s="435" t="str">
        <f>IF(母公司现金流量表!I21=0,"-",TEXT(母公司现金流量表!I21,"#,##0.00"))</f>
        <v>-</v>
      </c>
    </row>
    <row r="1176" spans="1:3">
      <c r="A1176" s="432" t="s">
        <v>1593</v>
      </c>
      <c r="B1176" s="432" t="str">
        <f t="shared" si="18"/>
        <v>-</v>
      </c>
      <c r="C1176" s="435" t="str">
        <f>IF(母公司现金流量表!I22=0,"-",TEXT(母公司现金流量表!I22,"#,##0.00"))</f>
        <v>-</v>
      </c>
    </row>
    <row r="1177" spans="1:3">
      <c r="A1177" s="432" t="s">
        <v>1594</v>
      </c>
      <c r="B1177" s="432" t="str">
        <f t="shared" si="18"/>
        <v>-</v>
      </c>
      <c r="C1177" s="435" t="str">
        <f>IF(母公司现金流量表!I23=0,"-",TEXT(母公司现金流量表!I23,"#,##0.00"))</f>
        <v>-</v>
      </c>
    </row>
    <row r="1178" spans="1:3">
      <c r="A1178" s="432" t="s">
        <v>1595</v>
      </c>
      <c r="B1178" s="432" t="str">
        <f t="shared" si="18"/>
        <v>-</v>
      </c>
      <c r="C1178" s="435" t="str">
        <f>IF(母公司现金流量表!I24=0,"-",TEXT(母公司现金流量表!I24,"#,##0.00"))</f>
        <v>-</v>
      </c>
    </row>
    <row r="1179" spans="1:3">
      <c r="A1179" s="432" t="s">
        <v>1596</v>
      </c>
      <c r="B1179" s="432" t="str">
        <f t="shared" si="18"/>
        <v>-</v>
      </c>
      <c r="C1179" s="435" t="str">
        <f>IF(母公司现金流量表!I25=0,"-",TEXT(母公司现金流量表!I25,"#,##0.00"))</f>
        <v>-</v>
      </c>
    </row>
    <row r="1180" spans="1:3">
      <c r="A1180" s="432" t="s">
        <v>1597</v>
      </c>
      <c r="B1180" s="432" t="str">
        <f t="shared" si="18"/>
        <v>-</v>
      </c>
      <c r="C1180" s="435" t="str">
        <f>IF(母公司现金流量表!I26=0,"-",TEXT(母公司现金流量表!I26,"#,##0.00"))</f>
        <v>-</v>
      </c>
    </row>
    <row r="1181" spans="1:3">
      <c r="A1181" s="432" t="s">
        <v>1598</v>
      </c>
      <c r="B1181" s="432" t="str">
        <f t="shared" si="18"/>
        <v>-</v>
      </c>
      <c r="C1181" s="435" t="str">
        <f>IF(母公司现金流量表!I27=0,"-",TEXT(母公司现金流量表!I27,"#,##0.00"))</f>
        <v>-</v>
      </c>
    </row>
    <row r="1182" spans="1:3">
      <c r="A1182" s="432" t="s">
        <v>1599</v>
      </c>
      <c r="B1182" s="432" t="str">
        <f t="shared" si="18"/>
        <v>-</v>
      </c>
      <c r="C1182" s="435" t="str">
        <f>IF(母公司现金流量表!I29=0,"-",TEXT(母公司现金流量表!I29,"#,##0.00"))</f>
        <v>-</v>
      </c>
    </row>
    <row r="1183" spans="1:3">
      <c r="A1183" s="432" t="s">
        <v>1600</v>
      </c>
      <c r="B1183" s="432" t="str">
        <f t="shared" si="18"/>
        <v>-</v>
      </c>
      <c r="C1183" s="435" t="str">
        <f>IF(母公司现金流量表!I30=0,"-",TEXT(母公司现金流量表!I30,"#,##0.00"))</f>
        <v>-</v>
      </c>
    </row>
    <row r="1184" spans="1:3">
      <c r="A1184" s="432" t="s">
        <v>1601</v>
      </c>
      <c r="B1184" s="432" t="str">
        <f t="shared" si="18"/>
        <v>-</v>
      </c>
      <c r="C1184" s="435" t="str">
        <f>IF(母公司现金流量表!I31=0,"-",TEXT(母公司现金流量表!I31,"#,##0.00"))</f>
        <v>-</v>
      </c>
    </row>
    <row r="1185" spans="1:5">
      <c r="A1185" s="432" t="s">
        <v>1602</v>
      </c>
      <c r="B1185" s="432" t="str">
        <f t="shared" si="18"/>
        <v>-</v>
      </c>
      <c r="C1185" s="435" t="str">
        <f>IF(母公司现金流量表!I32=0,"-",TEXT(母公司现金流量表!I32,"#,##0.00"))</f>
        <v>-</v>
      </c>
    </row>
    <row r="1186" spans="1:5">
      <c r="A1186" s="432" t="s">
        <v>1603</v>
      </c>
      <c r="B1186" s="432" t="str">
        <f t="shared" si="18"/>
        <v>-</v>
      </c>
      <c r="C1186" s="435" t="str">
        <f>IF(母公司现金流量表!I33=0,"-",TEXT(母公司现金流量表!I33,"#,##0.00"))</f>
        <v>-</v>
      </c>
    </row>
    <row r="1187" spans="1:5">
      <c r="A1187" s="432" t="s">
        <v>1604</v>
      </c>
      <c r="B1187" s="432" t="str">
        <f t="shared" si="18"/>
        <v>-</v>
      </c>
      <c r="C1187" s="435" t="str">
        <f>IF(母公司现金流量表!I34=0,"-",TEXT(母公司现金流量表!I34,"#,##0.00"))</f>
        <v>-</v>
      </c>
    </row>
    <row r="1188" spans="1:5">
      <c r="A1188" s="432" t="s">
        <v>1605</v>
      </c>
      <c r="B1188" s="432" t="str">
        <f t="shared" si="18"/>
        <v>-</v>
      </c>
      <c r="C1188" s="435" t="str">
        <f>IF(母公司现金流量表!I35=0,"-",TEXT(母公司现金流量表!I35,"#,##0.00"))</f>
        <v>-</v>
      </c>
    </row>
    <row r="1189" spans="1:5">
      <c r="A1189" s="432" t="s">
        <v>1606</v>
      </c>
      <c r="B1189" s="432" t="str">
        <f t="shared" si="18"/>
        <v>-</v>
      </c>
      <c r="C1189" s="435" t="str">
        <f>IF(母公司现金流量表!I36=0,"-",TEXT(母公司现金流量表!I36,"#,##0.00"))</f>
        <v>-</v>
      </c>
    </row>
    <row r="1190" spans="1:5">
      <c r="A1190" s="432" t="s">
        <v>1607</v>
      </c>
      <c r="B1190" s="432" t="str">
        <f t="shared" si="18"/>
        <v>-</v>
      </c>
      <c r="C1190" s="435" t="str">
        <f>IF(母公司现金流量表!I37=0,"-",TEXT(母公司现金流量表!I37,"#,##0.00"))</f>
        <v>-</v>
      </c>
    </row>
    <row r="1191" spans="1:5">
      <c r="A1191" s="432" t="s">
        <v>1608</v>
      </c>
      <c r="B1191" s="432" t="str">
        <f t="shared" si="18"/>
        <v>-</v>
      </c>
      <c r="C1191" s="435" t="str">
        <f>IF(母公司现金流量表!I38=0,"-",TEXT(母公司现金流量表!I38,"#,##0.00"))</f>
        <v>-</v>
      </c>
    </row>
    <row r="1192" spans="1:5">
      <c r="A1192" s="432" t="s">
        <v>1609</v>
      </c>
      <c r="B1192" s="432" t="str">
        <f t="shared" si="18"/>
        <v>-</v>
      </c>
      <c r="C1192" s="435" t="str">
        <f>IF(母公司现金流量表!I39=0,"-",TEXT(母公司现金流量表!I39,"#,##0.00"))</f>
        <v>-</v>
      </c>
    </row>
    <row r="1193" spans="1:5">
      <c r="A1193" s="432" t="s">
        <v>1610</v>
      </c>
      <c r="B1193" s="432" t="str">
        <f t="shared" si="18"/>
        <v>-</v>
      </c>
      <c r="C1193" s="435" t="str">
        <f>IF(母公司现金流量表!I40=0,"-",TEXT(母公司现金流量表!I40,"#,##0.00"))</f>
        <v>-</v>
      </c>
    </row>
    <row r="1194" spans="1:5">
      <c r="A1194" s="432" t="s">
        <v>1611</v>
      </c>
      <c r="B1194" s="432" t="str">
        <f t="shared" si="18"/>
        <v>-</v>
      </c>
      <c r="C1194" s="435" t="str">
        <f>IF(母公司现金流量表!I41=0,"-",TEXT(母公司现金流量表!I41,"#,##0.00"))</f>
        <v>-</v>
      </c>
    </row>
    <row r="1195" spans="1:5">
      <c r="A1195" s="432" t="s">
        <v>1612</v>
      </c>
      <c r="B1195" s="432" t="str">
        <f t="shared" si="18"/>
        <v>-</v>
      </c>
      <c r="C1195" s="435" t="str">
        <f>IF(母公司现金流量表!I42=0,"-",TEXT(母公司现金流量表!I42,"#,##0.00"))</f>
        <v>-</v>
      </c>
    </row>
    <row r="1196" spans="1:5">
      <c r="A1196" s="432" t="s">
        <v>2288</v>
      </c>
      <c r="B1196" s="432" t="e">
        <f t="shared" si="18"/>
        <v>#DIV/0!</v>
      </c>
      <c r="C1196" s="435" t="e">
        <f>IF('财务指标 '!H3=0,"-",TEXT('财务指标 '!H3,"#,##0.00"))</f>
        <v>#DIV/0!</v>
      </c>
      <c r="E1196" s="436" t="s">
        <v>2383</v>
      </c>
    </row>
    <row r="1197" spans="1:5">
      <c r="A1197" s="432" t="s">
        <v>2289</v>
      </c>
      <c r="B1197" s="432" t="e">
        <f t="shared" si="18"/>
        <v>#DIV/0!</v>
      </c>
      <c r="C1197" s="435" t="e">
        <f>IF('财务指标 '!H4=0,"-",TEXT('财务指标 '!H4,"#,##0.00"))</f>
        <v>#DIV/0!</v>
      </c>
    </row>
    <row r="1198" spans="1:5">
      <c r="A1198" s="432" t="s">
        <v>2290</v>
      </c>
      <c r="B1198" s="432" t="e">
        <f t="shared" si="18"/>
        <v>#DIV/0!</v>
      </c>
      <c r="C1198" s="435" t="e">
        <f>IF('财务指标 '!H5=0,"-",TEXT('财务指标 '!H5,"#,##0.00"))</f>
        <v>#DIV/0!</v>
      </c>
    </row>
    <row r="1199" spans="1:5">
      <c r="A1199" s="432" t="s">
        <v>2291</v>
      </c>
      <c r="B1199" s="432" t="str">
        <f t="shared" si="18"/>
        <v>-</v>
      </c>
      <c r="C1199" s="435" t="str">
        <f>IF('财务指标 '!H6=0,"-",TEXT('财务指标 '!H6,"#,##0.00"))</f>
        <v>-</v>
      </c>
    </row>
    <row r="1200" spans="1:5">
      <c r="A1200" s="432" t="s">
        <v>2292</v>
      </c>
      <c r="B1200" s="432" t="e">
        <f t="shared" si="18"/>
        <v>#DIV/0!</v>
      </c>
      <c r="C1200" s="435" t="e">
        <f>IF('财务指标 '!H7=0,"-",TEXT('财务指标 '!H7,"#,##0.00"))</f>
        <v>#DIV/0!</v>
      </c>
    </row>
    <row r="1201" spans="1:3">
      <c r="A1201" s="432" t="s">
        <v>2293</v>
      </c>
      <c r="B1201" s="432" t="e">
        <f t="shared" si="18"/>
        <v>#DIV/0!</v>
      </c>
      <c r="C1201" s="435" t="e">
        <f>IF('财务指标 '!H8=0,"-",TEXT('财务指标 '!H8,"#,##0.00"))</f>
        <v>#DIV/0!</v>
      </c>
    </row>
    <row r="1202" spans="1:3">
      <c r="A1202" s="432" t="s">
        <v>2294</v>
      </c>
      <c r="B1202" s="432" t="e">
        <f t="shared" si="18"/>
        <v>#DIV/0!</v>
      </c>
      <c r="C1202" s="435" t="e">
        <f>IF('财务指标 '!H9=0,"-",TEXT('财务指标 '!H9,"#,##0.00"))</f>
        <v>#DIV/0!</v>
      </c>
    </row>
    <row r="1203" spans="1:3">
      <c r="A1203" s="432" t="s">
        <v>2295</v>
      </c>
      <c r="B1203" s="432" t="e">
        <f t="shared" si="18"/>
        <v>#DIV/0!</v>
      </c>
      <c r="C1203" s="435" t="e">
        <f>IF('财务指标 '!H10=0,"-",TEXT('财务指标 '!H10,"#,##0.00"))</f>
        <v>#DIV/0!</v>
      </c>
    </row>
    <row r="1204" spans="1:3">
      <c r="A1204" s="432" t="s">
        <v>2296</v>
      </c>
      <c r="B1204" s="432" t="e">
        <f t="shared" si="18"/>
        <v>#DIV/0!</v>
      </c>
      <c r="C1204" s="435" t="e">
        <f>IF('财务指标 '!H11=0,"-",TEXT('财务指标 '!H11,"#,##0.00"))</f>
        <v>#DIV/0!</v>
      </c>
    </row>
    <row r="1205" spans="1:3">
      <c r="A1205" s="432" t="s">
        <v>2297</v>
      </c>
      <c r="B1205" s="432" t="e">
        <f t="shared" si="18"/>
        <v>#DIV/0!</v>
      </c>
      <c r="C1205" s="435" t="e">
        <f>IF('财务指标 '!H12=0,"-",TEXT('财务指标 '!H12,"#,##0.00"))</f>
        <v>#DIV/0!</v>
      </c>
    </row>
    <row r="1206" spans="1:3">
      <c r="A1206" s="432" t="s">
        <v>2298</v>
      </c>
      <c r="B1206" s="432" t="e">
        <f t="shared" si="18"/>
        <v>#DIV/0!</v>
      </c>
      <c r="C1206" s="435" t="e">
        <f>IF('财务指标 '!H13=0,"-",TEXT('财务指标 '!H13,"#,##0.00"))</f>
        <v>#DIV/0!</v>
      </c>
    </row>
    <row r="1207" spans="1:3">
      <c r="A1207" s="432" t="s">
        <v>2299</v>
      </c>
      <c r="B1207" s="432" t="str">
        <f t="shared" si="18"/>
        <v>-</v>
      </c>
      <c r="C1207" s="435" t="str">
        <f>IF('财务指标 '!H14=0,"-",TEXT('财务指标 '!H14,"#,##0.00"))</f>
        <v>-</v>
      </c>
    </row>
    <row r="1208" spans="1:3">
      <c r="A1208" s="432" t="s">
        <v>2300</v>
      </c>
      <c r="B1208" s="432" t="str">
        <f t="shared" si="18"/>
        <v>-</v>
      </c>
      <c r="C1208" s="435" t="str">
        <f>IF('财务指标 '!H15=0,"-",TEXT('财务指标 '!H15,"#,##0.00"))</f>
        <v>-</v>
      </c>
    </row>
    <row r="1209" spans="1:3">
      <c r="A1209" s="432" t="s">
        <v>2301</v>
      </c>
      <c r="B1209" s="432" t="e">
        <f t="shared" si="18"/>
        <v>#DIV/0!</v>
      </c>
      <c r="C1209" s="435" t="e">
        <f>IF('财务指标 '!H16=0,"-",TEXT('财务指标 '!H16,"#,##0.00"))</f>
        <v>#DIV/0!</v>
      </c>
    </row>
    <row r="1210" spans="1:3">
      <c r="A1210" s="432" t="s">
        <v>2302</v>
      </c>
      <c r="B1210" s="432" t="e">
        <f t="shared" si="18"/>
        <v>#DIV/0!</v>
      </c>
      <c r="C1210" s="435" t="e">
        <f>IF('财务指标 '!H17=0,"-",TEXT('财务指标 '!H17,"#,##0.00"))</f>
        <v>#DIV/0!</v>
      </c>
    </row>
    <row r="1211" spans="1:3">
      <c r="A1211" s="432" t="s">
        <v>2303</v>
      </c>
      <c r="B1211" s="432" t="e">
        <f t="shared" si="18"/>
        <v>#DIV/0!</v>
      </c>
      <c r="C1211" s="435" t="e">
        <f>IF('财务指标 '!H18=0,"-",TEXT('财务指标 '!H18,"#,##0.00"))</f>
        <v>#DIV/0!</v>
      </c>
    </row>
    <row r="1212" spans="1:3">
      <c r="A1212" s="432" t="s">
        <v>2304</v>
      </c>
      <c r="B1212" s="432" t="e">
        <f t="shared" si="18"/>
        <v>#DIV/0!</v>
      </c>
      <c r="C1212" s="435" t="e">
        <f>IF('财务指标 '!H19=0,"-",TEXT('财务指标 '!H19,"#,##0.00"))</f>
        <v>#DIV/0!</v>
      </c>
    </row>
    <row r="1213" spans="1:3">
      <c r="A1213" s="432" t="s">
        <v>2305</v>
      </c>
      <c r="B1213" s="432" t="e">
        <f t="shared" si="18"/>
        <v>#DIV/0!</v>
      </c>
      <c r="C1213" s="435" t="e">
        <f>IF('财务指标 '!H20=0,"-",TEXT('财务指标 '!H20,"#,##0.00"))</f>
        <v>#DIV/0!</v>
      </c>
    </row>
    <row r="1214" spans="1:3">
      <c r="A1214" s="432" t="s">
        <v>2306</v>
      </c>
      <c r="B1214" s="432" t="e">
        <f t="shared" si="18"/>
        <v>#DIV/0!</v>
      </c>
      <c r="C1214" s="435" t="e">
        <f>IF('财务指标 '!H21=0,"-",TEXT('财务指标 '!H21,"#,##0.00"))</f>
        <v>#DIV/0!</v>
      </c>
    </row>
    <row r="1215" spans="1:3">
      <c r="A1215" s="432" t="s">
        <v>2307</v>
      </c>
      <c r="B1215" s="432" t="e">
        <f t="shared" si="18"/>
        <v>#DIV/0!</v>
      </c>
      <c r="C1215" s="435" t="e">
        <f>IF('财务指标 '!I3=0,"-",TEXT('财务指标 '!I3,"#,##0.00"))</f>
        <v>#DIV/0!</v>
      </c>
    </row>
    <row r="1216" spans="1:3">
      <c r="A1216" s="432" t="s">
        <v>2308</v>
      </c>
      <c r="B1216" s="432" t="e">
        <f t="shared" si="18"/>
        <v>#DIV/0!</v>
      </c>
      <c r="C1216" s="435" t="e">
        <f>IF('财务指标 '!I4=0,"-",TEXT('财务指标 '!I4,"#,##0.00"))</f>
        <v>#DIV/0!</v>
      </c>
    </row>
    <row r="1217" spans="1:3">
      <c r="A1217" s="432" t="s">
        <v>2309</v>
      </c>
      <c r="B1217" s="432" t="e">
        <f t="shared" si="18"/>
        <v>#DIV/0!</v>
      </c>
      <c r="C1217" s="435" t="e">
        <f>IF('财务指标 '!I5=0,"-",TEXT('财务指标 '!I5,"#,##0.00"))</f>
        <v>#DIV/0!</v>
      </c>
    </row>
    <row r="1218" spans="1:3">
      <c r="A1218" s="432" t="s">
        <v>2310</v>
      </c>
      <c r="B1218" s="432" t="str">
        <f t="shared" si="18"/>
        <v>-</v>
      </c>
      <c r="C1218" s="435" t="str">
        <f>IF('财务指标 '!I6=0,"-",TEXT('财务指标 '!I6,"#,##0.00"))</f>
        <v>-</v>
      </c>
    </row>
    <row r="1219" spans="1:3">
      <c r="A1219" s="432" t="s">
        <v>2311</v>
      </c>
      <c r="B1219" s="432" t="e">
        <f t="shared" si="18"/>
        <v>#DIV/0!</v>
      </c>
      <c r="C1219" s="435" t="e">
        <f>IF('财务指标 '!I7=0,"-",TEXT('财务指标 '!I7,"#,##0.00"))</f>
        <v>#DIV/0!</v>
      </c>
    </row>
    <row r="1220" spans="1:3">
      <c r="A1220" s="432" t="s">
        <v>2312</v>
      </c>
      <c r="B1220" s="432" t="e">
        <f t="shared" si="18"/>
        <v>#DIV/0!</v>
      </c>
      <c r="C1220" s="435" t="e">
        <f>IF('财务指标 '!I8=0,"-",TEXT('财务指标 '!I8,"#,##0.00"))</f>
        <v>#DIV/0!</v>
      </c>
    </row>
    <row r="1221" spans="1:3">
      <c r="A1221" s="432" t="s">
        <v>2313</v>
      </c>
      <c r="B1221" s="432" t="e">
        <f t="shared" si="18"/>
        <v>#DIV/0!</v>
      </c>
      <c r="C1221" s="435" t="e">
        <f>IF('财务指标 '!I9=0,"-",TEXT('财务指标 '!I9,"#,##0.00"))</f>
        <v>#DIV/0!</v>
      </c>
    </row>
    <row r="1222" spans="1:3">
      <c r="A1222" s="432" t="s">
        <v>2314</v>
      </c>
      <c r="B1222" s="432" t="e">
        <f t="shared" si="18"/>
        <v>#DIV/0!</v>
      </c>
      <c r="C1222" s="435" t="e">
        <f>IF('财务指标 '!I10=0,"-",TEXT('财务指标 '!I10,"#,##0.00"))</f>
        <v>#DIV/0!</v>
      </c>
    </row>
    <row r="1223" spans="1:3">
      <c r="A1223" s="432" t="s">
        <v>2315</v>
      </c>
      <c r="B1223" s="432" t="e">
        <f t="shared" si="18"/>
        <v>#DIV/0!</v>
      </c>
      <c r="C1223" s="435" t="e">
        <f>IF('财务指标 '!I11=0,"-",TEXT('财务指标 '!I11,"#,##0.00"))</f>
        <v>#DIV/0!</v>
      </c>
    </row>
    <row r="1224" spans="1:3">
      <c r="A1224" s="432" t="s">
        <v>2316</v>
      </c>
      <c r="B1224" s="432" t="e">
        <f t="shared" ref="B1224:B1287" si="19">TRIM(C1224)</f>
        <v>#DIV/0!</v>
      </c>
      <c r="C1224" s="435" t="e">
        <f>IF('财务指标 '!I12=0,"-",TEXT('财务指标 '!I12,"#,##0.00"))</f>
        <v>#DIV/0!</v>
      </c>
    </row>
    <row r="1225" spans="1:3">
      <c r="A1225" s="432" t="s">
        <v>2317</v>
      </c>
      <c r="B1225" s="432" t="e">
        <f t="shared" si="19"/>
        <v>#DIV/0!</v>
      </c>
      <c r="C1225" s="435" t="e">
        <f>IF('财务指标 '!I13=0,"-",TEXT('财务指标 '!I13,"#,##0.00"))</f>
        <v>#DIV/0!</v>
      </c>
    </row>
    <row r="1226" spans="1:3">
      <c r="A1226" s="432" t="s">
        <v>2318</v>
      </c>
      <c r="B1226" s="432" t="str">
        <f t="shared" si="19"/>
        <v>-</v>
      </c>
      <c r="C1226" s="435" t="str">
        <f>IF('财务指标 '!I14=0,"-",TEXT('财务指标 '!I14,"#,##0.00"))</f>
        <v>-</v>
      </c>
    </row>
    <row r="1227" spans="1:3">
      <c r="A1227" s="432" t="s">
        <v>2319</v>
      </c>
      <c r="B1227" s="432" t="str">
        <f t="shared" si="19"/>
        <v>-</v>
      </c>
      <c r="C1227" s="435" t="str">
        <f>IF('财务指标 '!I15=0,"-",TEXT('财务指标 '!I15,"#,##0.00"))</f>
        <v>-</v>
      </c>
    </row>
    <row r="1228" spans="1:3">
      <c r="A1228" s="432" t="s">
        <v>2320</v>
      </c>
      <c r="B1228" s="432" t="e">
        <f t="shared" si="19"/>
        <v>#DIV/0!</v>
      </c>
      <c r="C1228" s="435" t="e">
        <f>IF('财务指标 '!I16=0,"-",TEXT('财务指标 '!I16,"#,##0.00"))</f>
        <v>#DIV/0!</v>
      </c>
    </row>
    <row r="1229" spans="1:3">
      <c r="A1229" s="432" t="s">
        <v>2321</v>
      </c>
      <c r="B1229" s="432" t="e">
        <f t="shared" si="19"/>
        <v>#DIV/0!</v>
      </c>
      <c r="C1229" s="435" t="e">
        <f>IF('财务指标 '!I17=0,"-",TEXT('财务指标 '!I17,"#,##0.00"))</f>
        <v>#DIV/0!</v>
      </c>
    </row>
    <row r="1230" spans="1:3">
      <c r="A1230" s="432" t="s">
        <v>2322</v>
      </c>
      <c r="B1230" s="432" t="e">
        <f t="shared" si="19"/>
        <v>#DIV/0!</v>
      </c>
      <c r="C1230" s="435" t="e">
        <f>IF('财务指标 '!I18=0,"-",TEXT('财务指标 '!I18,"#,##0.00"))</f>
        <v>#DIV/0!</v>
      </c>
    </row>
    <row r="1231" spans="1:3">
      <c r="A1231" s="432" t="s">
        <v>2323</v>
      </c>
      <c r="B1231" s="432" t="e">
        <f t="shared" si="19"/>
        <v>#DIV/0!</v>
      </c>
      <c r="C1231" s="435" t="e">
        <f>IF('财务指标 '!I19=0,"-",TEXT('财务指标 '!I19,"#,##0.00"))</f>
        <v>#DIV/0!</v>
      </c>
    </row>
    <row r="1232" spans="1:3">
      <c r="A1232" s="432" t="s">
        <v>2324</v>
      </c>
      <c r="B1232" s="432" t="e">
        <f t="shared" si="19"/>
        <v>#DIV/0!</v>
      </c>
      <c r="C1232" s="435" t="e">
        <f>IF('财务指标 '!I20=0,"-",TEXT('财务指标 '!I20,"#,##0.00"))</f>
        <v>#DIV/0!</v>
      </c>
    </row>
    <row r="1233" spans="1:3">
      <c r="A1233" s="432" t="s">
        <v>2325</v>
      </c>
      <c r="B1233" s="432" t="e">
        <f t="shared" si="19"/>
        <v>#DIV/0!</v>
      </c>
      <c r="C1233" s="435" t="e">
        <f>IF('财务指标 '!I21=0,"-",TEXT('财务指标 '!I21,"#,##0.00"))</f>
        <v>#DIV/0!</v>
      </c>
    </row>
    <row r="1234" spans="1:3">
      <c r="A1234" s="432" t="s">
        <v>2326</v>
      </c>
      <c r="B1234" s="432" t="e">
        <f t="shared" si="19"/>
        <v>#DIV/0!</v>
      </c>
      <c r="C1234" s="435" t="e">
        <f>IF('财务指标 '!J3=0,"-",TEXT('财务指标 '!J3,"#,##0.00"))</f>
        <v>#DIV/0!</v>
      </c>
    </row>
    <row r="1235" spans="1:3">
      <c r="A1235" s="432" t="s">
        <v>2327</v>
      </c>
      <c r="B1235" s="432" t="e">
        <f t="shared" si="19"/>
        <v>#DIV/0!</v>
      </c>
      <c r="C1235" s="435" t="e">
        <f>IF('财务指标 '!J4=0,"-",TEXT('财务指标 '!J4,"#,##0.00"))</f>
        <v>#DIV/0!</v>
      </c>
    </row>
    <row r="1236" spans="1:3">
      <c r="A1236" s="432" t="s">
        <v>2328</v>
      </c>
      <c r="B1236" s="432" t="e">
        <f t="shared" si="19"/>
        <v>#DIV/0!</v>
      </c>
      <c r="C1236" s="435" t="e">
        <f>IF('财务指标 '!J5=0,"-",TEXT('财务指标 '!J5,"#,##0.00"))</f>
        <v>#DIV/0!</v>
      </c>
    </row>
    <row r="1237" spans="1:3">
      <c r="A1237" s="432" t="s">
        <v>2329</v>
      </c>
      <c r="B1237" s="432" t="str">
        <f t="shared" si="19"/>
        <v>-</v>
      </c>
      <c r="C1237" s="435" t="str">
        <f>IF('财务指标 '!J6=0,"-",TEXT('财务指标 '!J6,"#,##0.00"))</f>
        <v>-</v>
      </c>
    </row>
    <row r="1238" spans="1:3">
      <c r="A1238" s="432" t="s">
        <v>2330</v>
      </c>
      <c r="B1238" s="432" t="e">
        <f t="shared" si="19"/>
        <v>#DIV/0!</v>
      </c>
      <c r="C1238" s="435" t="e">
        <f>IF('财务指标 '!J7=0,"-",TEXT('财务指标 '!J7,"#,##0.00"))</f>
        <v>#DIV/0!</v>
      </c>
    </row>
    <row r="1239" spans="1:3">
      <c r="A1239" s="432" t="s">
        <v>2331</v>
      </c>
      <c r="B1239" s="432" t="e">
        <f t="shared" si="19"/>
        <v>#DIV/0!</v>
      </c>
      <c r="C1239" s="435" t="e">
        <f>IF('财务指标 '!J8=0,"-",TEXT('财务指标 '!J8,"#,##0.00"))</f>
        <v>#DIV/0!</v>
      </c>
    </row>
    <row r="1240" spans="1:3">
      <c r="A1240" s="432" t="s">
        <v>2332</v>
      </c>
      <c r="B1240" s="432" t="e">
        <f t="shared" si="19"/>
        <v>#DIV/0!</v>
      </c>
      <c r="C1240" s="435" t="e">
        <f>IF('财务指标 '!J9=0,"-",TEXT('财务指标 '!J9,"#,##0.00"))</f>
        <v>#DIV/0!</v>
      </c>
    </row>
    <row r="1241" spans="1:3">
      <c r="A1241" s="432" t="s">
        <v>2333</v>
      </c>
      <c r="B1241" s="432" t="e">
        <f t="shared" si="19"/>
        <v>#DIV/0!</v>
      </c>
      <c r="C1241" s="435" t="e">
        <f>IF('财务指标 '!J10=0,"-",TEXT('财务指标 '!J10,"#,##0.00"))</f>
        <v>#DIV/0!</v>
      </c>
    </row>
    <row r="1242" spans="1:3">
      <c r="A1242" s="432" t="s">
        <v>2334</v>
      </c>
      <c r="B1242" s="432" t="e">
        <f t="shared" si="19"/>
        <v>#DIV/0!</v>
      </c>
      <c r="C1242" s="435" t="e">
        <f>IF('财务指标 '!J11=0,"-",TEXT('财务指标 '!J11,"#,##0.00"))</f>
        <v>#DIV/0!</v>
      </c>
    </row>
    <row r="1243" spans="1:3">
      <c r="A1243" s="432" t="s">
        <v>2335</v>
      </c>
      <c r="B1243" s="432" t="e">
        <f t="shared" si="19"/>
        <v>#DIV/0!</v>
      </c>
      <c r="C1243" s="435" t="e">
        <f>IF('财务指标 '!J12=0,"-",TEXT('财务指标 '!J12,"#,##0.00"))</f>
        <v>#DIV/0!</v>
      </c>
    </row>
    <row r="1244" spans="1:3">
      <c r="A1244" s="432" t="s">
        <v>2336</v>
      </c>
      <c r="B1244" s="432" t="e">
        <f t="shared" si="19"/>
        <v>#DIV/0!</v>
      </c>
      <c r="C1244" s="435" t="e">
        <f>IF('财务指标 '!J13=0,"-",TEXT('财务指标 '!J13,"#,##0.00"))</f>
        <v>#DIV/0!</v>
      </c>
    </row>
    <row r="1245" spans="1:3">
      <c r="A1245" s="432" t="s">
        <v>2337</v>
      </c>
      <c r="B1245" s="432" t="str">
        <f t="shared" si="19"/>
        <v>-</v>
      </c>
      <c r="C1245" s="435" t="str">
        <f>IF('财务指标 '!J14=0,"-",TEXT('财务指标 '!J14,"#,##0.00"))</f>
        <v>-</v>
      </c>
    </row>
    <row r="1246" spans="1:3">
      <c r="A1246" s="432" t="s">
        <v>2338</v>
      </c>
      <c r="B1246" s="432" t="str">
        <f t="shared" si="19"/>
        <v>-</v>
      </c>
      <c r="C1246" s="435" t="str">
        <f>IF('财务指标 '!J15=0,"-",TEXT('财务指标 '!J15,"#,##0.00"))</f>
        <v>-</v>
      </c>
    </row>
    <row r="1247" spans="1:3">
      <c r="A1247" s="432" t="s">
        <v>2339</v>
      </c>
      <c r="B1247" s="432" t="e">
        <f t="shared" si="19"/>
        <v>#DIV/0!</v>
      </c>
      <c r="C1247" s="435" t="e">
        <f>IF('财务指标 '!J16=0,"-",TEXT('财务指标 '!J16,"#,##0.00"))</f>
        <v>#DIV/0!</v>
      </c>
    </row>
    <row r="1248" spans="1:3">
      <c r="A1248" s="432" t="s">
        <v>2340</v>
      </c>
      <c r="B1248" s="432" t="e">
        <f t="shared" si="19"/>
        <v>#DIV/0!</v>
      </c>
      <c r="C1248" s="435" t="e">
        <f>IF('财务指标 '!J17=0,"-",TEXT('财务指标 '!J17,"#,##0.00"))</f>
        <v>#DIV/0!</v>
      </c>
    </row>
    <row r="1249" spans="1:3">
      <c r="A1249" s="432" t="s">
        <v>2341</v>
      </c>
      <c r="B1249" s="432" t="e">
        <f t="shared" si="19"/>
        <v>#DIV/0!</v>
      </c>
      <c r="C1249" s="435" t="e">
        <f>IF('财务指标 '!J18=0,"-",TEXT('财务指标 '!J18,"#,##0.00"))</f>
        <v>#DIV/0!</v>
      </c>
    </row>
    <row r="1250" spans="1:3">
      <c r="A1250" s="432" t="s">
        <v>2342</v>
      </c>
      <c r="B1250" s="432" t="e">
        <f t="shared" si="19"/>
        <v>#DIV/0!</v>
      </c>
      <c r="C1250" s="435" t="e">
        <f>IF('财务指标 '!J19=0,"-",TEXT('财务指标 '!J19,"#,##0.00"))</f>
        <v>#DIV/0!</v>
      </c>
    </row>
    <row r="1251" spans="1:3">
      <c r="A1251" s="432" t="s">
        <v>2343</v>
      </c>
      <c r="B1251" s="432" t="e">
        <f t="shared" si="19"/>
        <v>#DIV/0!</v>
      </c>
      <c r="C1251" s="435" t="e">
        <f>IF('财务指标 '!J20=0,"-",TEXT('财务指标 '!J20,"#,##0.00"))</f>
        <v>#DIV/0!</v>
      </c>
    </row>
    <row r="1252" spans="1:3">
      <c r="A1252" s="432" t="s">
        <v>2344</v>
      </c>
      <c r="B1252" s="432" t="e">
        <f t="shared" si="19"/>
        <v>#DIV/0!</v>
      </c>
      <c r="C1252" s="435" t="e">
        <f>IF('财务指标 '!J21=0,"-",TEXT('财务指标 '!J21,"#,##0.00"))</f>
        <v>#DIV/0!</v>
      </c>
    </row>
    <row r="1253" spans="1:3">
      <c r="A1253" s="432" t="s">
        <v>2345</v>
      </c>
      <c r="B1253" s="432" t="e">
        <f t="shared" si="19"/>
        <v>#DIV/0!</v>
      </c>
      <c r="C1253" s="435" t="e">
        <f>IF('财务指标 '!K3=0,"-",TEXT('财务指标 '!K3,"#,##0.00"))</f>
        <v>#DIV/0!</v>
      </c>
    </row>
    <row r="1254" spans="1:3">
      <c r="A1254" s="432" t="s">
        <v>2346</v>
      </c>
      <c r="B1254" s="432" t="e">
        <f t="shared" si="19"/>
        <v>#DIV/0!</v>
      </c>
      <c r="C1254" s="435" t="e">
        <f>IF('财务指标 '!K4=0,"-",TEXT('财务指标 '!K4,"#,##0.00"))</f>
        <v>#DIV/0!</v>
      </c>
    </row>
    <row r="1255" spans="1:3">
      <c r="A1255" s="432" t="s">
        <v>2347</v>
      </c>
      <c r="B1255" s="432" t="e">
        <f t="shared" si="19"/>
        <v>#DIV/0!</v>
      </c>
      <c r="C1255" s="435" t="e">
        <f>IF('财务指标 '!K5=0,"-",TEXT('财务指标 '!K5,"#,##0.00"))</f>
        <v>#DIV/0!</v>
      </c>
    </row>
    <row r="1256" spans="1:3">
      <c r="A1256" s="432" t="s">
        <v>2348</v>
      </c>
      <c r="B1256" s="432" t="str">
        <f t="shared" si="19"/>
        <v>-</v>
      </c>
      <c r="C1256" s="435" t="str">
        <f>IF('财务指标 '!K6=0,"-",TEXT('财务指标 '!K6,"#,##0.00"))</f>
        <v>-</v>
      </c>
    </row>
    <row r="1257" spans="1:3">
      <c r="A1257" s="432" t="s">
        <v>2349</v>
      </c>
      <c r="B1257" s="432" t="e">
        <f t="shared" si="19"/>
        <v>#DIV/0!</v>
      </c>
      <c r="C1257" s="435" t="e">
        <f>IF('财务指标 '!K7=0,"-",TEXT('财务指标 '!K7,"#,##0.00"))</f>
        <v>#DIV/0!</v>
      </c>
    </row>
    <row r="1258" spans="1:3">
      <c r="A1258" s="432" t="s">
        <v>2350</v>
      </c>
      <c r="B1258" s="432" t="e">
        <f t="shared" si="19"/>
        <v>#DIV/0!</v>
      </c>
      <c r="C1258" s="435" t="e">
        <f>IF('财务指标 '!K8=0,"-",TEXT('财务指标 '!K8,"#,##0.00"))</f>
        <v>#DIV/0!</v>
      </c>
    </row>
    <row r="1259" spans="1:3">
      <c r="A1259" s="432" t="s">
        <v>2351</v>
      </c>
      <c r="B1259" s="432" t="e">
        <f t="shared" si="19"/>
        <v>#DIV/0!</v>
      </c>
      <c r="C1259" s="435" t="e">
        <f>IF('财务指标 '!K9=0,"-",TEXT('财务指标 '!K9,"#,##0.00"))</f>
        <v>#DIV/0!</v>
      </c>
    </row>
    <row r="1260" spans="1:3">
      <c r="A1260" s="432" t="s">
        <v>2352</v>
      </c>
      <c r="B1260" s="432" t="e">
        <f t="shared" si="19"/>
        <v>#DIV/0!</v>
      </c>
      <c r="C1260" s="435" t="e">
        <f>IF('财务指标 '!K10=0,"-",TEXT('财务指标 '!K10,"#,##0.00"))</f>
        <v>#DIV/0!</v>
      </c>
    </row>
    <row r="1261" spans="1:3">
      <c r="A1261" s="432" t="s">
        <v>2353</v>
      </c>
      <c r="B1261" s="432" t="e">
        <f t="shared" si="19"/>
        <v>#DIV/0!</v>
      </c>
      <c r="C1261" s="435" t="e">
        <f>IF('财务指标 '!K11=0,"-",TEXT('财务指标 '!K11,"#,##0.00"))</f>
        <v>#DIV/0!</v>
      </c>
    </row>
    <row r="1262" spans="1:3">
      <c r="A1262" s="432" t="s">
        <v>2354</v>
      </c>
      <c r="B1262" s="432" t="e">
        <f t="shared" si="19"/>
        <v>#DIV/0!</v>
      </c>
      <c r="C1262" s="435" t="e">
        <f>IF('财务指标 '!K12=0,"-",TEXT('财务指标 '!K12,"#,##0.00"))</f>
        <v>#DIV/0!</v>
      </c>
    </row>
    <row r="1263" spans="1:3">
      <c r="A1263" s="432" t="s">
        <v>2355</v>
      </c>
      <c r="B1263" s="432" t="e">
        <f t="shared" si="19"/>
        <v>#DIV/0!</v>
      </c>
      <c r="C1263" s="435" t="e">
        <f>IF('财务指标 '!K13=0,"-",TEXT('财务指标 '!K13,"#,##0.00"))</f>
        <v>#DIV/0!</v>
      </c>
    </row>
    <row r="1264" spans="1:3">
      <c r="A1264" s="432" t="s">
        <v>2356</v>
      </c>
      <c r="B1264" s="432" t="str">
        <f t="shared" si="19"/>
        <v>-</v>
      </c>
      <c r="C1264" s="435" t="str">
        <f>IF('财务指标 '!K14=0,"-",TEXT('财务指标 '!K14,"#,##0.00"))</f>
        <v>-</v>
      </c>
    </row>
    <row r="1265" spans="1:3">
      <c r="A1265" s="432" t="s">
        <v>2357</v>
      </c>
      <c r="B1265" s="432" t="str">
        <f t="shared" si="19"/>
        <v>-</v>
      </c>
      <c r="C1265" s="435" t="str">
        <f>IF('财务指标 '!K15=0,"-",TEXT('财务指标 '!K15,"#,##0.00"))</f>
        <v>-</v>
      </c>
    </row>
    <row r="1266" spans="1:3">
      <c r="A1266" s="432" t="s">
        <v>2358</v>
      </c>
      <c r="B1266" s="432" t="e">
        <f t="shared" si="19"/>
        <v>#DIV/0!</v>
      </c>
      <c r="C1266" s="435" t="e">
        <f>IF('财务指标 '!K16=0,"-",TEXT('财务指标 '!K16,"#,##0.00"))</f>
        <v>#DIV/0!</v>
      </c>
    </row>
    <row r="1267" spans="1:3">
      <c r="A1267" s="432" t="s">
        <v>2359</v>
      </c>
      <c r="B1267" s="432" t="e">
        <f t="shared" si="19"/>
        <v>#DIV/0!</v>
      </c>
      <c r="C1267" s="435" t="e">
        <f>IF('财务指标 '!K17=0,"-",TEXT('财务指标 '!K17,"#,##0.00"))</f>
        <v>#DIV/0!</v>
      </c>
    </row>
    <row r="1268" spans="1:3">
      <c r="A1268" s="432" t="s">
        <v>2360</v>
      </c>
      <c r="B1268" s="432" t="e">
        <f t="shared" si="19"/>
        <v>#DIV/0!</v>
      </c>
      <c r="C1268" s="435" t="e">
        <f>IF('财务指标 '!K18=0,"-",TEXT('财务指标 '!K18,"#,##0.00"))</f>
        <v>#DIV/0!</v>
      </c>
    </row>
    <row r="1269" spans="1:3">
      <c r="A1269" s="432" t="s">
        <v>2361</v>
      </c>
      <c r="B1269" s="432" t="e">
        <f t="shared" si="19"/>
        <v>#DIV/0!</v>
      </c>
      <c r="C1269" s="435" t="e">
        <f>IF('财务指标 '!K19=0,"-",TEXT('财务指标 '!K19,"#,##0.00"))</f>
        <v>#DIV/0!</v>
      </c>
    </row>
    <row r="1270" spans="1:3">
      <c r="A1270" s="432" t="s">
        <v>2362</v>
      </c>
      <c r="B1270" s="432" t="e">
        <f t="shared" si="19"/>
        <v>#DIV/0!</v>
      </c>
      <c r="C1270" s="435" t="e">
        <f>IF('财务指标 '!K20=0,"-",TEXT('财务指标 '!K20,"#,##0.00"))</f>
        <v>#DIV/0!</v>
      </c>
    </row>
    <row r="1271" spans="1:3">
      <c r="A1271" s="432" t="s">
        <v>2363</v>
      </c>
      <c r="B1271" s="432" t="e">
        <f t="shared" si="19"/>
        <v>#DIV/0!</v>
      </c>
      <c r="C1271" s="435" t="e">
        <f>IF('财务指标 '!K21=0,"-",TEXT('财务指标 '!K21,"#,##0.00"))</f>
        <v>#DIV/0!</v>
      </c>
    </row>
    <row r="1272" spans="1:3">
      <c r="A1272" s="432" t="s">
        <v>2364</v>
      </c>
      <c r="B1272" s="432" t="e">
        <f t="shared" si="19"/>
        <v>#DIV/0!</v>
      </c>
      <c r="C1272" s="435" t="e">
        <f>IF('财务指标 '!J26=0,"-",TEXT('财务指标 '!J26,"#,##0.00"))</f>
        <v>#DIV/0!</v>
      </c>
    </row>
    <row r="1273" spans="1:3">
      <c r="A1273" s="432" t="s">
        <v>2365</v>
      </c>
      <c r="B1273" s="432" t="e">
        <f t="shared" si="19"/>
        <v>#DIV/0!</v>
      </c>
      <c r="C1273" s="435" t="e">
        <f>IF('财务指标 '!J27=0,"-",TEXT('财务指标 '!J27,"#,##0.00"))</f>
        <v>#DIV/0!</v>
      </c>
    </row>
    <row r="1274" spans="1:3">
      <c r="A1274" s="432" t="s">
        <v>2366</v>
      </c>
      <c r="B1274" s="432" t="e">
        <f t="shared" si="19"/>
        <v>#DIV/0!</v>
      </c>
      <c r="C1274" s="435" t="e">
        <f>IF('财务指标 '!J28=0,"-",TEXT('财务指标 '!J28,"#,##0.00"))</f>
        <v>#DIV/0!</v>
      </c>
    </row>
    <row r="1275" spans="1:3">
      <c r="A1275" s="432" t="s">
        <v>2367</v>
      </c>
      <c r="B1275" s="432" t="str">
        <f t="shared" si="19"/>
        <v>-</v>
      </c>
      <c r="C1275" s="435" t="str">
        <f>IF('财务指标 '!J29=0,"-",TEXT('财务指标 '!J29,"#,##0.00"))</f>
        <v>-</v>
      </c>
    </row>
    <row r="1276" spans="1:3">
      <c r="A1276" s="432" t="s">
        <v>2368</v>
      </c>
      <c r="B1276" s="432" t="e">
        <f t="shared" si="19"/>
        <v>#DIV/0!</v>
      </c>
      <c r="C1276" s="435" t="e">
        <f>IF('财务指标 '!J30=0,"-",TEXT('财务指标 '!J30,"#,##0.00"))</f>
        <v>#DIV/0!</v>
      </c>
    </row>
    <row r="1277" spans="1:3">
      <c r="A1277" s="432" t="s">
        <v>2369</v>
      </c>
      <c r="B1277" s="432" t="e">
        <f t="shared" si="19"/>
        <v>#DIV/0!</v>
      </c>
      <c r="C1277" s="435" t="e">
        <f>IF('财务指标 '!J31=0,"-",TEXT('财务指标 '!J31,"#,##0.00"))</f>
        <v>#DIV/0!</v>
      </c>
    </row>
    <row r="1278" spans="1:3">
      <c r="A1278" s="432" t="s">
        <v>2370</v>
      </c>
      <c r="B1278" s="432" t="e">
        <f t="shared" si="19"/>
        <v>#DIV/0!</v>
      </c>
      <c r="C1278" s="435" t="e">
        <f>IF('财务指标 '!J32=0,"-",TEXT('财务指标 '!J32,"#,##0.00"))</f>
        <v>#DIV/0!</v>
      </c>
    </row>
    <row r="1279" spans="1:3">
      <c r="A1279" s="432" t="s">
        <v>2371</v>
      </c>
      <c r="B1279" s="432" t="e">
        <f t="shared" si="19"/>
        <v>#DIV/0!</v>
      </c>
      <c r="C1279" s="435" t="e">
        <f>IF('财务指标 '!J33=0,"-",TEXT('财务指标 '!J33,"#,##0.00"))</f>
        <v>#DIV/0!</v>
      </c>
    </row>
    <row r="1280" spans="1:3">
      <c r="A1280" s="432" t="s">
        <v>2372</v>
      </c>
      <c r="B1280" s="432" t="e">
        <f t="shared" si="19"/>
        <v>#DIV/0!</v>
      </c>
      <c r="C1280" s="435" t="e">
        <f>IF('财务指标 '!J34=0,"-",TEXT('财务指标 '!J34,"#,##0.00"))</f>
        <v>#DIV/0!</v>
      </c>
    </row>
    <row r="1281" spans="1:5">
      <c r="A1281" s="432" t="s">
        <v>2373</v>
      </c>
      <c r="B1281" s="432" t="e">
        <f t="shared" si="19"/>
        <v>#DIV/0!</v>
      </c>
      <c r="C1281" s="435" t="e">
        <f>IF('财务指标 '!J35=0,"-",TEXT('财务指标 '!J35,"#,##0.00"))</f>
        <v>#DIV/0!</v>
      </c>
    </row>
    <row r="1282" spans="1:5">
      <c r="A1282" s="432" t="s">
        <v>2374</v>
      </c>
      <c r="B1282" s="432" t="e">
        <f t="shared" si="19"/>
        <v>#DIV/0!</v>
      </c>
      <c r="C1282" s="435" t="e">
        <f>IF('财务指标 '!J36=0,"-",TEXT('财务指标 '!J36,"#,##0.00"))</f>
        <v>#DIV/0!</v>
      </c>
    </row>
    <row r="1283" spans="1:5">
      <c r="A1283" s="432" t="s">
        <v>2375</v>
      </c>
      <c r="B1283" s="432" t="str">
        <f t="shared" si="19"/>
        <v>-</v>
      </c>
      <c r="C1283" s="435" t="str">
        <f>IF('财务指标 '!J37=0,"-",TEXT('财务指标 '!J37,"#,##0.00"))</f>
        <v>-</v>
      </c>
    </row>
    <row r="1284" spans="1:5">
      <c r="A1284" s="432" t="s">
        <v>2376</v>
      </c>
      <c r="B1284" s="432" t="str">
        <f t="shared" si="19"/>
        <v>-</v>
      </c>
      <c r="C1284" s="435" t="str">
        <f>IF('财务指标 '!J38=0,"-",TEXT('财务指标 '!J38,"#,##0.00"))</f>
        <v>-</v>
      </c>
    </row>
    <row r="1285" spans="1:5">
      <c r="A1285" s="432" t="s">
        <v>2377</v>
      </c>
      <c r="B1285" s="432" t="e">
        <f t="shared" si="19"/>
        <v>#DIV/0!</v>
      </c>
      <c r="C1285" s="435" t="e">
        <f>IF('财务指标 '!J39=0,"-",TEXT('财务指标 '!J39,"#,##0.00"))</f>
        <v>#DIV/0!</v>
      </c>
    </row>
    <row r="1286" spans="1:5">
      <c r="A1286" s="432" t="s">
        <v>2378</v>
      </c>
      <c r="B1286" s="432" t="e">
        <f t="shared" si="19"/>
        <v>#DIV/0!</v>
      </c>
      <c r="C1286" s="435" t="e">
        <f>IF('财务指标 '!J40=0,"-",TEXT('财务指标 '!J40,"#,##0.00"))</f>
        <v>#DIV/0!</v>
      </c>
    </row>
    <row r="1287" spans="1:5">
      <c r="A1287" s="432" t="s">
        <v>2379</v>
      </c>
      <c r="B1287" s="432" t="e">
        <f t="shared" si="19"/>
        <v>#DIV/0!</v>
      </c>
      <c r="C1287" s="435" t="e">
        <f>IF('财务指标 '!J41=0,"-",TEXT('财务指标 '!J41,"#,##0.00"))</f>
        <v>#DIV/0!</v>
      </c>
    </row>
    <row r="1288" spans="1:5">
      <c r="A1288" s="432" t="s">
        <v>2380</v>
      </c>
      <c r="B1288" s="432" t="e">
        <f t="shared" ref="B1288:B1351" si="20">TRIM(C1288)</f>
        <v>#DIV/0!</v>
      </c>
      <c r="C1288" s="435" t="e">
        <f>IF('财务指标 '!J42=0,"-",TEXT('财务指标 '!J42,"#,##0.00"))</f>
        <v>#DIV/0!</v>
      </c>
    </row>
    <row r="1289" spans="1:5">
      <c r="A1289" s="432" t="s">
        <v>2381</v>
      </c>
      <c r="B1289" s="432" t="e">
        <f t="shared" si="20"/>
        <v>#DIV/0!</v>
      </c>
      <c r="C1289" s="435" t="e">
        <f>IF('财务指标 '!J43=0,"-",TEXT('财务指标 '!J43,"#,##0.00"))</f>
        <v>#DIV/0!</v>
      </c>
    </row>
    <row r="1290" spans="1:5">
      <c r="A1290" s="432" t="s">
        <v>2382</v>
      </c>
      <c r="B1290" s="432" t="e">
        <f t="shared" si="20"/>
        <v>#DIV/0!</v>
      </c>
      <c r="C1290" s="435" t="e">
        <f>IF('财务指标 '!J44=0,"-",TEXT('财务指标 '!J44,"#,##0.00"))</f>
        <v>#DIV/0!</v>
      </c>
    </row>
    <row r="1291" spans="1:5">
      <c r="A1291" s="432" t="s">
        <v>2010</v>
      </c>
      <c r="B1291" s="432" t="e">
        <f t="shared" si="20"/>
        <v>#DIV/0!</v>
      </c>
      <c r="C1291" s="435" t="e">
        <f>IF('合并资产负债表 '!N5=0,"-",TEXT(ABS('合并资产负债表 '!N5),"#,##0.00"))</f>
        <v>#DIV/0!</v>
      </c>
      <c r="E1291" s="436" t="s">
        <v>2384</v>
      </c>
    </row>
    <row r="1292" spans="1:5">
      <c r="A1292" s="432" t="s">
        <v>2011</v>
      </c>
      <c r="B1292" s="432" t="e">
        <f t="shared" si="20"/>
        <v>#DIV/0!</v>
      </c>
      <c r="C1292" s="435" t="e">
        <f>IF('合并资产负债表 '!N6=0,"-",TEXT(ABS('合并资产负债表 '!N6),"#,##0.00"))</f>
        <v>#DIV/0!</v>
      </c>
    </row>
    <row r="1293" spans="1:5">
      <c r="A1293" s="432" t="s">
        <v>2012</v>
      </c>
      <c r="B1293" s="432" t="e">
        <f t="shared" si="20"/>
        <v>#DIV/0!</v>
      </c>
      <c r="C1293" s="435" t="e">
        <f>IF('合并资产负债表 '!N7=0,"-",TEXT(ABS('合并资产负债表 '!N7),"#,##0.00"))</f>
        <v>#DIV/0!</v>
      </c>
    </row>
    <row r="1294" spans="1:5">
      <c r="A1294" s="432" t="s">
        <v>2013</v>
      </c>
      <c r="B1294" s="432" t="e">
        <f t="shared" si="20"/>
        <v>#DIV/0!</v>
      </c>
      <c r="C1294" s="435" t="e">
        <f>IF('合并资产负债表 '!N8=0,"-",TEXT(ABS('合并资产负债表 '!N8),"#,##0.00"))</f>
        <v>#DIV/0!</v>
      </c>
    </row>
    <row r="1295" spans="1:5">
      <c r="A1295" s="432" t="s">
        <v>2014</v>
      </c>
      <c r="B1295" s="432" t="e">
        <f t="shared" si="20"/>
        <v>#DIV/0!</v>
      </c>
      <c r="C1295" s="435" t="e">
        <f>IF('合并资产负债表 '!N9=0,"-",TEXT(ABS('合并资产负债表 '!N9),"#,##0.00"))</f>
        <v>#DIV/0!</v>
      </c>
    </row>
    <row r="1296" spans="1:5">
      <c r="A1296" s="432" t="s">
        <v>2015</v>
      </c>
      <c r="B1296" s="432" t="e">
        <f t="shared" si="20"/>
        <v>#DIV/0!</v>
      </c>
      <c r="C1296" s="435" t="e">
        <f>IF('合并资产负债表 '!N10=0,"-",TEXT(ABS('合并资产负债表 '!N10),"#,##0.00"))</f>
        <v>#DIV/0!</v>
      </c>
    </row>
    <row r="1297" spans="1:3">
      <c r="A1297" s="432" t="s">
        <v>2016</v>
      </c>
      <c r="B1297" s="432" t="e">
        <f t="shared" si="20"/>
        <v>#DIV/0!</v>
      </c>
      <c r="C1297" s="435" t="e">
        <f>IF('合并资产负债表 '!N11=0,"-",TEXT(ABS('合并资产负债表 '!N11),"#,##0.00"))</f>
        <v>#DIV/0!</v>
      </c>
    </row>
    <row r="1298" spans="1:3">
      <c r="A1298" s="432" t="s">
        <v>2017</v>
      </c>
      <c r="B1298" s="432" t="e">
        <f t="shared" si="20"/>
        <v>#DIV/0!</v>
      </c>
      <c r="C1298" s="435" t="e">
        <f>IF('合并资产负债表 '!N12=0,"-",TEXT(ABS('合并资产负债表 '!N12),"#,##0.00"))</f>
        <v>#DIV/0!</v>
      </c>
    </row>
    <row r="1299" spans="1:3">
      <c r="A1299" s="432" t="s">
        <v>2018</v>
      </c>
      <c r="B1299" s="432" t="e">
        <f t="shared" si="20"/>
        <v>#DIV/0!</v>
      </c>
      <c r="C1299" s="435" t="e">
        <f>IF('合并资产负债表 '!N13=0,"-",TEXT(ABS('合并资产负债表 '!N13),"#,##0.00"))</f>
        <v>#DIV/0!</v>
      </c>
    </row>
    <row r="1300" spans="1:3">
      <c r="A1300" s="432" t="s">
        <v>2019</v>
      </c>
      <c r="B1300" s="432" t="e">
        <f t="shared" si="20"/>
        <v>#DIV/0!</v>
      </c>
      <c r="C1300" s="435" t="e">
        <f>IF('合并资产负债表 '!N14=0,"-",TEXT(ABS('合并资产负债表 '!N14),"#,##0.00"))</f>
        <v>#DIV/0!</v>
      </c>
    </row>
    <row r="1301" spans="1:3">
      <c r="A1301" s="432" t="s">
        <v>2020</v>
      </c>
      <c r="B1301" s="432" t="e">
        <f t="shared" si="20"/>
        <v>#DIV/0!</v>
      </c>
      <c r="C1301" s="435" t="e">
        <f>IF('合并资产负债表 '!N15=0,"-",TEXT(ABS('合并资产负债表 '!N15),"#,##0.00"))</f>
        <v>#DIV/0!</v>
      </c>
    </row>
    <row r="1302" spans="1:3">
      <c r="A1302" s="432" t="s">
        <v>2021</v>
      </c>
      <c r="B1302" s="432" t="e">
        <f t="shared" si="20"/>
        <v>#DIV/0!</v>
      </c>
      <c r="C1302" s="435" t="e">
        <f>IF('合并资产负债表 '!N16=0,"-",TEXT(ABS('合并资产负债表 '!N16),"#,##0.00"))</f>
        <v>#DIV/0!</v>
      </c>
    </row>
    <row r="1303" spans="1:3">
      <c r="A1303" s="432" t="s">
        <v>2022</v>
      </c>
      <c r="B1303" s="432" t="e">
        <f t="shared" si="20"/>
        <v>#DIV/0!</v>
      </c>
      <c r="C1303" s="435" t="e">
        <f>IF('合并资产负债表 '!N17=0,"-",TEXT(ABS('合并资产负债表 '!N17),"#,##0.00"))</f>
        <v>#DIV/0!</v>
      </c>
    </row>
    <row r="1304" spans="1:3">
      <c r="A1304" s="432" t="s">
        <v>2023</v>
      </c>
      <c r="B1304" s="432" t="e">
        <f t="shared" si="20"/>
        <v>#DIV/0!</v>
      </c>
      <c r="C1304" s="435" t="e">
        <f>IF('合并资产负债表 '!N18=0,"-",TEXT(ABS('合并资产负债表 '!N18),"#,##0.00"))</f>
        <v>#DIV/0!</v>
      </c>
    </row>
    <row r="1305" spans="1:3">
      <c r="A1305" s="432" t="s">
        <v>2024</v>
      </c>
      <c r="B1305" s="432" t="e">
        <f t="shared" si="20"/>
        <v>#DIV/0!</v>
      </c>
      <c r="C1305" s="435" t="e">
        <f>IF('合并资产负债表 '!N19=0,"-",TEXT(ABS('合并资产负债表 '!N19),"#,##0.00"))</f>
        <v>#DIV/0!</v>
      </c>
    </row>
    <row r="1306" spans="1:3">
      <c r="A1306" s="432" t="s">
        <v>2025</v>
      </c>
      <c r="B1306" s="432" t="e">
        <f t="shared" si="20"/>
        <v>#DIV/0!</v>
      </c>
      <c r="C1306" s="435" t="e">
        <f>IF('合并资产负债表 '!N21=0,"-",TEXT(ABS('合并资产负债表 '!N21),"#,##0.00"))</f>
        <v>#DIV/0!</v>
      </c>
    </row>
    <row r="1307" spans="1:3">
      <c r="A1307" s="432" t="s">
        <v>2026</v>
      </c>
      <c r="B1307" s="432" t="e">
        <f t="shared" si="20"/>
        <v>#DIV/0!</v>
      </c>
      <c r="C1307" s="435" t="e">
        <f>IF('合并资产负债表 '!N22=0,"-",TEXT(ABS('合并资产负债表 '!N22),"#,##0.00"))</f>
        <v>#DIV/0!</v>
      </c>
    </row>
    <row r="1308" spans="1:3">
      <c r="A1308" s="432" t="s">
        <v>2027</v>
      </c>
      <c r="B1308" s="432" t="e">
        <f t="shared" si="20"/>
        <v>#DIV/0!</v>
      </c>
      <c r="C1308" s="435" t="e">
        <f>IF('合并资产负债表 '!N23=0,"-",TEXT(ABS('合并资产负债表 '!N23),"#,##0.00"))</f>
        <v>#DIV/0!</v>
      </c>
    </row>
    <row r="1309" spans="1:3">
      <c r="A1309" s="432" t="s">
        <v>2028</v>
      </c>
      <c r="B1309" s="432" t="e">
        <f t="shared" si="20"/>
        <v>#DIV/0!</v>
      </c>
      <c r="C1309" s="435" t="e">
        <f>IF('合并资产负债表 '!N24=0,"-",TEXT(ABS('合并资产负债表 '!N24),"#,##0.00"))</f>
        <v>#DIV/0!</v>
      </c>
    </row>
    <row r="1310" spans="1:3">
      <c r="A1310" s="432" t="s">
        <v>2029</v>
      </c>
      <c r="B1310" s="432" t="e">
        <f t="shared" si="20"/>
        <v>#DIV/0!</v>
      </c>
      <c r="C1310" s="435" t="e">
        <f>IF('合并资产负债表 '!N25=0,"-",TEXT(ABS('合并资产负债表 '!N25),"#,##0.00"))</f>
        <v>#DIV/0!</v>
      </c>
    </row>
    <row r="1311" spans="1:3">
      <c r="A1311" s="432" t="s">
        <v>2030</v>
      </c>
      <c r="B1311" s="432" t="e">
        <f t="shared" si="20"/>
        <v>#DIV/0!</v>
      </c>
      <c r="C1311" s="435" t="e">
        <f>IF('合并资产负债表 '!N26=0,"-",TEXT(ABS('合并资产负债表 '!N26),"#,##0.00"))</f>
        <v>#DIV/0!</v>
      </c>
    </row>
    <row r="1312" spans="1:3">
      <c r="A1312" s="432" t="s">
        <v>2031</v>
      </c>
      <c r="B1312" s="432" t="e">
        <f t="shared" si="20"/>
        <v>#DIV/0!</v>
      </c>
      <c r="C1312" s="435" t="e">
        <f>IF('合并资产负债表 '!N27=0,"-",TEXT(ABS('合并资产负债表 '!N27),"#,##0.00"))</f>
        <v>#DIV/0!</v>
      </c>
    </row>
    <row r="1313" spans="1:3">
      <c r="A1313" s="432" t="s">
        <v>2032</v>
      </c>
      <c r="B1313" s="432" t="e">
        <f t="shared" si="20"/>
        <v>#DIV/0!</v>
      </c>
      <c r="C1313" s="435" t="e">
        <f>IF('合并资产负债表 '!N28=0,"-",TEXT(ABS('合并资产负债表 '!N28),"#,##0.00"))</f>
        <v>#DIV/0!</v>
      </c>
    </row>
    <row r="1314" spans="1:3">
      <c r="A1314" s="432" t="s">
        <v>2033</v>
      </c>
      <c r="B1314" s="432" t="e">
        <f t="shared" si="20"/>
        <v>#DIV/0!</v>
      </c>
      <c r="C1314" s="435" t="e">
        <f>IF('合并资产负债表 '!N29=0,"-",TEXT(ABS('合并资产负债表 '!N29),"#,##0.00"))</f>
        <v>#DIV/0!</v>
      </c>
    </row>
    <row r="1315" spans="1:3">
      <c r="A1315" s="432" t="s">
        <v>2034</v>
      </c>
      <c r="B1315" s="432" t="e">
        <f t="shared" si="20"/>
        <v>#DIV/0!</v>
      </c>
      <c r="C1315" s="435" t="e">
        <f>IF('合并资产负债表 '!N30=0,"-",TEXT(ABS('合并资产负债表 '!N30),"#,##0.00"))</f>
        <v>#DIV/0!</v>
      </c>
    </row>
    <row r="1316" spans="1:3">
      <c r="A1316" s="432" t="s">
        <v>2035</v>
      </c>
      <c r="B1316" s="432" t="e">
        <f t="shared" si="20"/>
        <v>#DIV/0!</v>
      </c>
      <c r="C1316" s="435" t="e">
        <f>IF('合并资产负债表 '!N31=0,"-",TEXT(ABS('合并资产负债表 '!N31),"#,##0.00"))</f>
        <v>#DIV/0!</v>
      </c>
    </row>
    <row r="1317" spans="1:3">
      <c r="A1317" s="432" t="s">
        <v>2036</v>
      </c>
      <c r="B1317" s="432" t="e">
        <f t="shared" si="20"/>
        <v>#DIV/0!</v>
      </c>
      <c r="C1317" s="435" t="e">
        <f>IF('合并资产负债表 '!N32=0,"-",TEXT(ABS('合并资产负债表 '!N32),"#,##0.00"))</f>
        <v>#DIV/0!</v>
      </c>
    </row>
    <row r="1318" spans="1:3">
      <c r="A1318" s="432" t="s">
        <v>2037</v>
      </c>
      <c r="B1318" s="432" t="e">
        <f t="shared" si="20"/>
        <v>#DIV/0!</v>
      </c>
      <c r="C1318" s="435" t="e">
        <f>IF('合并资产负债表 '!N33=0,"-",TEXT(ABS('合并资产负债表 '!N33),"#,##0.00"))</f>
        <v>#DIV/0!</v>
      </c>
    </row>
    <row r="1319" spans="1:3">
      <c r="A1319" s="432" t="s">
        <v>2038</v>
      </c>
      <c r="B1319" s="432" t="e">
        <f t="shared" si="20"/>
        <v>#DIV/0!</v>
      </c>
      <c r="C1319" s="435" t="e">
        <f>IF('合并资产负债表 '!N34=0,"-",TEXT(ABS('合并资产负债表 '!N34),"#,##0.00"))</f>
        <v>#DIV/0!</v>
      </c>
    </row>
    <row r="1320" spans="1:3">
      <c r="A1320" s="432" t="s">
        <v>2039</v>
      </c>
      <c r="B1320" s="432" t="e">
        <f t="shared" si="20"/>
        <v>#DIV/0!</v>
      </c>
      <c r="C1320" s="435" t="e">
        <f>IF('合并资产负债表 '!N35=0,"-",TEXT(ABS('合并资产负债表 '!N35),"#,##0.00"))</f>
        <v>#DIV/0!</v>
      </c>
    </row>
    <row r="1321" spans="1:3">
      <c r="A1321" s="432" t="s">
        <v>2040</v>
      </c>
      <c r="B1321" s="432" t="e">
        <f t="shared" si="20"/>
        <v>#DIV/0!</v>
      </c>
      <c r="C1321" s="435" t="e">
        <f>IF('合并资产负债表 '!N36=0,"-",TEXT(ABS('合并资产负债表 '!N36),"#,##0.00"))</f>
        <v>#DIV/0!</v>
      </c>
    </row>
    <row r="1322" spans="1:3">
      <c r="A1322" s="432" t="s">
        <v>2041</v>
      </c>
      <c r="B1322" s="432" t="e">
        <f t="shared" si="20"/>
        <v>#DIV/0!</v>
      </c>
      <c r="C1322" s="435" t="e">
        <f>IF('合并资产负债表 '!N37=0,"-",TEXT(ABS('合并资产负债表 '!N37),"#,##0.00"))</f>
        <v>#DIV/0!</v>
      </c>
    </row>
    <row r="1323" spans="1:3">
      <c r="A1323" s="432" t="s">
        <v>2071</v>
      </c>
      <c r="B1323" s="432" t="e">
        <f t="shared" si="20"/>
        <v>#DIV/0!</v>
      </c>
      <c r="C1323" s="435" t="e">
        <f>IF('合并资产负债表 '!O5=0,"-",TEXT(ABS('合并资产负债表 '!O5),"#,##0.00"))</f>
        <v>#DIV/0!</v>
      </c>
    </row>
    <row r="1324" spans="1:3">
      <c r="A1324" s="432" t="s">
        <v>2072</v>
      </c>
      <c r="B1324" s="432" t="e">
        <f t="shared" si="20"/>
        <v>#DIV/0!</v>
      </c>
      <c r="C1324" s="435" t="e">
        <f>IF('合并资产负债表 '!O6=0,"-",TEXT(ABS('合并资产负债表 '!O6),"#,##0.00"))</f>
        <v>#DIV/0!</v>
      </c>
    </row>
    <row r="1325" spans="1:3">
      <c r="A1325" s="432" t="s">
        <v>3209</v>
      </c>
      <c r="B1325" s="432" t="e">
        <f t="shared" si="20"/>
        <v>#DIV/0!</v>
      </c>
      <c r="C1325" s="435" t="e">
        <f>IF('合并资产负债表 '!O7=0,"-",TEXT(ABS('合并资产负债表 '!O7),"#,##0.00"))</f>
        <v>#DIV/0!</v>
      </c>
    </row>
    <row r="1326" spans="1:3">
      <c r="A1326" s="432" t="s">
        <v>3210</v>
      </c>
      <c r="B1326" s="432" t="e">
        <f t="shared" si="20"/>
        <v>#DIV/0!</v>
      </c>
      <c r="C1326" s="435" t="e">
        <f>IF('合并资产负债表 '!O8=0,"-",TEXT(ABS('合并资产负债表 '!O8),"#,##0.00"))</f>
        <v>#DIV/0!</v>
      </c>
    </row>
    <row r="1327" spans="1:3">
      <c r="A1327" s="432" t="s">
        <v>2073</v>
      </c>
      <c r="B1327" s="432" t="e">
        <f t="shared" si="20"/>
        <v>#DIV/0!</v>
      </c>
      <c r="C1327" s="435" t="e">
        <f>IF('合并资产负债表 '!O9=0,"-",TEXT(ABS('合并资产负债表 '!O9),"#,##0.00"))</f>
        <v>#DIV/0!</v>
      </c>
    </row>
    <row r="1328" spans="1:3">
      <c r="A1328" s="432" t="s">
        <v>2074</v>
      </c>
      <c r="B1328" s="432" t="e">
        <f t="shared" si="20"/>
        <v>#DIV/0!</v>
      </c>
      <c r="C1328" s="435" t="e">
        <f>IF('合并资产负债表 '!O10=0,"-",TEXT(ABS('合并资产负债表 '!O10),"#,##0.00"))</f>
        <v>#DIV/0!</v>
      </c>
    </row>
    <row r="1329" spans="1:3">
      <c r="A1329" s="432" t="s">
        <v>2075</v>
      </c>
      <c r="B1329" s="432" t="e">
        <f t="shared" si="20"/>
        <v>#DIV/0!</v>
      </c>
      <c r="C1329" s="435" t="e">
        <f>IF('合并资产负债表 '!O11=0,"-",TEXT(ABS('合并资产负债表 '!O11),"#,##0.00"))</f>
        <v>#DIV/0!</v>
      </c>
    </row>
    <row r="1330" spans="1:3">
      <c r="A1330" s="432" t="s">
        <v>2076</v>
      </c>
      <c r="B1330" s="432" t="e">
        <f t="shared" si="20"/>
        <v>#DIV/0!</v>
      </c>
      <c r="C1330" s="435" t="e">
        <f>IF('合并资产负债表 '!O12=0,"-",TEXT(ABS('合并资产负债表 '!O12),"#,##0.00"))</f>
        <v>#DIV/0!</v>
      </c>
    </row>
    <row r="1331" spans="1:3">
      <c r="A1331" s="432" t="s">
        <v>2077</v>
      </c>
      <c r="B1331" s="432" t="e">
        <f t="shared" si="20"/>
        <v>#DIV/0!</v>
      </c>
      <c r="C1331" s="435" t="e">
        <f>IF('合并资产负债表 '!O13=0,"-",TEXT(ABS('合并资产负债表 '!O13),"#,##0.00"))</f>
        <v>#DIV/0!</v>
      </c>
    </row>
    <row r="1332" spans="1:3">
      <c r="A1332" s="432" t="s">
        <v>2078</v>
      </c>
      <c r="B1332" s="432" t="e">
        <f t="shared" si="20"/>
        <v>#DIV/0!</v>
      </c>
      <c r="C1332" s="435" t="e">
        <f>IF('合并资产负债表 '!O14=0,"-",TEXT(ABS('合并资产负债表 '!O14),"#,##0.00"))</f>
        <v>#DIV/0!</v>
      </c>
    </row>
    <row r="1333" spans="1:3">
      <c r="A1333" s="432" t="s">
        <v>2079</v>
      </c>
      <c r="B1333" s="432" t="e">
        <f t="shared" si="20"/>
        <v>#DIV/0!</v>
      </c>
      <c r="C1333" s="435" t="e">
        <f>IF('合并资产负债表 '!O15=0,"-",TEXT(ABS('合并资产负债表 '!O15),"#,##0.00"))</f>
        <v>#DIV/0!</v>
      </c>
    </row>
    <row r="1334" spans="1:3">
      <c r="A1334" s="432" t="s">
        <v>2080</v>
      </c>
      <c r="B1334" s="432" t="e">
        <f t="shared" si="20"/>
        <v>#DIV/0!</v>
      </c>
      <c r="C1334" s="435" t="e">
        <f>IF('合并资产负债表 '!O16=0,"-",TEXT(ABS('合并资产负债表 '!O16),"#,##0.00"))</f>
        <v>#DIV/0!</v>
      </c>
    </row>
    <row r="1335" spans="1:3">
      <c r="A1335" s="432" t="s">
        <v>2081</v>
      </c>
      <c r="B1335" s="432" t="e">
        <f t="shared" si="20"/>
        <v>#DIV/0!</v>
      </c>
      <c r="C1335" s="435" t="e">
        <f>IF('合并资产负债表 '!O17=0,"-",TEXT(ABS('合并资产负债表 '!O17),"#,##0.00"))</f>
        <v>#DIV/0!</v>
      </c>
    </row>
    <row r="1336" spans="1:3">
      <c r="A1336" s="432" t="s">
        <v>2082</v>
      </c>
      <c r="B1336" s="432" t="e">
        <f t="shared" si="20"/>
        <v>#DIV/0!</v>
      </c>
      <c r="C1336" s="435" t="e">
        <f>IF('合并资产负债表 '!O18=0,"-",TEXT(ABS('合并资产负债表 '!O18),"#,##0.00"))</f>
        <v>#DIV/0!</v>
      </c>
    </row>
    <row r="1337" spans="1:3">
      <c r="A1337" s="432" t="s">
        <v>2083</v>
      </c>
      <c r="B1337" s="432" t="e">
        <f t="shared" si="20"/>
        <v>#DIV/0!</v>
      </c>
      <c r="C1337" s="435" t="e">
        <f>IF('合并资产负债表 '!O19=0,"-",TEXT(ABS('合并资产负债表 '!O19),"#,##0.00"))</f>
        <v>#DIV/0!</v>
      </c>
    </row>
    <row r="1338" spans="1:3">
      <c r="A1338" s="432" t="s">
        <v>2084</v>
      </c>
      <c r="B1338" s="432" t="e">
        <f t="shared" si="20"/>
        <v>#DIV/0!</v>
      </c>
      <c r="C1338" s="435" t="e">
        <f>IF('合并资产负债表 '!O21=0,"-",TEXT(ABS('合并资产负债表 '!O21),"#,##0.00"))</f>
        <v>#DIV/0!</v>
      </c>
    </row>
    <row r="1339" spans="1:3">
      <c r="A1339" s="432" t="s">
        <v>2085</v>
      </c>
      <c r="B1339" s="432" t="e">
        <f t="shared" si="20"/>
        <v>#DIV/0!</v>
      </c>
      <c r="C1339" s="435" t="e">
        <f>IF('合并资产负债表 '!O22=0,"-",TEXT(ABS('合并资产负债表 '!O22),"#,##0.00"))</f>
        <v>#DIV/0!</v>
      </c>
    </row>
    <row r="1340" spans="1:3">
      <c r="A1340" s="432" t="s">
        <v>2086</v>
      </c>
      <c r="B1340" s="432" t="e">
        <f t="shared" si="20"/>
        <v>#DIV/0!</v>
      </c>
      <c r="C1340" s="435" t="e">
        <f>IF('合并资产负债表 '!O23=0,"-",TEXT(ABS('合并资产负债表 '!O23),"#,##0.00"))</f>
        <v>#DIV/0!</v>
      </c>
    </row>
    <row r="1341" spans="1:3">
      <c r="A1341" s="432" t="s">
        <v>2087</v>
      </c>
      <c r="B1341" s="432" t="e">
        <f t="shared" si="20"/>
        <v>#DIV/0!</v>
      </c>
      <c r="C1341" s="435" t="e">
        <f>IF('合并资产负债表 '!O24=0,"-",TEXT(ABS('合并资产负债表 '!O24),"#,##0.00"))</f>
        <v>#DIV/0!</v>
      </c>
    </row>
    <row r="1342" spans="1:3">
      <c r="A1342" s="432" t="s">
        <v>2088</v>
      </c>
      <c r="B1342" s="432" t="e">
        <f t="shared" si="20"/>
        <v>#DIV/0!</v>
      </c>
      <c r="C1342" s="435" t="e">
        <f>IF('合并资产负债表 '!O25=0,"-",TEXT(ABS('合并资产负债表 '!O25),"#,##0.00"))</f>
        <v>#DIV/0!</v>
      </c>
    </row>
    <row r="1343" spans="1:3">
      <c r="A1343" s="432" t="s">
        <v>2089</v>
      </c>
      <c r="B1343" s="432" t="e">
        <f t="shared" si="20"/>
        <v>#DIV/0!</v>
      </c>
      <c r="C1343" s="435" t="e">
        <f>IF('合并资产负债表 '!O26=0,"-",TEXT(ABS('合并资产负债表 '!O26),"#,##0.00"))</f>
        <v>#DIV/0!</v>
      </c>
    </row>
    <row r="1344" spans="1:3">
      <c r="A1344" s="432" t="s">
        <v>2090</v>
      </c>
      <c r="B1344" s="432" t="e">
        <f t="shared" si="20"/>
        <v>#DIV/0!</v>
      </c>
      <c r="C1344" s="435" t="e">
        <f>IF('合并资产负债表 '!O27=0,"-",TEXT(ABS('合并资产负债表 '!O27),"#,##0.00"))</f>
        <v>#DIV/0!</v>
      </c>
    </row>
    <row r="1345" spans="1:3">
      <c r="A1345" s="432" t="s">
        <v>2091</v>
      </c>
      <c r="B1345" s="432" t="e">
        <f t="shared" si="20"/>
        <v>#DIV/0!</v>
      </c>
      <c r="C1345" s="435" t="e">
        <f>IF('合并资产负债表 '!O28=0,"-",TEXT(ABS('合并资产负债表 '!O28),"#,##0.00"))</f>
        <v>#DIV/0!</v>
      </c>
    </row>
    <row r="1346" spans="1:3">
      <c r="A1346" s="432" t="s">
        <v>2092</v>
      </c>
      <c r="B1346" s="432" t="e">
        <f t="shared" si="20"/>
        <v>#DIV/0!</v>
      </c>
      <c r="C1346" s="435" t="e">
        <f>IF('合并资产负债表 '!O29=0,"-",TEXT(ABS('合并资产负债表 '!O29),"#,##0.00"))</f>
        <v>#DIV/0!</v>
      </c>
    </row>
    <row r="1347" spans="1:3">
      <c r="A1347" s="432" t="s">
        <v>2093</v>
      </c>
      <c r="B1347" s="432" t="e">
        <f t="shared" si="20"/>
        <v>#DIV/0!</v>
      </c>
      <c r="C1347" s="435" t="e">
        <f>IF('合并资产负债表 '!O30=0,"-",TEXT(ABS('合并资产负债表 '!O30),"#,##0.00"))</f>
        <v>#DIV/0!</v>
      </c>
    </row>
    <row r="1348" spans="1:3">
      <c r="A1348" s="432" t="s">
        <v>2094</v>
      </c>
      <c r="B1348" s="432" t="e">
        <f t="shared" si="20"/>
        <v>#DIV/0!</v>
      </c>
      <c r="C1348" s="435" t="e">
        <f>IF('合并资产负债表 '!O31=0,"-",TEXT(ABS('合并资产负债表 '!O31),"#,##0.00"))</f>
        <v>#DIV/0!</v>
      </c>
    </row>
    <row r="1349" spans="1:3">
      <c r="A1349" s="432" t="s">
        <v>2095</v>
      </c>
      <c r="B1349" s="432" t="e">
        <f t="shared" si="20"/>
        <v>#DIV/0!</v>
      </c>
      <c r="C1349" s="435" t="e">
        <f>IF('合并资产负债表 '!O32=0,"-",TEXT(ABS('合并资产负债表 '!O32),"#,##0.00"))</f>
        <v>#DIV/0!</v>
      </c>
    </row>
    <row r="1350" spans="1:3">
      <c r="A1350" s="432" t="s">
        <v>2096</v>
      </c>
      <c r="B1350" s="432" t="e">
        <f t="shared" si="20"/>
        <v>#DIV/0!</v>
      </c>
      <c r="C1350" s="435" t="e">
        <f>IF('合并资产负债表 '!O33=0,"-",TEXT(ABS('合并资产负债表 '!O33),"#,##0.00"))</f>
        <v>#DIV/0!</v>
      </c>
    </row>
    <row r="1351" spans="1:3">
      <c r="A1351" s="432" t="s">
        <v>2097</v>
      </c>
      <c r="B1351" s="432" t="e">
        <f t="shared" si="20"/>
        <v>#DIV/0!</v>
      </c>
      <c r="C1351" s="435" t="e">
        <f>IF('合并资产负债表 '!O34=0,"-",TEXT(ABS('合并资产负债表 '!O34),"#,##0.00"))</f>
        <v>#DIV/0!</v>
      </c>
    </row>
    <row r="1352" spans="1:3">
      <c r="A1352" s="432" t="s">
        <v>2098</v>
      </c>
      <c r="B1352" s="432" t="e">
        <f t="shared" ref="B1352:B1415" si="21">TRIM(C1352)</f>
        <v>#DIV/0!</v>
      </c>
      <c r="C1352" s="435" t="e">
        <f>IF('合并资产负债表 '!O35=0,"-",TEXT(ABS('合并资产负债表 '!O35),"#,##0.00"))</f>
        <v>#DIV/0!</v>
      </c>
    </row>
    <row r="1353" spans="1:3">
      <c r="A1353" s="432" t="s">
        <v>2099</v>
      </c>
      <c r="B1353" s="432" t="e">
        <f t="shared" si="21"/>
        <v>#DIV/0!</v>
      </c>
      <c r="C1353" s="435" t="e">
        <f>IF('合并资产负债表 '!O36=0,"-",TEXT(ABS('合并资产负债表 '!O36),"#,##0.00"))</f>
        <v>#DIV/0!</v>
      </c>
    </row>
    <row r="1354" spans="1:3">
      <c r="A1354" s="432" t="s">
        <v>2100</v>
      </c>
      <c r="B1354" s="432" t="e">
        <f t="shared" si="21"/>
        <v>#DIV/0!</v>
      </c>
      <c r="C1354" s="435" t="e">
        <f>IF('合并资产负债表 '!O37=0,"-",TEXT(ABS('合并资产负债表 '!O37),"#,##0.00"))</f>
        <v>#DIV/0!</v>
      </c>
    </row>
    <row r="1355" spans="1:3">
      <c r="A1355" s="432" t="s">
        <v>2130</v>
      </c>
      <c r="B1355" s="432" t="e">
        <f t="shared" si="21"/>
        <v>#DIV/0!</v>
      </c>
      <c r="C1355" s="435" t="e">
        <f>IF('合并资产负债表 '!P5=0,"-",TEXT(ABS('合并资产负债表 '!P5),"#,##0.00"))</f>
        <v>#DIV/0!</v>
      </c>
    </row>
    <row r="1356" spans="1:3">
      <c r="A1356" s="432" t="s">
        <v>2131</v>
      </c>
      <c r="B1356" s="432" t="e">
        <f t="shared" si="21"/>
        <v>#DIV/0!</v>
      </c>
      <c r="C1356" s="435" t="e">
        <f>IF('合并资产负债表 '!P6=0,"-",TEXT(ABS('合并资产负债表 '!P6),"#,##0.00"))</f>
        <v>#DIV/0!</v>
      </c>
    </row>
    <row r="1357" spans="1:3">
      <c r="A1357" s="432" t="s">
        <v>2132</v>
      </c>
      <c r="B1357" s="432" t="e">
        <f t="shared" si="21"/>
        <v>#DIV/0!</v>
      </c>
      <c r="C1357" s="435" t="e">
        <f>IF('合并资产负债表 '!P7=0,"-",TEXT(ABS('合并资产负债表 '!P7),"#,##0.00"))</f>
        <v>#DIV/0!</v>
      </c>
    </row>
    <row r="1358" spans="1:3">
      <c r="A1358" s="432" t="s">
        <v>2133</v>
      </c>
      <c r="B1358" s="432" t="e">
        <f t="shared" si="21"/>
        <v>#DIV/0!</v>
      </c>
      <c r="C1358" s="435" t="e">
        <f>IF('合并资产负债表 '!P8=0,"-",TEXT(ABS('合并资产负债表 '!P8),"#,##0.00"))</f>
        <v>#DIV/0!</v>
      </c>
    </row>
    <row r="1359" spans="1:3">
      <c r="A1359" s="432" t="s">
        <v>2134</v>
      </c>
      <c r="B1359" s="432" t="e">
        <f t="shared" si="21"/>
        <v>#DIV/0!</v>
      </c>
      <c r="C1359" s="435" t="e">
        <f>IF('合并资产负债表 '!P9=0,"-",TEXT(ABS('合并资产负债表 '!P9),"#,##0.00"))</f>
        <v>#DIV/0!</v>
      </c>
    </row>
    <row r="1360" spans="1:3">
      <c r="A1360" s="432" t="s">
        <v>2135</v>
      </c>
      <c r="B1360" s="432" t="e">
        <f t="shared" si="21"/>
        <v>#DIV/0!</v>
      </c>
      <c r="C1360" s="435" t="e">
        <f>IF('合并资产负债表 '!P10=0,"-",TEXT(ABS('合并资产负债表 '!P10),"#,##0.00"))</f>
        <v>#DIV/0!</v>
      </c>
    </row>
    <row r="1361" spans="1:3">
      <c r="A1361" s="432" t="s">
        <v>2136</v>
      </c>
      <c r="B1361" s="432" t="e">
        <f t="shared" si="21"/>
        <v>#DIV/0!</v>
      </c>
      <c r="C1361" s="435" t="e">
        <f>IF('合并资产负债表 '!P11=0,"-",TEXT(ABS('合并资产负债表 '!P11),"#,##0.00"))</f>
        <v>#DIV/0!</v>
      </c>
    </row>
    <row r="1362" spans="1:3">
      <c r="A1362" s="432" t="s">
        <v>2137</v>
      </c>
      <c r="B1362" s="432" t="e">
        <f t="shared" si="21"/>
        <v>#DIV/0!</v>
      </c>
      <c r="C1362" s="435" t="e">
        <f>IF('合并资产负债表 '!P12=0,"-",TEXT(ABS('合并资产负债表 '!P12),"#,##0.00"))</f>
        <v>#DIV/0!</v>
      </c>
    </row>
    <row r="1363" spans="1:3">
      <c r="A1363" s="432" t="s">
        <v>2138</v>
      </c>
      <c r="B1363" s="432" t="e">
        <f t="shared" si="21"/>
        <v>#DIV/0!</v>
      </c>
      <c r="C1363" s="435" t="e">
        <f>IF('合并资产负债表 '!P13=0,"-",TEXT(ABS('合并资产负债表 '!P13),"#,##0.00"))</f>
        <v>#DIV/0!</v>
      </c>
    </row>
    <row r="1364" spans="1:3">
      <c r="A1364" s="432" t="s">
        <v>2139</v>
      </c>
      <c r="B1364" s="432" t="e">
        <f t="shared" si="21"/>
        <v>#DIV/0!</v>
      </c>
      <c r="C1364" s="435" t="e">
        <f>IF('合并资产负债表 '!P14=0,"-",TEXT(ABS('合并资产负债表 '!P14),"#,##0.00"))</f>
        <v>#DIV/0!</v>
      </c>
    </row>
    <row r="1365" spans="1:3">
      <c r="A1365" s="432" t="s">
        <v>2140</v>
      </c>
      <c r="B1365" s="432" t="e">
        <f t="shared" si="21"/>
        <v>#DIV/0!</v>
      </c>
      <c r="C1365" s="435" t="e">
        <f>IF('合并资产负债表 '!P15=0,"-",TEXT(ABS('合并资产负债表 '!P15),"#,##0.00"))</f>
        <v>#DIV/0!</v>
      </c>
    </row>
    <row r="1366" spans="1:3">
      <c r="A1366" s="432" t="s">
        <v>2141</v>
      </c>
      <c r="B1366" s="432" t="e">
        <f t="shared" si="21"/>
        <v>#DIV/0!</v>
      </c>
      <c r="C1366" s="435" t="e">
        <f>IF('合并资产负债表 '!P16=0,"-",TEXT(ABS('合并资产负债表 '!P16),"#,##0.00"))</f>
        <v>#DIV/0!</v>
      </c>
    </row>
    <row r="1367" spans="1:3">
      <c r="A1367" s="432" t="s">
        <v>2142</v>
      </c>
      <c r="B1367" s="432" t="e">
        <f t="shared" si="21"/>
        <v>#DIV/0!</v>
      </c>
      <c r="C1367" s="435" t="e">
        <f>IF('合并资产负债表 '!P17=0,"-",TEXT(ABS('合并资产负债表 '!P17),"#,##0.00"))</f>
        <v>#DIV/0!</v>
      </c>
    </row>
    <row r="1368" spans="1:3">
      <c r="A1368" s="432" t="s">
        <v>2143</v>
      </c>
      <c r="B1368" s="432" t="e">
        <f t="shared" si="21"/>
        <v>#DIV/0!</v>
      </c>
      <c r="C1368" s="435" t="e">
        <f>IF('合并资产负债表 '!P18=0,"-",TEXT(ABS('合并资产负债表 '!P18),"#,##0.00"))</f>
        <v>#DIV/0!</v>
      </c>
    </row>
    <row r="1369" spans="1:3">
      <c r="A1369" s="432" t="s">
        <v>2144</v>
      </c>
      <c r="B1369" s="432" t="e">
        <f t="shared" si="21"/>
        <v>#DIV/0!</v>
      </c>
      <c r="C1369" s="435" t="e">
        <f>IF('合并资产负债表 '!P19=0,"-",TEXT(ABS('合并资产负债表 '!P19),"#,##0.00"))</f>
        <v>#DIV/0!</v>
      </c>
    </row>
    <row r="1370" spans="1:3">
      <c r="A1370" s="432" t="s">
        <v>2145</v>
      </c>
      <c r="B1370" s="432" t="e">
        <f t="shared" si="21"/>
        <v>#DIV/0!</v>
      </c>
      <c r="C1370" s="435" t="e">
        <f>IF('合并资产负债表 '!P21=0,"-",TEXT(ABS('合并资产负债表 '!P21),"#,##0.00"))</f>
        <v>#DIV/0!</v>
      </c>
    </row>
    <row r="1371" spans="1:3">
      <c r="A1371" s="432" t="s">
        <v>2146</v>
      </c>
      <c r="B1371" s="432" t="e">
        <f t="shared" si="21"/>
        <v>#DIV/0!</v>
      </c>
      <c r="C1371" s="435" t="e">
        <f>IF('合并资产负债表 '!P22=0,"-",TEXT(ABS('合并资产负债表 '!P22),"#,##0.00"))</f>
        <v>#DIV/0!</v>
      </c>
    </row>
    <row r="1372" spans="1:3">
      <c r="A1372" s="432" t="s">
        <v>2147</v>
      </c>
      <c r="B1372" s="432" t="e">
        <f t="shared" si="21"/>
        <v>#DIV/0!</v>
      </c>
      <c r="C1372" s="435" t="e">
        <f>IF('合并资产负债表 '!P23=0,"-",TEXT(ABS('合并资产负债表 '!P23),"#,##0.00"))</f>
        <v>#DIV/0!</v>
      </c>
    </row>
    <row r="1373" spans="1:3">
      <c r="A1373" s="432" t="s">
        <v>2148</v>
      </c>
      <c r="B1373" s="432" t="e">
        <f t="shared" si="21"/>
        <v>#DIV/0!</v>
      </c>
      <c r="C1373" s="435" t="e">
        <f>IF('合并资产负债表 '!P24=0,"-",TEXT(ABS('合并资产负债表 '!P24),"#,##0.00"))</f>
        <v>#DIV/0!</v>
      </c>
    </row>
    <row r="1374" spans="1:3">
      <c r="A1374" s="432" t="s">
        <v>2149</v>
      </c>
      <c r="B1374" s="432" t="e">
        <f t="shared" si="21"/>
        <v>#DIV/0!</v>
      </c>
      <c r="C1374" s="435" t="e">
        <f>IF('合并资产负债表 '!P25=0,"-",TEXT(ABS('合并资产负债表 '!P25),"#,##0.00"))</f>
        <v>#DIV/0!</v>
      </c>
    </row>
    <row r="1375" spans="1:3">
      <c r="A1375" s="432" t="s">
        <v>2150</v>
      </c>
      <c r="B1375" s="432" t="e">
        <f t="shared" si="21"/>
        <v>#DIV/0!</v>
      </c>
      <c r="C1375" s="435" t="e">
        <f>IF('合并资产负债表 '!P26=0,"-",TEXT(ABS('合并资产负债表 '!P26),"#,##0.00"))</f>
        <v>#DIV/0!</v>
      </c>
    </row>
    <row r="1376" spans="1:3">
      <c r="A1376" s="432" t="s">
        <v>2151</v>
      </c>
      <c r="B1376" s="432" t="e">
        <f t="shared" si="21"/>
        <v>#DIV/0!</v>
      </c>
      <c r="C1376" s="435" t="e">
        <f>IF('合并资产负债表 '!P27=0,"-",TEXT(ABS('合并资产负债表 '!P27),"#,##0.00"))</f>
        <v>#DIV/0!</v>
      </c>
    </row>
    <row r="1377" spans="1:3">
      <c r="A1377" s="432" t="s">
        <v>2152</v>
      </c>
      <c r="B1377" s="432" t="e">
        <f t="shared" si="21"/>
        <v>#DIV/0!</v>
      </c>
      <c r="C1377" s="435" t="e">
        <f>IF('合并资产负债表 '!P28=0,"-",TEXT(ABS('合并资产负债表 '!P28),"#,##0.00"))</f>
        <v>#DIV/0!</v>
      </c>
    </row>
    <row r="1378" spans="1:3">
      <c r="A1378" s="432" t="s">
        <v>2153</v>
      </c>
      <c r="B1378" s="432" t="e">
        <f t="shared" si="21"/>
        <v>#DIV/0!</v>
      </c>
      <c r="C1378" s="435" t="e">
        <f>IF('合并资产负债表 '!P29=0,"-",TEXT(ABS('合并资产负债表 '!P29),"#,##0.00"))</f>
        <v>#DIV/0!</v>
      </c>
    </row>
    <row r="1379" spans="1:3">
      <c r="A1379" s="432" t="s">
        <v>2154</v>
      </c>
      <c r="B1379" s="432" t="e">
        <f t="shared" si="21"/>
        <v>#DIV/0!</v>
      </c>
      <c r="C1379" s="435" t="e">
        <f>IF('合并资产负债表 '!P30=0,"-",TEXT(ABS('合并资产负债表 '!P30),"#,##0.00"))</f>
        <v>#DIV/0!</v>
      </c>
    </row>
    <row r="1380" spans="1:3">
      <c r="A1380" s="432" t="s">
        <v>2155</v>
      </c>
      <c r="B1380" s="432" t="e">
        <f t="shared" si="21"/>
        <v>#DIV/0!</v>
      </c>
      <c r="C1380" s="435" t="e">
        <f>IF('合并资产负债表 '!P31=0,"-",TEXT(ABS('合并资产负债表 '!P31),"#,##0.00"))</f>
        <v>#DIV/0!</v>
      </c>
    </row>
    <row r="1381" spans="1:3">
      <c r="A1381" s="432" t="s">
        <v>2156</v>
      </c>
      <c r="B1381" s="432" t="e">
        <f t="shared" si="21"/>
        <v>#DIV/0!</v>
      </c>
      <c r="C1381" s="435" t="e">
        <f>IF('合并资产负债表 '!P32=0,"-",TEXT(ABS('合并资产负债表 '!P32),"#,##0.00"))</f>
        <v>#DIV/0!</v>
      </c>
    </row>
    <row r="1382" spans="1:3">
      <c r="A1382" s="432" t="s">
        <v>2157</v>
      </c>
      <c r="B1382" s="432" t="e">
        <f t="shared" si="21"/>
        <v>#DIV/0!</v>
      </c>
      <c r="C1382" s="435" t="e">
        <f>IF('合并资产负债表 '!P33=0,"-",TEXT(ABS('合并资产负债表 '!P33),"#,##0.00"))</f>
        <v>#DIV/0!</v>
      </c>
    </row>
    <row r="1383" spans="1:3">
      <c r="A1383" s="432" t="s">
        <v>2158</v>
      </c>
      <c r="B1383" s="432" t="e">
        <f t="shared" si="21"/>
        <v>#DIV/0!</v>
      </c>
      <c r="C1383" s="435" t="e">
        <f>IF('合并资产负债表 '!P34=0,"-",TEXT(ABS('合并资产负债表 '!P34),"#,##0.00"))</f>
        <v>#DIV/0!</v>
      </c>
    </row>
    <row r="1384" spans="1:3">
      <c r="A1384" s="432" t="s">
        <v>2159</v>
      </c>
      <c r="B1384" s="432" t="e">
        <f t="shared" si="21"/>
        <v>#DIV/0!</v>
      </c>
      <c r="C1384" s="435" t="e">
        <f>IF('合并资产负债表 '!P35=0,"-",TEXT(ABS('合并资产负债表 '!P35),"#,##0.00"))</f>
        <v>#DIV/0!</v>
      </c>
    </row>
    <row r="1385" spans="1:3">
      <c r="A1385" s="432" t="s">
        <v>2160</v>
      </c>
      <c r="B1385" s="432" t="e">
        <f t="shared" si="21"/>
        <v>#DIV/0!</v>
      </c>
      <c r="C1385" s="435" t="e">
        <f>IF('合并资产负债表 '!P36=0,"-",TEXT(ABS('合并资产负债表 '!P36),"#,##0.00"))</f>
        <v>#DIV/0!</v>
      </c>
    </row>
    <row r="1386" spans="1:3">
      <c r="A1386" s="432" t="s">
        <v>2161</v>
      </c>
      <c r="B1386" s="432" t="e">
        <f t="shared" si="21"/>
        <v>#DIV/0!</v>
      </c>
      <c r="C1386" s="435" t="e">
        <f>IF('合并资产负债表 '!P37=0,"-",TEXT(ABS('合并资产负债表 '!P37),"#,##0.00"))</f>
        <v>#DIV/0!</v>
      </c>
    </row>
    <row r="1387" spans="1:3">
      <c r="A1387" s="432" t="s">
        <v>2191</v>
      </c>
      <c r="B1387" s="432" t="e">
        <f t="shared" si="21"/>
        <v>#DIV/0!</v>
      </c>
      <c r="C1387" s="435" t="e">
        <f>IF('合并资产负债表 '!Q5=0,"-",TEXT(ABS('合并资产负债表 '!Q5),"#,##0.00"))</f>
        <v>#DIV/0!</v>
      </c>
    </row>
    <row r="1388" spans="1:3">
      <c r="A1388" s="432" t="s">
        <v>2192</v>
      </c>
      <c r="B1388" s="432" t="e">
        <f t="shared" si="21"/>
        <v>#DIV/0!</v>
      </c>
      <c r="C1388" s="435" t="e">
        <f>IF('合并资产负债表 '!Q6=0,"-",TEXT(ABS('合并资产负债表 '!Q6),"#,##0.00"))</f>
        <v>#DIV/0!</v>
      </c>
    </row>
    <row r="1389" spans="1:3">
      <c r="A1389" s="432" t="s">
        <v>2193</v>
      </c>
      <c r="B1389" s="432" t="e">
        <f t="shared" si="21"/>
        <v>#DIV/0!</v>
      </c>
      <c r="C1389" s="435" t="e">
        <f>IF('合并资产负债表 '!Q7=0,"-",TEXT(ABS('合并资产负债表 '!Q7),"#,##0.00"))</f>
        <v>#DIV/0!</v>
      </c>
    </row>
    <row r="1390" spans="1:3">
      <c r="A1390" s="432" t="s">
        <v>2194</v>
      </c>
      <c r="B1390" s="432" t="e">
        <f t="shared" si="21"/>
        <v>#DIV/0!</v>
      </c>
      <c r="C1390" s="435" t="e">
        <f>IF('合并资产负债表 '!Q8=0,"-",TEXT(ABS('合并资产负债表 '!Q8),"#,##0.00"))</f>
        <v>#DIV/0!</v>
      </c>
    </row>
    <row r="1391" spans="1:3">
      <c r="A1391" s="432" t="s">
        <v>2195</v>
      </c>
      <c r="B1391" s="432" t="e">
        <f t="shared" si="21"/>
        <v>#DIV/0!</v>
      </c>
      <c r="C1391" s="435" t="e">
        <f>IF('合并资产负债表 '!Q9=0,"-",TEXT(ABS('合并资产负债表 '!Q9),"#,##0.00"))</f>
        <v>#DIV/0!</v>
      </c>
    </row>
    <row r="1392" spans="1:3">
      <c r="A1392" s="432" t="s">
        <v>2196</v>
      </c>
      <c r="B1392" s="432" t="e">
        <f t="shared" si="21"/>
        <v>#DIV/0!</v>
      </c>
      <c r="C1392" s="435" t="e">
        <f>IF('合并资产负债表 '!Q10=0,"-",TEXT(ABS('合并资产负债表 '!Q10),"#,##0.00"))</f>
        <v>#DIV/0!</v>
      </c>
    </row>
    <row r="1393" spans="1:3">
      <c r="A1393" s="432" t="s">
        <v>2197</v>
      </c>
      <c r="B1393" s="432" t="e">
        <f t="shared" si="21"/>
        <v>#DIV/0!</v>
      </c>
      <c r="C1393" s="435" t="e">
        <f>IF('合并资产负债表 '!Q11=0,"-",TEXT(ABS('合并资产负债表 '!Q11),"#,##0.00"))</f>
        <v>#DIV/0!</v>
      </c>
    </row>
    <row r="1394" spans="1:3">
      <c r="A1394" s="432" t="s">
        <v>2198</v>
      </c>
      <c r="B1394" s="432" t="e">
        <f t="shared" si="21"/>
        <v>#DIV/0!</v>
      </c>
      <c r="C1394" s="435" t="e">
        <f>IF('合并资产负债表 '!Q12=0,"-",TEXT(ABS('合并资产负债表 '!Q12),"#,##0.00"))</f>
        <v>#DIV/0!</v>
      </c>
    </row>
    <row r="1395" spans="1:3">
      <c r="A1395" s="432" t="s">
        <v>2199</v>
      </c>
      <c r="B1395" s="432" t="e">
        <f t="shared" si="21"/>
        <v>#DIV/0!</v>
      </c>
      <c r="C1395" s="435" t="e">
        <f>IF('合并资产负债表 '!Q13=0,"-",TEXT(ABS('合并资产负债表 '!Q13),"#,##0.00"))</f>
        <v>#DIV/0!</v>
      </c>
    </row>
    <row r="1396" spans="1:3">
      <c r="A1396" s="432" t="s">
        <v>2200</v>
      </c>
      <c r="B1396" s="432" t="e">
        <f t="shared" si="21"/>
        <v>#DIV/0!</v>
      </c>
      <c r="C1396" s="435" t="e">
        <f>IF('合并资产负债表 '!Q14=0,"-",TEXT(ABS('合并资产负债表 '!Q14),"#,##0.00"))</f>
        <v>#DIV/0!</v>
      </c>
    </row>
    <row r="1397" spans="1:3">
      <c r="A1397" s="432" t="s">
        <v>2201</v>
      </c>
      <c r="B1397" s="432" t="e">
        <f t="shared" si="21"/>
        <v>#DIV/0!</v>
      </c>
      <c r="C1397" s="435" t="e">
        <f>IF('合并资产负债表 '!Q15=0,"-",TEXT(ABS('合并资产负债表 '!Q15),"#,##0.00"))</f>
        <v>#DIV/0!</v>
      </c>
    </row>
    <row r="1398" spans="1:3">
      <c r="A1398" s="432" t="s">
        <v>2202</v>
      </c>
      <c r="B1398" s="432" t="e">
        <f t="shared" si="21"/>
        <v>#DIV/0!</v>
      </c>
      <c r="C1398" s="435" t="e">
        <f>IF('合并资产负债表 '!Q16=0,"-",TEXT(ABS('合并资产负债表 '!Q16),"#,##0.00"))</f>
        <v>#DIV/0!</v>
      </c>
    </row>
    <row r="1399" spans="1:3">
      <c r="A1399" s="432" t="s">
        <v>2203</v>
      </c>
      <c r="B1399" s="432" t="e">
        <f t="shared" si="21"/>
        <v>#DIV/0!</v>
      </c>
      <c r="C1399" s="435" t="e">
        <f>IF('合并资产负债表 '!Q17=0,"-",TEXT(ABS('合并资产负债表 '!Q17),"#,##0.00"))</f>
        <v>#DIV/0!</v>
      </c>
    </row>
    <row r="1400" spans="1:3">
      <c r="A1400" s="432" t="s">
        <v>2204</v>
      </c>
      <c r="B1400" s="432" t="e">
        <f t="shared" si="21"/>
        <v>#DIV/0!</v>
      </c>
      <c r="C1400" s="435" t="e">
        <f>IF('合并资产负债表 '!Q18=0,"-",TEXT(ABS('合并资产负债表 '!Q18),"#,##0.00"))</f>
        <v>#DIV/0!</v>
      </c>
    </row>
    <row r="1401" spans="1:3">
      <c r="A1401" s="432" t="s">
        <v>2205</v>
      </c>
      <c r="B1401" s="432" t="e">
        <f t="shared" si="21"/>
        <v>#DIV/0!</v>
      </c>
      <c r="C1401" s="435" t="e">
        <f>IF('合并资产负债表 '!Q19=0,"-",TEXT(ABS('合并资产负债表 '!Q19),"#,##0.00"))</f>
        <v>#DIV/0!</v>
      </c>
    </row>
    <row r="1402" spans="1:3">
      <c r="A1402" s="432" t="s">
        <v>2206</v>
      </c>
      <c r="B1402" s="432" t="e">
        <f t="shared" si="21"/>
        <v>#DIV/0!</v>
      </c>
      <c r="C1402" s="435" t="e">
        <f>IF('合并资产负债表 '!Q21=0,"-",TEXT(ABS('合并资产负债表 '!Q21),"#,##0.00"))</f>
        <v>#DIV/0!</v>
      </c>
    </row>
    <row r="1403" spans="1:3">
      <c r="A1403" s="432" t="s">
        <v>2207</v>
      </c>
      <c r="B1403" s="432" t="e">
        <f t="shared" si="21"/>
        <v>#DIV/0!</v>
      </c>
      <c r="C1403" s="435" t="e">
        <f>IF('合并资产负债表 '!Q22=0,"-",TEXT(ABS('合并资产负债表 '!Q22),"#,##0.00"))</f>
        <v>#DIV/0!</v>
      </c>
    </row>
    <row r="1404" spans="1:3">
      <c r="A1404" s="432" t="s">
        <v>2208</v>
      </c>
      <c r="B1404" s="432" t="e">
        <f t="shared" si="21"/>
        <v>#DIV/0!</v>
      </c>
      <c r="C1404" s="435" t="e">
        <f>IF('合并资产负债表 '!Q23=0,"-",TEXT(ABS('合并资产负债表 '!Q23),"#,##0.00"))</f>
        <v>#DIV/0!</v>
      </c>
    </row>
    <row r="1405" spans="1:3">
      <c r="A1405" s="432" t="s">
        <v>2209</v>
      </c>
      <c r="B1405" s="432" t="e">
        <f t="shared" si="21"/>
        <v>#DIV/0!</v>
      </c>
      <c r="C1405" s="435" t="e">
        <f>IF('合并资产负债表 '!Q24=0,"-",TEXT(ABS('合并资产负债表 '!Q24),"#,##0.00"))</f>
        <v>#DIV/0!</v>
      </c>
    </row>
    <row r="1406" spans="1:3">
      <c r="A1406" s="432" t="s">
        <v>2210</v>
      </c>
      <c r="B1406" s="432" t="e">
        <f t="shared" si="21"/>
        <v>#DIV/0!</v>
      </c>
      <c r="C1406" s="435" t="e">
        <f>IF('合并资产负债表 '!Q25=0,"-",TEXT(ABS('合并资产负债表 '!Q25),"#,##0.00"))</f>
        <v>#DIV/0!</v>
      </c>
    </row>
    <row r="1407" spans="1:3">
      <c r="A1407" s="432" t="s">
        <v>2211</v>
      </c>
      <c r="B1407" s="432" t="e">
        <f t="shared" si="21"/>
        <v>#DIV/0!</v>
      </c>
      <c r="C1407" s="435" t="e">
        <f>IF('合并资产负债表 '!Q26=0,"-",TEXT(ABS('合并资产负债表 '!Q26),"#,##0.00"))</f>
        <v>#DIV/0!</v>
      </c>
    </row>
    <row r="1408" spans="1:3">
      <c r="A1408" s="432" t="s">
        <v>2212</v>
      </c>
      <c r="B1408" s="432" t="e">
        <f t="shared" si="21"/>
        <v>#DIV/0!</v>
      </c>
      <c r="C1408" s="435" t="e">
        <f>IF('合并资产负债表 '!Q27=0,"-",TEXT(ABS('合并资产负债表 '!Q27),"#,##0.00"))</f>
        <v>#DIV/0!</v>
      </c>
    </row>
    <row r="1409" spans="1:5">
      <c r="A1409" s="432" t="s">
        <v>2213</v>
      </c>
      <c r="B1409" s="432" t="e">
        <f t="shared" si="21"/>
        <v>#DIV/0!</v>
      </c>
      <c r="C1409" s="435" t="e">
        <f>IF('合并资产负债表 '!Q28=0,"-",TEXT(ABS('合并资产负债表 '!Q28),"#,##0.00"))</f>
        <v>#DIV/0!</v>
      </c>
    </row>
    <row r="1410" spans="1:5">
      <c r="A1410" s="432" t="s">
        <v>2214</v>
      </c>
      <c r="B1410" s="432" t="e">
        <f t="shared" si="21"/>
        <v>#DIV/0!</v>
      </c>
      <c r="C1410" s="435" t="e">
        <f>IF('合并资产负债表 '!Q29=0,"-",TEXT(ABS('合并资产负债表 '!Q29),"#,##0.00"))</f>
        <v>#DIV/0!</v>
      </c>
    </row>
    <row r="1411" spans="1:5">
      <c r="A1411" s="432" t="s">
        <v>2215</v>
      </c>
      <c r="B1411" s="432" t="e">
        <f t="shared" si="21"/>
        <v>#DIV/0!</v>
      </c>
      <c r="C1411" s="435" t="e">
        <f>IF('合并资产负债表 '!Q30=0,"-",TEXT(ABS('合并资产负债表 '!Q30),"#,##0.00"))</f>
        <v>#DIV/0!</v>
      </c>
    </row>
    <row r="1412" spans="1:5">
      <c r="A1412" s="432" t="s">
        <v>2216</v>
      </c>
      <c r="B1412" s="432" t="e">
        <f t="shared" si="21"/>
        <v>#DIV/0!</v>
      </c>
      <c r="C1412" s="435" t="e">
        <f>IF('合并资产负债表 '!Q31=0,"-",TEXT(ABS('合并资产负债表 '!Q31),"#,##0.00"))</f>
        <v>#DIV/0!</v>
      </c>
    </row>
    <row r="1413" spans="1:5">
      <c r="A1413" s="432" t="s">
        <v>2217</v>
      </c>
      <c r="B1413" s="432" t="e">
        <f t="shared" si="21"/>
        <v>#DIV/0!</v>
      </c>
      <c r="C1413" s="435" t="e">
        <f>IF('合并资产负债表 '!Q32=0,"-",TEXT(ABS('合并资产负债表 '!Q32),"#,##0.00"))</f>
        <v>#DIV/0!</v>
      </c>
    </row>
    <row r="1414" spans="1:5">
      <c r="A1414" s="432" t="s">
        <v>2218</v>
      </c>
      <c r="B1414" s="432" t="e">
        <f t="shared" si="21"/>
        <v>#DIV/0!</v>
      </c>
      <c r="C1414" s="435" t="e">
        <f>IF('合并资产负债表 '!Q33=0,"-",TEXT(ABS('合并资产负债表 '!Q33),"#,##0.00"))</f>
        <v>#DIV/0!</v>
      </c>
    </row>
    <row r="1415" spans="1:5">
      <c r="A1415" s="432" t="s">
        <v>2219</v>
      </c>
      <c r="B1415" s="432" t="e">
        <f t="shared" si="21"/>
        <v>#DIV/0!</v>
      </c>
      <c r="C1415" s="435" t="e">
        <f>IF('合并资产负债表 '!Q34=0,"-",TEXT(ABS('合并资产负债表 '!Q34),"#,##0.00"))</f>
        <v>#DIV/0!</v>
      </c>
    </row>
    <row r="1416" spans="1:5">
      <c r="A1416" s="432" t="s">
        <v>2220</v>
      </c>
      <c r="B1416" s="432" t="e">
        <f t="shared" ref="B1416:B1479" si="22">TRIM(C1416)</f>
        <v>#DIV/0!</v>
      </c>
      <c r="C1416" s="435" t="e">
        <f>IF('合并资产负债表 '!Q35=0,"-",TEXT(ABS('合并资产负债表 '!Q35),"#,##0.00"))</f>
        <v>#DIV/0!</v>
      </c>
    </row>
    <row r="1417" spans="1:5">
      <c r="A1417" s="432" t="s">
        <v>2221</v>
      </c>
      <c r="B1417" s="432" t="e">
        <f t="shared" si="22"/>
        <v>#DIV/0!</v>
      </c>
      <c r="C1417" s="435" t="e">
        <f>IF('合并资产负债表 '!Q36=0,"-",TEXT(ABS('合并资产负债表 '!Q36),"#,##0.00"))</f>
        <v>#DIV/0!</v>
      </c>
    </row>
    <row r="1418" spans="1:5">
      <c r="A1418" s="432" t="s">
        <v>2222</v>
      </c>
      <c r="B1418" s="432" t="e">
        <f t="shared" si="22"/>
        <v>#DIV/0!</v>
      </c>
      <c r="C1418" s="435" t="e">
        <f>IF('合并资产负债表 '!Q37=0,"-",TEXT(ABS('合并资产负债表 '!Q37),"#,##0.00"))</f>
        <v>#DIV/0!</v>
      </c>
    </row>
    <row r="1419" spans="1:5">
      <c r="A1419" s="432" t="s">
        <v>1777</v>
      </c>
      <c r="B1419" s="432" t="e">
        <f t="shared" si="22"/>
        <v>#DIV/0!</v>
      </c>
      <c r="C1419" s="435" t="e">
        <f>IF('合并资产负债表 '!J5=0,"-",TEXT(ABS('合并资产负债表 '!J5),"#,##0.00"))</f>
        <v>#DIV/0!</v>
      </c>
      <c r="E1419" s="436" t="s">
        <v>2385</v>
      </c>
    </row>
    <row r="1420" spans="1:5">
      <c r="A1420" s="432" t="s">
        <v>1778</v>
      </c>
      <c r="B1420" s="432" t="e">
        <f t="shared" si="22"/>
        <v>#DIV/0!</v>
      </c>
      <c r="C1420" s="435" t="e">
        <f>IF('合并资产负债表 '!J6=0,"-",TEXT(ABS('合并资产负债表 '!J6),"#,##0.00"))</f>
        <v>#DIV/0!</v>
      </c>
    </row>
    <row r="1421" spans="1:5">
      <c r="A1421" s="432" t="s">
        <v>1779</v>
      </c>
      <c r="B1421" s="432" t="e">
        <f t="shared" si="22"/>
        <v>#DIV/0!</v>
      </c>
      <c r="C1421" s="435" t="e">
        <f>IF('合并资产负债表 '!J7=0,"-",TEXT(ABS('合并资产负债表 '!J7),"#,##0.00"))</f>
        <v>#DIV/0!</v>
      </c>
    </row>
    <row r="1422" spans="1:5">
      <c r="A1422" s="432" t="s">
        <v>1780</v>
      </c>
      <c r="B1422" s="432" t="e">
        <f t="shared" si="22"/>
        <v>#DIV/0!</v>
      </c>
      <c r="C1422" s="435" t="e">
        <f>IF('合并资产负债表 '!J8=0,"-",TEXT(ABS('合并资产负债表 '!J8),"#,##0.00"))</f>
        <v>#DIV/0!</v>
      </c>
    </row>
    <row r="1423" spans="1:5">
      <c r="A1423" s="432" t="s">
        <v>1781</v>
      </c>
      <c r="B1423" s="432" t="e">
        <f t="shared" si="22"/>
        <v>#DIV/0!</v>
      </c>
      <c r="C1423" s="435" t="e">
        <f>IF('合并资产负债表 '!J9=0,"-",TEXT(ABS('合并资产负债表 '!J9),"#,##0.00"))</f>
        <v>#DIV/0!</v>
      </c>
    </row>
    <row r="1424" spans="1:5">
      <c r="A1424" s="432" t="s">
        <v>1782</v>
      </c>
      <c r="B1424" s="432" t="e">
        <f t="shared" si="22"/>
        <v>#DIV/0!</v>
      </c>
      <c r="C1424" s="435" t="e">
        <f>IF('合并资产负债表 '!J10=0,"-",TEXT(ABS('合并资产负债表 '!J10),"#,##0.00"))</f>
        <v>#DIV/0!</v>
      </c>
    </row>
    <row r="1425" spans="1:3">
      <c r="A1425" s="432" t="s">
        <v>1783</v>
      </c>
      <c r="B1425" s="432" t="e">
        <f t="shared" si="22"/>
        <v>#DIV/0!</v>
      </c>
      <c r="C1425" s="435" t="e">
        <f>IF('合并资产负债表 '!J11=0,"-",TEXT(ABS('合并资产负债表 '!J11),"#,##0.00"))</f>
        <v>#DIV/0!</v>
      </c>
    </row>
    <row r="1426" spans="1:3">
      <c r="A1426" s="432" t="s">
        <v>1784</v>
      </c>
      <c r="B1426" s="432" t="e">
        <f t="shared" si="22"/>
        <v>#DIV/0!</v>
      </c>
      <c r="C1426" s="435" t="e">
        <f>IF('合并资产负债表 '!J12=0,"-",TEXT(ABS('合并资产负债表 '!J12),"#,##0.00"))</f>
        <v>#DIV/0!</v>
      </c>
    </row>
    <row r="1427" spans="1:3">
      <c r="A1427" s="432" t="s">
        <v>1785</v>
      </c>
      <c r="B1427" s="432" t="e">
        <f t="shared" si="22"/>
        <v>#DIV/0!</v>
      </c>
      <c r="C1427" s="435" t="e">
        <f>IF('合并资产负债表 '!J13=0,"-",TEXT(ABS('合并资产负债表 '!J13),"#,##0.00"))</f>
        <v>#DIV/0!</v>
      </c>
    </row>
    <row r="1428" spans="1:3">
      <c r="A1428" s="432" t="s">
        <v>1786</v>
      </c>
      <c r="B1428" s="432" t="e">
        <f t="shared" si="22"/>
        <v>#DIV/0!</v>
      </c>
      <c r="C1428" s="435" t="e">
        <f>IF('合并资产负债表 '!J14=0,"-",TEXT(ABS('合并资产负债表 '!J14),"#,##0.00"))</f>
        <v>#DIV/0!</v>
      </c>
    </row>
    <row r="1429" spans="1:3">
      <c r="A1429" s="432" t="s">
        <v>1787</v>
      </c>
      <c r="B1429" s="432" t="e">
        <f t="shared" si="22"/>
        <v>#DIV/0!</v>
      </c>
      <c r="C1429" s="435" t="e">
        <f>IF('合并资产负债表 '!J15=0,"-",TEXT(ABS('合并资产负债表 '!J15),"#,##0.00"))</f>
        <v>#DIV/0!</v>
      </c>
    </row>
    <row r="1430" spans="1:3">
      <c r="A1430" s="432" t="s">
        <v>1788</v>
      </c>
      <c r="B1430" s="432" t="e">
        <f t="shared" si="22"/>
        <v>#DIV/0!</v>
      </c>
      <c r="C1430" s="435" t="e">
        <f>IF('合并资产负债表 '!J16=0,"-",TEXT(ABS('合并资产负债表 '!J16),"#,##0.00"))</f>
        <v>#DIV/0!</v>
      </c>
    </row>
    <row r="1431" spans="1:3">
      <c r="A1431" s="432" t="s">
        <v>1789</v>
      </c>
      <c r="B1431" s="432" t="e">
        <f t="shared" si="22"/>
        <v>#DIV/0!</v>
      </c>
      <c r="C1431" s="435" t="e">
        <f>IF('合并资产负债表 '!J17=0,"-",TEXT(ABS('合并资产负债表 '!J17),"#,##0.00"))</f>
        <v>#DIV/0!</v>
      </c>
    </row>
    <row r="1432" spans="1:3">
      <c r="A1432" s="432" t="s">
        <v>1790</v>
      </c>
      <c r="B1432" s="432" t="e">
        <f t="shared" si="22"/>
        <v>#DIV/0!</v>
      </c>
      <c r="C1432" s="435" t="e">
        <f>IF('合并资产负债表 '!J18=0,"-",TEXT(ABS('合并资产负债表 '!J18),"#,##0.00"))</f>
        <v>#DIV/0!</v>
      </c>
    </row>
    <row r="1433" spans="1:3">
      <c r="A1433" s="432" t="s">
        <v>1791</v>
      </c>
      <c r="B1433" s="432" t="e">
        <f t="shared" si="22"/>
        <v>#DIV/0!</v>
      </c>
      <c r="C1433" s="435" t="e">
        <f>IF('合并资产负债表 '!J19=0,"-",TEXT(ABS('合并资产负债表 '!J19),"#,##0.00"))</f>
        <v>#DIV/0!</v>
      </c>
    </row>
    <row r="1434" spans="1:3">
      <c r="A1434" s="432" t="s">
        <v>1792</v>
      </c>
      <c r="B1434" s="432" t="e">
        <f t="shared" si="22"/>
        <v>#DIV/0!</v>
      </c>
      <c r="C1434" s="435" t="e">
        <f>IF('合并资产负债表 '!J21=0,"-",TEXT(ABS('合并资产负债表 '!J21),"#,##0.00"))</f>
        <v>#DIV/0!</v>
      </c>
    </row>
    <row r="1435" spans="1:3">
      <c r="A1435" s="432" t="s">
        <v>1793</v>
      </c>
      <c r="B1435" s="432" t="e">
        <f t="shared" si="22"/>
        <v>#DIV/0!</v>
      </c>
      <c r="C1435" s="435" t="e">
        <f>IF('合并资产负债表 '!J22=0,"-",TEXT(ABS('合并资产负债表 '!J22),"#,##0.00"))</f>
        <v>#DIV/0!</v>
      </c>
    </row>
    <row r="1436" spans="1:3">
      <c r="A1436" s="432" t="s">
        <v>1794</v>
      </c>
      <c r="B1436" s="432" t="e">
        <f t="shared" si="22"/>
        <v>#DIV/0!</v>
      </c>
      <c r="C1436" s="435" t="e">
        <f>IF('合并资产负债表 '!J23=0,"-",TEXT(ABS('合并资产负债表 '!J23),"#,##0.00"))</f>
        <v>#DIV/0!</v>
      </c>
    </row>
    <row r="1437" spans="1:3">
      <c r="A1437" s="432" t="s">
        <v>1795</v>
      </c>
      <c r="B1437" s="432" t="e">
        <f t="shared" si="22"/>
        <v>#DIV/0!</v>
      </c>
      <c r="C1437" s="435" t="e">
        <f>IF('合并资产负债表 '!J24=0,"-",TEXT(ABS('合并资产负债表 '!J24),"#,##0.00"))</f>
        <v>#DIV/0!</v>
      </c>
    </row>
    <row r="1438" spans="1:3">
      <c r="A1438" s="432" t="s">
        <v>1796</v>
      </c>
      <c r="B1438" s="432" t="e">
        <f t="shared" si="22"/>
        <v>#DIV/0!</v>
      </c>
      <c r="C1438" s="435" t="e">
        <f>IF('合并资产负债表 '!J25=0,"-",TEXT(ABS('合并资产负债表 '!J25),"#,##0.00"))</f>
        <v>#DIV/0!</v>
      </c>
    </row>
    <row r="1439" spans="1:3">
      <c r="A1439" s="432" t="s">
        <v>1797</v>
      </c>
      <c r="B1439" s="432" t="e">
        <f t="shared" si="22"/>
        <v>#DIV/0!</v>
      </c>
      <c r="C1439" s="435" t="e">
        <f>IF('合并资产负债表 '!J26=0,"-",TEXT(ABS('合并资产负债表 '!J26),"#,##0.00"))</f>
        <v>#DIV/0!</v>
      </c>
    </row>
    <row r="1440" spans="1:3">
      <c r="A1440" s="432" t="s">
        <v>1798</v>
      </c>
      <c r="B1440" s="432" t="e">
        <f t="shared" si="22"/>
        <v>#DIV/0!</v>
      </c>
      <c r="C1440" s="435" t="e">
        <f>IF('合并资产负债表 '!J27=0,"-",TEXT(ABS('合并资产负债表 '!J27),"#,##0.00"))</f>
        <v>#DIV/0!</v>
      </c>
    </row>
    <row r="1441" spans="1:3">
      <c r="A1441" s="432" t="s">
        <v>1799</v>
      </c>
      <c r="B1441" s="432" t="e">
        <f t="shared" si="22"/>
        <v>#DIV/0!</v>
      </c>
      <c r="C1441" s="435" t="e">
        <f>IF('合并资产负债表 '!J28=0,"-",TEXT(ABS('合并资产负债表 '!J28),"#,##0.00"))</f>
        <v>#DIV/0!</v>
      </c>
    </row>
    <row r="1442" spans="1:3">
      <c r="A1442" s="432" t="s">
        <v>1800</v>
      </c>
      <c r="B1442" s="432" t="e">
        <f t="shared" si="22"/>
        <v>#DIV/0!</v>
      </c>
      <c r="C1442" s="435" t="e">
        <f>IF('合并资产负债表 '!J29=0,"-",TEXT(ABS('合并资产负债表 '!J29),"#,##0.00"))</f>
        <v>#DIV/0!</v>
      </c>
    </row>
    <row r="1443" spans="1:3">
      <c r="A1443" s="432" t="s">
        <v>1801</v>
      </c>
      <c r="B1443" s="432" t="e">
        <f t="shared" si="22"/>
        <v>#DIV/0!</v>
      </c>
      <c r="C1443" s="435" t="e">
        <f>IF('合并资产负债表 '!J30=0,"-",TEXT(ABS('合并资产负债表 '!J30),"#,##0.00"))</f>
        <v>#DIV/0!</v>
      </c>
    </row>
    <row r="1444" spans="1:3">
      <c r="A1444" s="432" t="s">
        <v>1802</v>
      </c>
      <c r="B1444" s="432" t="e">
        <f t="shared" si="22"/>
        <v>#DIV/0!</v>
      </c>
      <c r="C1444" s="435" t="e">
        <f>IF('合并资产负债表 '!J31=0,"-",TEXT(ABS('合并资产负债表 '!J31),"#,##0.00"))</f>
        <v>#DIV/0!</v>
      </c>
    </row>
    <row r="1445" spans="1:3">
      <c r="A1445" s="432" t="s">
        <v>1803</v>
      </c>
      <c r="B1445" s="432" t="e">
        <f t="shared" si="22"/>
        <v>#DIV/0!</v>
      </c>
      <c r="C1445" s="435" t="e">
        <f>IF('合并资产负债表 '!J32=0,"-",TEXT(ABS('合并资产负债表 '!J32),"#,##0.00"))</f>
        <v>#DIV/0!</v>
      </c>
    </row>
    <row r="1446" spans="1:3">
      <c r="A1446" s="432" t="s">
        <v>1804</v>
      </c>
      <c r="B1446" s="432" t="e">
        <f t="shared" si="22"/>
        <v>#DIV/0!</v>
      </c>
      <c r="C1446" s="435" t="e">
        <f>IF('合并资产负债表 '!J33=0,"-",TEXT(ABS('合并资产负债表 '!J33),"#,##0.00"))</f>
        <v>#DIV/0!</v>
      </c>
    </row>
    <row r="1447" spans="1:3">
      <c r="A1447" s="432" t="s">
        <v>1805</v>
      </c>
      <c r="B1447" s="432" t="e">
        <f t="shared" si="22"/>
        <v>#DIV/0!</v>
      </c>
      <c r="C1447" s="435" t="e">
        <f>IF('合并资产负债表 '!J34=0,"-",TEXT(ABS('合并资产负债表 '!J34),"#,##0.00"))</f>
        <v>#DIV/0!</v>
      </c>
    </row>
    <row r="1448" spans="1:3">
      <c r="A1448" s="432" t="s">
        <v>1806</v>
      </c>
      <c r="B1448" s="432" t="e">
        <f t="shared" si="22"/>
        <v>#DIV/0!</v>
      </c>
      <c r="C1448" s="435" t="e">
        <f>IF('合并资产负债表 '!J35=0,"-",TEXT(ABS('合并资产负债表 '!J35),"#,##0.00"))</f>
        <v>#DIV/0!</v>
      </c>
    </row>
    <row r="1449" spans="1:3">
      <c r="A1449" s="432" t="s">
        <v>1807</v>
      </c>
      <c r="B1449" s="432" t="e">
        <f t="shared" si="22"/>
        <v>#DIV/0!</v>
      </c>
      <c r="C1449" s="435" t="e">
        <f>IF('合并资产负债表 '!J36=0,"-",TEXT(ABS('合并资产负债表 '!J36),"#,##0.00"))</f>
        <v>#DIV/0!</v>
      </c>
    </row>
    <row r="1450" spans="1:3">
      <c r="A1450" s="432" t="s">
        <v>1836</v>
      </c>
      <c r="B1450" s="432" t="e">
        <f t="shared" si="22"/>
        <v>#DIV/0!</v>
      </c>
      <c r="C1450" s="435" t="e">
        <f>IF('合并资产负债表 '!K5=0,"-",TEXT(ABS('合并资产负债表 '!K5),"#,##0.00"))</f>
        <v>#DIV/0!</v>
      </c>
    </row>
    <row r="1451" spans="1:3">
      <c r="A1451" s="432" t="s">
        <v>1837</v>
      </c>
      <c r="B1451" s="432" t="e">
        <f t="shared" si="22"/>
        <v>#DIV/0!</v>
      </c>
      <c r="C1451" s="435" t="e">
        <f>IF('合并资产负债表 '!K6=0,"-",TEXT(ABS('合并资产负债表 '!K6),"#,##0.00"))</f>
        <v>#DIV/0!</v>
      </c>
    </row>
    <row r="1452" spans="1:3">
      <c r="A1452" s="432" t="s">
        <v>3212</v>
      </c>
      <c r="B1452" s="432" t="e">
        <f t="shared" si="22"/>
        <v>#DIV/0!</v>
      </c>
      <c r="C1452" s="435" t="e">
        <f>IF('合并资产负债表 '!K7=0,"-",TEXT(ABS('合并资产负债表 '!K7),"#,##0.00"))</f>
        <v>#DIV/0!</v>
      </c>
    </row>
    <row r="1453" spans="1:3">
      <c r="A1453" s="432" t="s">
        <v>3213</v>
      </c>
      <c r="B1453" s="432" t="e">
        <f t="shared" si="22"/>
        <v>#DIV/0!</v>
      </c>
      <c r="C1453" s="435" t="e">
        <f>IF('合并资产负债表 '!K8=0,"-",TEXT(ABS('合并资产负债表 '!K8),"#,##0.00"))</f>
        <v>#DIV/0!</v>
      </c>
    </row>
    <row r="1454" spans="1:3">
      <c r="A1454" s="432" t="s">
        <v>1838</v>
      </c>
      <c r="B1454" s="432" t="e">
        <f t="shared" si="22"/>
        <v>#DIV/0!</v>
      </c>
      <c r="C1454" s="435" t="e">
        <f>IF('合并资产负债表 '!K9=0,"-",TEXT(ABS('合并资产负债表 '!K9),"#,##0.00"))</f>
        <v>#DIV/0!</v>
      </c>
    </row>
    <row r="1455" spans="1:3">
      <c r="A1455" s="432" t="s">
        <v>1839</v>
      </c>
      <c r="B1455" s="432" t="e">
        <f t="shared" si="22"/>
        <v>#DIV/0!</v>
      </c>
      <c r="C1455" s="435" t="e">
        <f>IF('合并资产负债表 '!K10=0,"-",TEXT(ABS('合并资产负债表 '!K10),"#,##0.00"))</f>
        <v>#DIV/0!</v>
      </c>
    </row>
    <row r="1456" spans="1:3">
      <c r="A1456" s="432" t="s">
        <v>1840</v>
      </c>
      <c r="B1456" s="432" t="e">
        <f t="shared" si="22"/>
        <v>#DIV/0!</v>
      </c>
      <c r="C1456" s="435" t="e">
        <f>IF('合并资产负债表 '!K11=0,"-",TEXT(ABS('合并资产负债表 '!K11),"#,##0.00"))</f>
        <v>#DIV/0!</v>
      </c>
    </row>
    <row r="1457" spans="1:3">
      <c r="A1457" s="432" t="s">
        <v>1841</v>
      </c>
      <c r="B1457" s="432" t="e">
        <f t="shared" si="22"/>
        <v>#DIV/0!</v>
      </c>
      <c r="C1457" s="435" t="e">
        <f>IF('合并资产负债表 '!K12=0,"-",TEXT(ABS('合并资产负债表 '!K12),"#,##0.00"))</f>
        <v>#DIV/0!</v>
      </c>
    </row>
    <row r="1458" spans="1:3">
      <c r="A1458" s="432" t="s">
        <v>1842</v>
      </c>
      <c r="B1458" s="432" t="e">
        <f t="shared" si="22"/>
        <v>#DIV/0!</v>
      </c>
      <c r="C1458" s="435" t="e">
        <f>IF('合并资产负债表 '!K13=0,"-",TEXT(ABS('合并资产负债表 '!K13),"#,##0.00"))</f>
        <v>#DIV/0!</v>
      </c>
    </row>
    <row r="1459" spans="1:3">
      <c r="A1459" s="432" t="s">
        <v>1843</v>
      </c>
      <c r="B1459" s="432" t="e">
        <f t="shared" si="22"/>
        <v>#DIV/0!</v>
      </c>
      <c r="C1459" s="435" t="e">
        <f>IF('合并资产负债表 '!K14=0,"-",TEXT(ABS('合并资产负债表 '!K14),"#,##0.00"))</f>
        <v>#DIV/0!</v>
      </c>
    </row>
    <row r="1460" spans="1:3">
      <c r="A1460" s="432" t="s">
        <v>1844</v>
      </c>
      <c r="B1460" s="432" t="e">
        <f t="shared" si="22"/>
        <v>#DIV/0!</v>
      </c>
      <c r="C1460" s="435" t="e">
        <f>IF('合并资产负债表 '!K15=0,"-",TEXT(ABS('合并资产负债表 '!K15),"#,##0.00"))</f>
        <v>#DIV/0!</v>
      </c>
    </row>
    <row r="1461" spans="1:3">
      <c r="A1461" s="432" t="s">
        <v>1845</v>
      </c>
      <c r="B1461" s="432" t="e">
        <f t="shared" si="22"/>
        <v>#DIV/0!</v>
      </c>
      <c r="C1461" s="435" t="e">
        <f>IF('合并资产负债表 '!K16=0,"-",TEXT(ABS('合并资产负债表 '!K16),"#,##0.00"))</f>
        <v>#DIV/0!</v>
      </c>
    </row>
    <row r="1462" spans="1:3">
      <c r="A1462" s="432" t="s">
        <v>1846</v>
      </c>
      <c r="B1462" s="432" t="e">
        <f t="shared" si="22"/>
        <v>#DIV/0!</v>
      </c>
      <c r="C1462" s="435" t="e">
        <f>IF('合并资产负债表 '!K17=0,"-",TEXT(ABS('合并资产负债表 '!K17),"#,##0.00"))</f>
        <v>#DIV/0!</v>
      </c>
    </row>
    <row r="1463" spans="1:3">
      <c r="A1463" s="432" t="s">
        <v>1847</v>
      </c>
      <c r="B1463" s="432" t="e">
        <f t="shared" si="22"/>
        <v>#DIV/0!</v>
      </c>
      <c r="C1463" s="435" t="e">
        <f>IF('合并资产负债表 '!K18=0,"-",TEXT(ABS('合并资产负债表 '!K18),"#,##0.00"))</f>
        <v>#DIV/0!</v>
      </c>
    </row>
    <row r="1464" spans="1:3">
      <c r="A1464" s="432" t="s">
        <v>1848</v>
      </c>
      <c r="B1464" s="432" t="e">
        <f t="shared" si="22"/>
        <v>#DIV/0!</v>
      </c>
      <c r="C1464" s="435" t="e">
        <f>IF('合并资产负债表 '!K19=0,"-",TEXT(ABS('合并资产负债表 '!K19),"#,##0.00"))</f>
        <v>#DIV/0!</v>
      </c>
    </row>
    <row r="1465" spans="1:3">
      <c r="A1465" s="432" t="s">
        <v>1849</v>
      </c>
      <c r="B1465" s="432" t="e">
        <f t="shared" si="22"/>
        <v>#DIV/0!</v>
      </c>
      <c r="C1465" s="435" t="e">
        <f>IF('合并资产负债表 '!K21=0,"-",TEXT(ABS('合并资产负债表 '!K21),"#,##0.00"))</f>
        <v>#DIV/0!</v>
      </c>
    </row>
    <row r="1466" spans="1:3">
      <c r="A1466" s="432" t="s">
        <v>1850</v>
      </c>
      <c r="B1466" s="432" t="e">
        <f t="shared" si="22"/>
        <v>#DIV/0!</v>
      </c>
      <c r="C1466" s="435" t="e">
        <f>IF('合并资产负债表 '!K22=0,"-",TEXT(ABS('合并资产负债表 '!K22),"#,##0.00"))</f>
        <v>#DIV/0!</v>
      </c>
    </row>
    <row r="1467" spans="1:3">
      <c r="A1467" s="432" t="s">
        <v>1851</v>
      </c>
      <c r="B1467" s="432" t="e">
        <f t="shared" si="22"/>
        <v>#DIV/0!</v>
      </c>
      <c r="C1467" s="435" t="e">
        <f>IF('合并资产负债表 '!K23=0,"-",TEXT(ABS('合并资产负债表 '!K23),"#,##0.00"))</f>
        <v>#DIV/0!</v>
      </c>
    </row>
    <row r="1468" spans="1:3">
      <c r="A1468" s="432" t="s">
        <v>1852</v>
      </c>
      <c r="B1468" s="432" t="e">
        <f t="shared" si="22"/>
        <v>#DIV/0!</v>
      </c>
      <c r="C1468" s="435" t="e">
        <f>IF('合并资产负债表 '!K24=0,"-",TEXT(ABS('合并资产负债表 '!K24),"#,##0.00"))</f>
        <v>#DIV/0!</v>
      </c>
    </row>
    <row r="1469" spans="1:3">
      <c r="A1469" s="432" t="s">
        <v>1853</v>
      </c>
      <c r="B1469" s="432" t="e">
        <f t="shared" si="22"/>
        <v>#DIV/0!</v>
      </c>
      <c r="C1469" s="435" t="e">
        <f>IF('合并资产负债表 '!K25=0,"-",TEXT(ABS('合并资产负债表 '!K25),"#,##0.00"))</f>
        <v>#DIV/0!</v>
      </c>
    </row>
    <row r="1470" spans="1:3">
      <c r="A1470" s="432" t="s">
        <v>1854</v>
      </c>
      <c r="B1470" s="432" t="e">
        <f t="shared" si="22"/>
        <v>#DIV/0!</v>
      </c>
      <c r="C1470" s="435" t="e">
        <f>IF('合并资产负债表 '!K26=0,"-",TEXT(ABS('合并资产负债表 '!K26),"#,##0.00"))</f>
        <v>#DIV/0!</v>
      </c>
    </row>
    <row r="1471" spans="1:3">
      <c r="A1471" s="432" t="s">
        <v>1855</v>
      </c>
      <c r="B1471" s="432" t="e">
        <f t="shared" si="22"/>
        <v>#DIV/0!</v>
      </c>
      <c r="C1471" s="435" t="e">
        <f>IF('合并资产负债表 '!K27=0,"-",TEXT(ABS('合并资产负债表 '!K27),"#,##0.00"))</f>
        <v>#DIV/0!</v>
      </c>
    </row>
    <row r="1472" spans="1:3">
      <c r="A1472" s="432" t="s">
        <v>1856</v>
      </c>
      <c r="B1472" s="432" t="e">
        <f t="shared" si="22"/>
        <v>#DIV/0!</v>
      </c>
      <c r="C1472" s="435" t="e">
        <f>IF('合并资产负债表 '!K28=0,"-",TEXT(ABS('合并资产负债表 '!K28),"#,##0.00"))</f>
        <v>#DIV/0!</v>
      </c>
    </row>
    <row r="1473" spans="1:3">
      <c r="A1473" s="432" t="s">
        <v>1857</v>
      </c>
      <c r="B1473" s="432" t="e">
        <f t="shared" si="22"/>
        <v>#DIV/0!</v>
      </c>
      <c r="C1473" s="435" t="e">
        <f>IF('合并资产负债表 '!K29=0,"-",TEXT(ABS('合并资产负债表 '!K29),"#,##0.00"))</f>
        <v>#DIV/0!</v>
      </c>
    </row>
    <row r="1474" spans="1:3">
      <c r="A1474" s="432" t="s">
        <v>1858</v>
      </c>
      <c r="B1474" s="432" t="e">
        <f t="shared" si="22"/>
        <v>#DIV/0!</v>
      </c>
      <c r="C1474" s="435" t="e">
        <f>IF('合并资产负债表 '!K30=0,"-",TEXT(ABS('合并资产负债表 '!K30),"#,##0.00"))</f>
        <v>#DIV/0!</v>
      </c>
    </row>
    <row r="1475" spans="1:3">
      <c r="A1475" s="432" t="s">
        <v>1859</v>
      </c>
      <c r="B1475" s="432" t="e">
        <f t="shared" si="22"/>
        <v>#DIV/0!</v>
      </c>
      <c r="C1475" s="435" t="e">
        <f>IF('合并资产负债表 '!K31=0,"-",TEXT(ABS('合并资产负债表 '!K31),"#,##0.00"))</f>
        <v>#DIV/0!</v>
      </c>
    </row>
    <row r="1476" spans="1:3">
      <c r="A1476" s="432" t="s">
        <v>1860</v>
      </c>
      <c r="B1476" s="432" t="e">
        <f t="shared" si="22"/>
        <v>#DIV/0!</v>
      </c>
      <c r="C1476" s="435" t="e">
        <f>IF('合并资产负债表 '!K32=0,"-",TEXT(ABS('合并资产负债表 '!K32),"#,##0.00"))</f>
        <v>#DIV/0!</v>
      </c>
    </row>
    <row r="1477" spans="1:3">
      <c r="A1477" s="432" t="s">
        <v>1861</v>
      </c>
      <c r="B1477" s="432" t="e">
        <f t="shared" si="22"/>
        <v>#DIV/0!</v>
      </c>
      <c r="C1477" s="435" t="e">
        <f>IF('合并资产负债表 '!K33=0,"-",TEXT(ABS('合并资产负债表 '!K33),"#,##0.00"))</f>
        <v>#DIV/0!</v>
      </c>
    </row>
    <row r="1478" spans="1:3">
      <c r="A1478" s="432" t="s">
        <v>1862</v>
      </c>
      <c r="B1478" s="432" t="e">
        <f t="shared" si="22"/>
        <v>#DIV/0!</v>
      </c>
      <c r="C1478" s="435" t="e">
        <f>IF('合并资产负债表 '!K34=0,"-",TEXT(ABS('合并资产负债表 '!K34),"#,##0.00"))</f>
        <v>#DIV/0!</v>
      </c>
    </row>
    <row r="1479" spans="1:3">
      <c r="A1479" s="432" t="s">
        <v>1863</v>
      </c>
      <c r="B1479" s="432" t="e">
        <f t="shared" si="22"/>
        <v>#DIV/0!</v>
      </c>
      <c r="C1479" s="435" t="e">
        <f>IF('合并资产负债表 '!K35=0,"-",TEXT(ABS('合并资产负债表 '!K35),"#,##0.00"))</f>
        <v>#DIV/0!</v>
      </c>
    </row>
    <row r="1480" spans="1:3">
      <c r="A1480" s="432" t="s">
        <v>1864</v>
      </c>
      <c r="B1480" s="432" t="e">
        <f t="shared" ref="B1480:B1543" si="23">TRIM(C1480)</f>
        <v>#DIV/0!</v>
      </c>
      <c r="C1480" s="435" t="e">
        <f>IF('合并资产负债表 '!K36=0,"-",TEXT(ABS('合并资产负债表 '!K36),"#,##0.00"))</f>
        <v>#DIV/0!</v>
      </c>
    </row>
    <row r="1481" spans="1:3">
      <c r="A1481" s="432" t="s">
        <v>1893</v>
      </c>
      <c r="B1481" s="432" t="e">
        <f t="shared" si="23"/>
        <v>#DIV/0!</v>
      </c>
      <c r="C1481" s="435" t="e">
        <f>IF('合并资产负债表 '!L5=0,"-",TEXT(ABS('合并资产负债表 '!L5),"#,##0.00"))</f>
        <v>#DIV/0!</v>
      </c>
    </row>
    <row r="1482" spans="1:3">
      <c r="A1482" s="432" t="s">
        <v>1894</v>
      </c>
      <c r="B1482" s="432" t="e">
        <f t="shared" si="23"/>
        <v>#DIV/0!</v>
      </c>
      <c r="C1482" s="435" t="e">
        <f>IF('合并资产负债表 '!L6=0,"-",TEXT(ABS('合并资产负债表 '!L6),"#,##0.00"))</f>
        <v>#DIV/0!</v>
      </c>
    </row>
    <row r="1483" spans="1:3">
      <c r="A1483" s="432" t="s">
        <v>1895</v>
      </c>
      <c r="B1483" s="432" t="e">
        <f t="shared" si="23"/>
        <v>#DIV/0!</v>
      </c>
      <c r="C1483" s="435" t="e">
        <f>IF('合并资产负债表 '!L7=0,"-",TEXT(ABS('合并资产负债表 '!L7),"#,##0.00"))</f>
        <v>#DIV/0!</v>
      </c>
    </row>
    <row r="1484" spans="1:3">
      <c r="A1484" s="432" t="s">
        <v>1896</v>
      </c>
      <c r="B1484" s="432" t="e">
        <f t="shared" si="23"/>
        <v>#DIV/0!</v>
      </c>
      <c r="C1484" s="435" t="e">
        <f>IF('合并资产负债表 '!L8=0,"-",TEXT(ABS('合并资产负债表 '!L8),"#,##0.00"))</f>
        <v>#DIV/0!</v>
      </c>
    </row>
    <row r="1485" spans="1:3">
      <c r="A1485" s="432" t="s">
        <v>1897</v>
      </c>
      <c r="B1485" s="432" t="e">
        <f t="shared" si="23"/>
        <v>#DIV/0!</v>
      </c>
      <c r="C1485" s="435" t="e">
        <f>IF('合并资产负债表 '!L9=0,"-",TEXT(ABS('合并资产负债表 '!L9),"#,##0.00"))</f>
        <v>#DIV/0!</v>
      </c>
    </row>
    <row r="1486" spans="1:3">
      <c r="A1486" s="432" t="s">
        <v>1898</v>
      </c>
      <c r="B1486" s="432" t="e">
        <f t="shared" si="23"/>
        <v>#DIV/0!</v>
      </c>
      <c r="C1486" s="435" t="e">
        <f>IF('合并资产负债表 '!L10=0,"-",TEXT(ABS('合并资产负债表 '!L10),"#,##0.00"))</f>
        <v>#DIV/0!</v>
      </c>
    </row>
    <row r="1487" spans="1:3">
      <c r="A1487" s="432" t="s">
        <v>1899</v>
      </c>
      <c r="B1487" s="432" t="e">
        <f t="shared" si="23"/>
        <v>#DIV/0!</v>
      </c>
      <c r="C1487" s="435" t="e">
        <f>IF('合并资产负债表 '!L11=0,"-",TEXT(ABS('合并资产负债表 '!L11),"#,##0.00"))</f>
        <v>#DIV/0!</v>
      </c>
    </row>
    <row r="1488" spans="1:3">
      <c r="A1488" s="432" t="s">
        <v>1900</v>
      </c>
      <c r="B1488" s="432" t="e">
        <f t="shared" si="23"/>
        <v>#DIV/0!</v>
      </c>
      <c r="C1488" s="435" t="e">
        <f>IF('合并资产负债表 '!L12=0,"-",TEXT(ABS('合并资产负债表 '!L12),"#,##0.00"))</f>
        <v>#DIV/0!</v>
      </c>
    </row>
    <row r="1489" spans="1:3">
      <c r="A1489" s="432" t="s">
        <v>1901</v>
      </c>
      <c r="B1489" s="432" t="e">
        <f t="shared" si="23"/>
        <v>#DIV/0!</v>
      </c>
      <c r="C1489" s="435" t="e">
        <f>IF('合并资产负债表 '!L13=0,"-",TEXT(ABS('合并资产负债表 '!L13),"#,##0.00"))</f>
        <v>#DIV/0!</v>
      </c>
    </row>
    <row r="1490" spans="1:3">
      <c r="A1490" s="432" t="s">
        <v>1902</v>
      </c>
      <c r="B1490" s="432" t="e">
        <f t="shared" si="23"/>
        <v>#DIV/0!</v>
      </c>
      <c r="C1490" s="435" t="e">
        <f>IF('合并资产负债表 '!L14=0,"-",TEXT(ABS('合并资产负债表 '!L14),"#,##0.00"))</f>
        <v>#DIV/0!</v>
      </c>
    </row>
    <row r="1491" spans="1:3">
      <c r="A1491" s="432" t="s">
        <v>1903</v>
      </c>
      <c r="B1491" s="432" t="e">
        <f t="shared" si="23"/>
        <v>#DIV/0!</v>
      </c>
      <c r="C1491" s="435" t="e">
        <f>IF('合并资产负债表 '!L15=0,"-",TEXT(ABS('合并资产负债表 '!L15),"#,##0.00"))</f>
        <v>#DIV/0!</v>
      </c>
    </row>
    <row r="1492" spans="1:3">
      <c r="A1492" s="432" t="s">
        <v>1904</v>
      </c>
      <c r="B1492" s="432" t="e">
        <f t="shared" si="23"/>
        <v>#DIV/0!</v>
      </c>
      <c r="C1492" s="435" t="e">
        <f>IF('合并资产负债表 '!L16=0,"-",TEXT(ABS('合并资产负债表 '!L16),"#,##0.00"))</f>
        <v>#DIV/0!</v>
      </c>
    </row>
    <row r="1493" spans="1:3">
      <c r="A1493" s="432" t="s">
        <v>1905</v>
      </c>
      <c r="B1493" s="432" t="e">
        <f t="shared" si="23"/>
        <v>#DIV/0!</v>
      </c>
      <c r="C1493" s="435" t="e">
        <f>IF('合并资产负债表 '!L17=0,"-",TEXT(ABS('合并资产负债表 '!L17),"#,##0.00"))</f>
        <v>#DIV/0!</v>
      </c>
    </row>
    <row r="1494" spans="1:3">
      <c r="A1494" s="432" t="s">
        <v>1906</v>
      </c>
      <c r="B1494" s="432" t="e">
        <f t="shared" si="23"/>
        <v>#DIV/0!</v>
      </c>
      <c r="C1494" s="435" t="e">
        <f>IF('合并资产负债表 '!L18=0,"-",TEXT(ABS('合并资产负债表 '!L18),"#,##0.00"))</f>
        <v>#DIV/0!</v>
      </c>
    </row>
    <row r="1495" spans="1:3">
      <c r="A1495" s="432" t="s">
        <v>1907</v>
      </c>
      <c r="B1495" s="432" t="e">
        <f t="shared" si="23"/>
        <v>#DIV/0!</v>
      </c>
      <c r="C1495" s="435" t="e">
        <f>IF('合并资产负债表 '!L19=0,"-",TEXT(ABS('合并资产负债表 '!L19),"#,##0.00"))</f>
        <v>#DIV/0!</v>
      </c>
    </row>
    <row r="1496" spans="1:3">
      <c r="A1496" s="432" t="s">
        <v>1908</v>
      </c>
      <c r="B1496" s="432" t="e">
        <f t="shared" si="23"/>
        <v>#DIV/0!</v>
      </c>
      <c r="C1496" s="435" t="e">
        <f>IF('合并资产负债表 '!L21=0,"-",TEXT(ABS('合并资产负债表 '!L21),"#,##0.00"))</f>
        <v>#DIV/0!</v>
      </c>
    </row>
    <row r="1497" spans="1:3">
      <c r="A1497" s="432" t="s">
        <v>1909</v>
      </c>
      <c r="B1497" s="432" t="e">
        <f t="shared" si="23"/>
        <v>#DIV/0!</v>
      </c>
      <c r="C1497" s="435" t="e">
        <f>IF('合并资产负债表 '!L22=0,"-",TEXT(ABS('合并资产负债表 '!L22),"#,##0.00"))</f>
        <v>#DIV/0!</v>
      </c>
    </row>
    <row r="1498" spans="1:3">
      <c r="A1498" s="432" t="s">
        <v>1910</v>
      </c>
      <c r="B1498" s="432" t="e">
        <f t="shared" si="23"/>
        <v>#DIV/0!</v>
      </c>
      <c r="C1498" s="435" t="e">
        <f>IF('合并资产负债表 '!L23=0,"-",TEXT(ABS('合并资产负债表 '!L23),"#,##0.00"))</f>
        <v>#DIV/0!</v>
      </c>
    </row>
    <row r="1499" spans="1:3">
      <c r="A1499" s="432" t="s">
        <v>1911</v>
      </c>
      <c r="B1499" s="432" t="e">
        <f t="shared" si="23"/>
        <v>#DIV/0!</v>
      </c>
      <c r="C1499" s="435" t="e">
        <f>IF('合并资产负债表 '!L24=0,"-",TEXT(ABS('合并资产负债表 '!L24),"#,##0.00"))</f>
        <v>#DIV/0!</v>
      </c>
    </row>
    <row r="1500" spans="1:3">
      <c r="A1500" s="432" t="s">
        <v>1912</v>
      </c>
      <c r="B1500" s="432" t="e">
        <f t="shared" si="23"/>
        <v>#DIV/0!</v>
      </c>
      <c r="C1500" s="435" t="e">
        <f>IF('合并资产负债表 '!L25=0,"-",TEXT(ABS('合并资产负债表 '!L25),"#,##0.00"))</f>
        <v>#DIV/0!</v>
      </c>
    </row>
    <row r="1501" spans="1:3">
      <c r="A1501" s="432" t="s">
        <v>1913</v>
      </c>
      <c r="B1501" s="432" t="e">
        <f t="shared" si="23"/>
        <v>#DIV/0!</v>
      </c>
      <c r="C1501" s="435" t="e">
        <f>IF('合并资产负债表 '!L26=0,"-",TEXT(ABS('合并资产负债表 '!L26),"#,##0.00"))</f>
        <v>#DIV/0!</v>
      </c>
    </row>
    <row r="1502" spans="1:3">
      <c r="A1502" s="432" t="s">
        <v>1914</v>
      </c>
      <c r="B1502" s="432" t="e">
        <f t="shared" si="23"/>
        <v>#DIV/0!</v>
      </c>
      <c r="C1502" s="435" t="e">
        <f>IF('合并资产负债表 '!L27=0,"-",TEXT(ABS('合并资产负债表 '!L27),"#,##0.00"))</f>
        <v>#DIV/0!</v>
      </c>
    </row>
    <row r="1503" spans="1:3">
      <c r="A1503" s="432" t="s">
        <v>1915</v>
      </c>
      <c r="B1503" s="432" t="e">
        <f t="shared" si="23"/>
        <v>#DIV/0!</v>
      </c>
      <c r="C1503" s="435" t="e">
        <f>IF('合并资产负债表 '!L28=0,"-",TEXT(ABS('合并资产负债表 '!L28),"#,##0.00"))</f>
        <v>#DIV/0!</v>
      </c>
    </row>
    <row r="1504" spans="1:3">
      <c r="A1504" s="432" t="s">
        <v>1916</v>
      </c>
      <c r="B1504" s="432" t="e">
        <f t="shared" si="23"/>
        <v>#DIV/0!</v>
      </c>
      <c r="C1504" s="435" t="e">
        <f>IF('合并资产负债表 '!L29=0,"-",TEXT(ABS('合并资产负债表 '!L29),"#,##0.00"))</f>
        <v>#DIV/0!</v>
      </c>
    </row>
    <row r="1505" spans="1:3">
      <c r="A1505" s="432" t="s">
        <v>1917</v>
      </c>
      <c r="B1505" s="432" t="e">
        <f t="shared" si="23"/>
        <v>#DIV/0!</v>
      </c>
      <c r="C1505" s="435" t="e">
        <f>IF('合并资产负债表 '!L30=0,"-",TEXT(ABS('合并资产负债表 '!L30),"#,##0.00"))</f>
        <v>#DIV/0!</v>
      </c>
    </row>
    <row r="1506" spans="1:3">
      <c r="A1506" s="432" t="s">
        <v>1918</v>
      </c>
      <c r="B1506" s="432" t="e">
        <f t="shared" si="23"/>
        <v>#DIV/0!</v>
      </c>
      <c r="C1506" s="435" t="e">
        <f>IF('合并资产负债表 '!L31=0,"-",TEXT(ABS('合并资产负债表 '!L31),"#,##0.00"))</f>
        <v>#DIV/0!</v>
      </c>
    </row>
    <row r="1507" spans="1:3">
      <c r="A1507" s="432" t="s">
        <v>1919</v>
      </c>
      <c r="B1507" s="432" t="e">
        <f t="shared" si="23"/>
        <v>#DIV/0!</v>
      </c>
      <c r="C1507" s="435" t="e">
        <f>IF('合并资产负债表 '!L32=0,"-",TEXT(ABS('合并资产负债表 '!L32),"#,##0.00"))</f>
        <v>#DIV/0!</v>
      </c>
    </row>
    <row r="1508" spans="1:3">
      <c r="A1508" s="432" t="s">
        <v>1920</v>
      </c>
      <c r="B1508" s="432" t="e">
        <f t="shared" si="23"/>
        <v>#DIV/0!</v>
      </c>
      <c r="C1508" s="435" t="e">
        <f>IF('合并资产负债表 '!L33=0,"-",TEXT(ABS('合并资产负债表 '!L33),"#,##0.00"))</f>
        <v>#DIV/0!</v>
      </c>
    </row>
    <row r="1509" spans="1:3">
      <c r="A1509" s="432" t="s">
        <v>1921</v>
      </c>
      <c r="B1509" s="432" t="e">
        <f t="shared" si="23"/>
        <v>#DIV/0!</v>
      </c>
      <c r="C1509" s="435" t="e">
        <f>IF('合并资产负债表 '!L34=0,"-",TEXT(ABS('合并资产负债表 '!L34),"#,##0.00"))</f>
        <v>#DIV/0!</v>
      </c>
    </row>
    <row r="1510" spans="1:3">
      <c r="A1510" s="432" t="s">
        <v>1922</v>
      </c>
      <c r="B1510" s="432" t="e">
        <f t="shared" si="23"/>
        <v>#DIV/0!</v>
      </c>
      <c r="C1510" s="435" t="e">
        <f>IF('合并资产负债表 '!L35=0,"-",TEXT(ABS('合并资产负债表 '!L35),"#,##0.00"))</f>
        <v>#DIV/0!</v>
      </c>
    </row>
    <row r="1511" spans="1:3">
      <c r="A1511" s="432" t="s">
        <v>1923</v>
      </c>
      <c r="B1511" s="432" t="e">
        <f t="shared" si="23"/>
        <v>#DIV/0!</v>
      </c>
      <c r="C1511" s="435" t="e">
        <f>IF('合并资产负债表 '!L36=0,"-",TEXT(ABS('合并资产负债表 '!L36),"#,##0.00"))</f>
        <v>#DIV/0!</v>
      </c>
    </row>
    <row r="1512" spans="1:3">
      <c r="A1512" s="432" t="s">
        <v>1952</v>
      </c>
      <c r="B1512" s="432" t="e">
        <f t="shared" si="23"/>
        <v>#DIV/0!</v>
      </c>
      <c r="C1512" s="435" t="e">
        <f>IF('合并资产负债表 '!M5=0,"-",TEXT(ABS('合并资产负债表 '!M5),"#,##0.00"))</f>
        <v>#DIV/0!</v>
      </c>
    </row>
    <row r="1513" spans="1:3">
      <c r="A1513" s="432" t="s">
        <v>1953</v>
      </c>
      <c r="B1513" s="432" t="e">
        <f t="shared" si="23"/>
        <v>#DIV/0!</v>
      </c>
      <c r="C1513" s="435" t="e">
        <f>IF('合并资产负债表 '!M6=0,"-",TEXT(ABS('合并资产负债表 '!M6),"#,##0.00"))</f>
        <v>#DIV/0!</v>
      </c>
    </row>
    <row r="1514" spans="1:3">
      <c r="A1514" s="432" t="s">
        <v>1954</v>
      </c>
      <c r="B1514" s="432" t="e">
        <f t="shared" si="23"/>
        <v>#DIV/0!</v>
      </c>
      <c r="C1514" s="435" t="e">
        <f>IF('合并资产负债表 '!M7=0,"-",TEXT(ABS('合并资产负债表 '!M7),"#,##0.00"))</f>
        <v>#DIV/0!</v>
      </c>
    </row>
    <row r="1515" spans="1:3">
      <c r="A1515" s="432" t="s">
        <v>1955</v>
      </c>
      <c r="B1515" s="432" t="e">
        <f t="shared" si="23"/>
        <v>#DIV/0!</v>
      </c>
      <c r="C1515" s="435" t="e">
        <f>IF('合并资产负债表 '!M8=0,"-",TEXT(ABS('合并资产负债表 '!M8),"#,##0.00"))</f>
        <v>#DIV/0!</v>
      </c>
    </row>
    <row r="1516" spans="1:3">
      <c r="A1516" s="432" t="s">
        <v>1956</v>
      </c>
      <c r="B1516" s="432" t="e">
        <f t="shared" si="23"/>
        <v>#DIV/0!</v>
      </c>
      <c r="C1516" s="435" t="e">
        <f>IF('合并资产负债表 '!M9=0,"-",TEXT(ABS('合并资产负债表 '!M9),"#,##0.00"))</f>
        <v>#DIV/0!</v>
      </c>
    </row>
    <row r="1517" spans="1:3">
      <c r="A1517" s="432" t="s">
        <v>1957</v>
      </c>
      <c r="B1517" s="432" t="e">
        <f t="shared" si="23"/>
        <v>#DIV/0!</v>
      </c>
      <c r="C1517" s="435" t="e">
        <f>IF('合并资产负债表 '!M10=0,"-",TEXT(ABS('合并资产负债表 '!M10),"#,##0.00"))</f>
        <v>#DIV/0!</v>
      </c>
    </row>
    <row r="1518" spans="1:3">
      <c r="A1518" s="432" t="s">
        <v>1958</v>
      </c>
      <c r="B1518" s="432" t="e">
        <f t="shared" si="23"/>
        <v>#DIV/0!</v>
      </c>
      <c r="C1518" s="435" t="e">
        <f>IF('合并资产负债表 '!M11=0,"-",TEXT(ABS('合并资产负债表 '!M11),"#,##0.00"))</f>
        <v>#DIV/0!</v>
      </c>
    </row>
    <row r="1519" spans="1:3">
      <c r="A1519" s="432" t="s">
        <v>1959</v>
      </c>
      <c r="B1519" s="432" t="e">
        <f t="shared" si="23"/>
        <v>#DIV/0!</v>
      </c>
      <c r="C1519" s="435" t="e">
        <f>IF('合并资产负债表 '!M12=0,"-",TEXT(ABS('合并资产负债表 '!M12),"#,##0.00"))</f>
        <v>#DIV/0!</v>
      </c>
    </row>
    <row r="1520" spans="1:3">
      <c r="A1520" s="432" t="s">
        <v>1960</v>
      </c>
      <c r="B1520" s="432" t="e">
        <f t="shared" si="23"/>
        <v>#DIV/0!</v>
      </c>
      <c r="C1520" s="435" t="e">
        <f>IF('合并资产负债表 '!M13=0,"-",TEXT(ABS('合并资产负债表 '!M13),"#,##0.00"))</f>
        <v>#DIV/0!</v>
      </c>
    </row>
    <row r="1521" spans="1:3">
      <c r="A1521" s="432" t="s">
        <v>1961</v>
      </c>
      <c r="B1521" s="432" t="e">
        <f t="shared" si="23"/>
        <v>#DIV/0!</v>
      </c>
      <c r="C1521" s="435" t="e">
        <f>IF('合并资产负债表 '!M14=0,"-",TEXT(ABS('合并资产负债表 '!M14),"#,##0.00"))</f>
        <v>#DIV/0!</v>
      </c>
    </row>
    <row r="1522" spans="1:3">
      <c r="A1522" s="432" t="s">
        <v>1962</v>
      </c>
      <c r="B1522" s="432" t="e">
        <f t="shared" si="23"/>
        <v>#DIV/0!</v>
      </c>
      <c r="C1522" s="435" t="e">
        <f>IF('合并资产负债表 '!M15=0,"-",TEXT(ABS('合并资产负债表 '!M15),"#,##0.00"))</f>
        <v>#DIV/0!</v>
      </c>
    </row>
    <row r="1523" spans="1:3">
      <c r="A1523" s="432" t="s">
        <v>1963</v>
      </c>
      <c r="B1523" s="432" t="e">
        <f t="shared" si="23"/>
        <v>#DIV/0!</v>
      </c>
      <c r="C1523" s="435" t="e">
        <f>IF('合并资产负债表 '!M16=0,"-",TEXT(ABS('合并资产负债表 '!M16),"#,##0.00"))</f>
        <v>#DIV/0!</v>
      </c>
    </row>
    <row r="1524" spans="1:3">
      <c r="A1524" s="432" t="s">
        <v>1964</v>
      </c>
      <c r="B1524" s="432" t="e">
        <f t="shared" si="23"/>
        <v>#DIV/0!</v>
      </c>
      <c r="C1524" s="435" t="e">
        <f>IF('合并资产负债表 '!M17=0,"-",TEXT(ABS('合并资产负债表 '!M17),"#,##0.00"))</f>
        <v>#DIV/0!</v>
      </c>
    </row>
    <row r="1525" spans="1:3">
      <c r="A1525" s="432" t="s">
        <v>1965</v>
      </c>
      <c r="B1525" s="432" t="e">
        <f t="shared" si="23"/>
        <v>#DIV/0!</v>
      </c>
      <c r="C1525" s="435" t="e">
        <f>IF('合并资产负债表 '!M18=0,"-",TEXT(ABS('合并资产负债表 '!M18),"#,##0.00"))</f>
        <v>#DIV/0!</v>
      </c>
    </row>
    <row r="1526" spans="1:3">
      <c r="A1526" s="432" t="s">
        <v>1966</v>
      </c>
      <c r="B1526" s="432" t="e">
        <f t="shared" si="23"/>
        <v>#DIV/0!</v>
      </c>
      <c r="C1526" s="435" t="e">
        <f>IF('合并资产负债表 '!M19=0,"-",TEXT(ABS('合并资产负债表 '!M19),"#,##0.00"))</f>
        <v>#DIV/0!</v>
      </c>
    </row>
    <row r="1527" spans="1:3">
      <c r="A1527" s="432" t="s">
        <v>1967</v>
      </c>
      <c r="B1527" s="432" t="e">
        <f t="shared" si="23"/>
        <v>#DIV/0!</v>
      </c>
      <c r="C1527" s="435" t="e">
        <f>IF('合并资产负债表 '!M21=0,"-",TEXT(ABS('合并资产负债表 '!M21),"#,##0.00"))</f>
        <v>#DIV/0!</v>
      </c>
    </row>
    <row r="1528" spans="1:3">
      <c r="A1528" s="432" t="s">
        <v>1968</v>
      </c>
      <c r="B1528" s="432" t="e">
        <f t="shared" si="23"/>
        <v>#DIV/0!</v>
      </c>
      <c r="C1528" s="435" t="e">
        <f>IF('合并资产负债表 '!M22=0,"-",TEXT(ABS('合并资产负债表 '!M22),"#,##0.00"))</f>
        <v>#DIV/0!</v>
      </c>
    </row>
    <row r="1529" spans="1:3">
      <c r="A1529" s="432" t="s">
        <v>1969</v>
      </c>
      <c r="B1529" s="432" t="e">
        <f t="shared" si="23"/>
        <v>#DIV/0!</v>
      </c>
      <c r="C1529" s="435" t="e">
        <f>IF('合并资产负债表 '!M23=0,"-",TEXT(ABS('合并资产负债表 '!M23),"#,##0.00"))</f>
        <v>#DIV/0!</v>
      </c>
    </row>
    <row r="1530" spans="1:3">
      <c r="A1530" s="432" t="s">
        <v>1970</v>
      </c>
      <c r="B1530" s="432" t="e">
        <f t="shared" si="23"/>
        <v>#DIV/0!</v>
      </c>
      <c r="C1530" s="435" t="e">
        <f>IF('合并资产负债表 '!M24=0,"-",TEXT(ABS('合并资产负债表 '!M24),"#,##0.00"))</f>
        <v>#DIV/0!</v>
      </c>
    </row>
    <row r="1531" spans="1:3">
      <c r="A1531" s="432" t="s">
        <v>1971</v>
      </c>
      <c r="B1531" s="432" t="e">
        <f t="shared" si="23"/>
        <v>#DIV/0!</v>
      </c>
      <c r="C1531" s="435" t="e">
        <f>IF('合并资产负债表 '!M25=0,"-",TEXT(ABS('合并资产负债表 '!M25),"#,##0.00"))</f>
        <v>#DIV/0!</v>
      </c>
    </row>
    <row r="1532" spans="1:3">
      <c r="A1532" s="432" t="s">
        <v>1972</v>
      </c>
      <c r="B1532" s="432" t="e">
        <f t="shared" si="23"/>
        <v>#DIV/0!</v>
      </c>
      <c r="C1532" s="435" t="e">
        <f>IF('合并资产负债表 '!M26=0,"-",TEXT(ABS('合并资产负债表 '!M26),"#,##0.00"))</f>
        <v>#DIV/0!</v>
      </c>
    </row>
    <row r="1533" spans="1:3">
      <c r="A1533" s="432" t="s">
        <v>1973</v>
      </c>
      <c r="B1533" s="432" t="e">
        <f t="shared" si="23"/>
        <v>#DIV/0!</v>
      </c>
      <c r="C1533" s="435" t="e">
        <f>IF('合并资产负债表 '!M27=0,"-",TEXT(ABS('合并资产负债表 '!M27),"#,##0.00"))</f>
        <v>#DIV/0!</v>
      </c>
    </row>
    <row r="1534" spans="1:3">
      <c r="A1534" s="432" t="s">
        <v>1974</v>
      </c>
      <c r="B1534" s="432" t="e">
        <f t="shared" si="23"/>
        <v>#DIV/0!</v>
      </c>
      <c r="C1534" s="435" t="e">
        <f>IF('合并资产负债表 '!M28=0,"-",TEXT(ABS('合并资产负债表 '!M28),"#,##0.00"))</f>
        <v>#DIV/0!</v>
      </c>
    </row>
    <row r="1535" spans="1:3">
      <c r="A1535" s="432" t="s">
        <v>1975</v>
      </c>
      <c r="B1535" s="432" t="e">
        <f t="shared" si="23"/>
        <v>#DIV/0!</v>
      </c>
      <c r="C1535" s="435" t="e">
        <f>IF('合并资产负债表 '!M29=0,"-",TEXT(ABS('合并资产负债表 '!M29),"#,##0.00"))</f>
        <v>#DIV/0!</v>
      </c>
    </row>
    <row r="1536" spans="1:3">
      <c r="A1536" s="432" t="s">
        <v>1976</v>
      </c>
      <c r="B1536" s="432" t="e">
        <f t="shared" si="23"/>
        <v>#DIV/0!</v>
      </c>
      <c r="C1536" s="435" t="e">
        <f>IF('合并资产负债表 '!M30=0,"-",TEXT(ABS('合并资产负债表 '!M30),"#,##0.00"))</f>
        <v>#DIV/0!</v>
      </c>
    </row>
    <row r="1537" spans="1:5">
      <c r="A1537" s="432" t="s">
        <v>1977</v>
      </c>
      <c r="B1537" s="432" t="e">
        <f t="shared" si="23"/>
        <v>#DIV/0!</v>
      </c>
      <c r="C1537" s="435" t="e">
        <f>IF('合并资产负债表 '!M31=0,"-",TEXT(ABS('合并资产负债表 '!M31),"#,##0.00"))</f>
        <v>#DIV/0!</v>
      </c>
    </row>
    <row r="1538" spans="1:5">
      <c r="A1538" s="432" t="s">
        <v>1978</v>
      </c>
      <c r="B1538" s="432" t="e">
        <f t="shared" si="23"/>
        <v>#DIV/0!</v>
      </c>
      <c r="C1538" s="435" t="e">
        <f>IF('合并资产负债表 '!M32=0,"-",TEXT(ABS('合并资产负债表 '!M32),"#,##0.00"))</f>
        <v>#DIV/0!</v>
      </c>
    </row>
    <row r="1539" spans="1:5">
      <c r="A1539" s="432" t="s">
        <v>1979</v>
      </c>
      <c r="B1539" s="432" t="e">
        <f t="shared" si="23"/>
        <v>#DIV/0!</v>
      </c>
      <c r="C1539" s="435" t="e">
        <f>IF('合并资产负债表 '!M33=0,"-",TEXT(ABS('合并资产负债表 '!M33),"#,##0.00"))</f>
        <v>#DIV/0!</v>
      </c>
    </row>
    <row r="1540" spans="1:5">
      <c r="A1540" s="432" t="s">
        <v>1980</v>
      </c>
      <c r="B1540" s="432" t="e">
        <f t="shared" si="23"/>
        <v>#DIV/0!</v>
      </c>
      <c r="C1540" s="435" t="e">
        <f>IF('合并资产负债表 '!M34=0,"-",TEXT(ABS('合并资产负债表 '!M34),"#,##0.00"))</f>
        <v>#DIV/0!</v>
      </c>
    </row>
    <row r="1541" spans="1:5">
      <c r="A1541" s="432" t="s">
        <v>1981</v>
      </c>
      <c r="B1541" s="432" t="e">
        <f t="shared" si="23"/>
        <v>#DIV/0!</v>
      </c>
      <c r="C1541" s="435" t="e">
        <f>IF('合并资产负债表 '!M35=0,"-",TEXT(ABS('合并资产负债表 '!M35),"#,##0.00"))</f>
        <v>#DIV/0!</v>
      </c>
    </row>
    <row r="1542" spans="1:5">
      <c r="A1542" s="432" t="s">
        <v>1982</v>
      </c>
      <c r="B1542" s="432" t="e">
        <f t="shared" si="23"/>
        <v>#DIV/0!</v>
      </c>
      <c r="C1542" s="435" t="e">
        <f>IF('合并资产负债表 '!M36=0,"-",TEXT(ABS('合并资产负债表 '!M36),"#,##0.00"))</f>
        <v>#DIV/0!</v>
      </c>
    </row>
    <row r="1543" spans="1:5">
      <c r="A1543" s="432" t="s">
        <v>2042</v>
      </c>
      <c r="B1543" s="432" t="e">
        <f t="shared" si="23"/>
        <v>#DIV/0!</v>
      </c>
      <c r="C1543" s="435" t="e">
        <f>IF('合并资产负债表 '!N39=0,"-",TEXT(ABS('合并资产负债表 '!N39),"#,##0.00"))</f>
        <v>#DIV/0!</v>
      </c>
      <c r="E1543" s="436" t="s">
        <v>2386</v>
      </c>
    </row>
    <row r="1544" spans="1:5">
      <c r="A1544" s="432" t="s">
        <v>2043</v>
      </c>
      <c r="B1544" s="432" t="e">
        <f t="shared" ref="B1544:B1607" si="24">TRIM(C1544)</f>
        <v>#DIV/0!</v>
      </c>
      <c r="C1544" s="435" t="e">
        <f>IF('合并资产负债表 '!N40=0,"-",TEXT(ABS('合并资产负债表 '!N40),"#,##0.00"))</f>
        <v>#DIV/0!</v>
      </c>
    </row>
    <row r="1545" spans="1:5">
      <c r="A1545" s="432" t="s">
        <v>2044</v>
      </c>
      <c r="B1545" s="432" t="e">
        <f t="shared" si="24"/>
        <v>#DIV/0!</v>
      </c>
      <c r="C1545" s="435" t="e">
        <f>IF('合并资产负债表 '!N41=0,"-",TEXT(ABS('合并资产负债表 '!N41),"#,##0.00"))</f>
        <v>#DIV/0!</v>
      </c>
    </row>
    <row r="1546" spans="1:5">
      <c r="A1546" s="432" t="s">
        <v>2045</v>
      </c>
      <c r="B1546" s="432" t="e">
        <f t="shared" si="24"/>
        <v>#DIV/0!</v>
      </c>
      <c r="C1546" s="435" t="e">
        <f>IF('合并资产负债表 '!N42=0,"-",TEXT(ABS('合并资产负债表 '!N42),"#,##0.00"))</f>
        <v>#DIV/0!</v>
      </c>
    </row>
    <row r="1547" spans="1:5">
      <c r="A1547" s="432" t="s">
        <v>2046</v>
      </c>
      <c r="B1547" s="432" t="e">
        <f t="shared" si="24"/>
        <v>#DIV/0!</v>
      </c>
      <c r="C1547" s="435" t="e">
        <f>IF('合并资产负债表 '!N43=0,"-",TEXT(ABS('合并资产负债表 '!N43),"#,##0.00"))</f>
        <v>#DIV/0!</v>
      </c>
    </row>
    <row r="1548" spans="1:5">
      <c r="A1548" s="432" t="s">
        <v>2047</v>
      </c>
      <c r="B1548" s="432" t="e">
        <f t="shared" si="24"/>
        <v>#DIV/0!</v>
      </c>
      <c r="C1548" s="435" t="e">
        <f>IF('合并资产负债表 '!N44=0,"-",TEXT(ABS('合并资产负债表 '!N44),"#,##0.00"))</f>
        <v>#DIV/0!</v>
      </c>
    </row>
    <row r="1549" spans="1:5">
      <c r="A1549" s="432" t="s">
        <v>2048</v>
      </c>
      <c r="B1549" s="432" t="e">
        <f t="shared" si="24"/>
        <v>#DIV/0!</v>
      </c>
      <c r="C1549" s="435" t="e">
        <f>IF('合并资产负债表 '!N45=0,"-",TEXT(ABS('合并资产负债表 '!N45),"#,##0.00"))</f>
        <v>#DIV/0!</v>
      </c>
    </row>
    <row r="1550" spans="1:5">
      <c r="A1550" s="432" t="s">
        <v>2049</v>
      </c>
      <c r="B1550" s="432" t="e">
        <f t="shared" si="24"/>
        <v>#DIV/0!</v>
      </c>
      <c r="C1550" s="435" t="e">
        <f>IF('合并资产负债表 '!N46=0,"-",TEXT(ABS('合并资产负债表 '!N46),"#,##0.00"))</f>
        <v>#DIV/0!</v>
      </c>
    </row>
    <row r="1551" spans="1:5">
      <c r="A1551" s="432" t="s">
        <v>2050</v>
      </c>
      <c r="B1551" s="432" t="e">
        <f t="shared" si="24"/>
        <v>#DIV/0!</v>
      </c>
      <c r="C1551" s="435" t="e">
        <f>IF('合并资产负债表 '!N47=0,"-",TEXT(ABS('合并资产负债表 '!N47),"#,##0.00"))</f>
        <v>#DIV/0!</v>
      </c>
    </row>
    <row r="1552" spans="1:5">
      <c r="A1552" s="432" t="s">
        <v>2051</v>
      </c>
      <c r="B1552" s="432" t="e">
        <f t="shared" si="24"/>
        <v>#DIV/0!</v>
      </c>
      <c r="C1552" s="435" t="e">
        <f>IF('合并资产负债表 '!N48=0,"-",TEXT(ABS('合并资产负债表 '!N48),"#,##0.00"))</f>
        <v>#DIV/0!</v>
      </c>
    </row>
    <row r="1553" spans="1:3">
      <c r="A1553" s="432" t="s">
        <v>2052</v>
      </c>
      <c r="B1553" s="432" t="e">
        <f t="shared" si="24"/>
        <v>#DIV/0!</v>
      </c>
      <c r="C1553" s="435" t="e">
        <f>IF('合并资产负债表 '!N49=0,"-",TEXT(ABS('合并资产负债表 '!N49),"#,##0.00"))</f>
        <v>#DIV/0!</v>
      </c>
    </row>
    <row r="1554" spans="1:3">
      <c r="A1554" s="432" t="s">
        <v>2053</v>
      </c>
      <c r="B1554" s="432" t="e">
        <f t="shared" si="24"/>
        <v>#DIV/0!</v>
      </c>
      <c r="C1554" s="435" t="e">
        <f>IF('合并资产负债表 '!N50=0,"-",TEXT(ABS('合并资产负债表 '!N50),"#,##0.00"))</f>
        <v>#DIV/0!</v>
      </c>
    </row>
    <row r="1555" spans="1:3">
      <c r="A1555" s="432" t="s">
        <v>2054</v>
      </c>
      <c r="B1555" s="432" t="e">
        <f t="shared" si="24"/>
        <v>#DIV/0!</v>
      </c>
      <c r="C1555" s="435" t="e">
        <f>IF('合并资产负债表 '!N51=0,"-",TEXT(ABS('合并资产负债表 '!N51),"#,##0.00"))</f>
        <v>#DIV/0!</v>
      </c>
    </row>
    <row r="1556" spans="1:3">
      <c r="A1556" s="432" t="s">
        <v>2055</v>
      </c>
      <c r="B1556" s="432" t="e">
        <f t="shared" si="24"/>
        <v>#DIV/0!</v>
      </c>
      <c r="C1556" s="435" t="e">
        <f>IF('合并资产负债表 '!N52=0,"-",TEXT(ABS('合并资产负债表 '!N52),"#,##0.00"))</f>
        <v>#DIV/0!</v>
      </c>
    </row>
    <row r="1557" spans="1:3">
      <c r="A1557" s="432" t="s">
        <v>2056</v>
      </c>
      <c r="B1557" s="432" t="e">
        <f t="shared" si="24"/>
        <v>#DIV/0!</v>
      </c>
      <c r="C1557" s="435" t="e">
        <f>IF('合并资产负债表 '!N53=0,"-",TEXT(ABS('合并资产负债表 '!N53),"#,##0.00"))</f>
        <v>#DIV/0!</v>
      </c>
    </row>
    <row r="1558" spans="1:3">
      <c r="A1558" s="432" t="s">
        <v>2057</v>
      </c>
      <c r="B1558" s="432" t="e">
        <f t="shared" si="24"/>
        <v>#DIV/0!</v>
      </c>
      <c r="C1558" s="435" t="e">
        <f>IF('合并资产负债表 '!N54=0,"-",TEXT(ABS('合并资产负债表 '!N54),"#,##0.00"))</f>
        <v>#DIV/0!</v>
      </c>
    </row>
    <row r="1559" spans="1:3">
      <c r="A1559" s="432" t="s">
        <v>2058</v>
      </c>
      <c r="B1559" s="432" t="e">
        <f t="shared" si="24"/>
        <v>#DIV/0!</v>
      </c>
      <c r="C1559" s="435" t="e">
        <f>IF('合并资产负债表 '!N56=0,"-",TEXT(ABS('合并资产负债表 '!N56),"#,##0.00"))</f>
        <v>#DIV/0!</v>
      </c>
    </row>
    <row r="1560" spans="1:3">
      <c r="A1560" s="432" t="s">
        <v>2059</v>
      </c>
      <c r="B1560" s="432" t="e">
        <f t="shared" si="24"/>
        <v>#DIV/0!</v>
      </c>
      <c r="C1560" s="435" t="e">
        <f>IF('合并资产负债表 '!N57=0,"-",TEXT(ABS('合并资产负债表 '!N57),"#,##0.00"))</f>
        <v>#DIV/0!</v>
      </c>
    </row>
    <row r="1561" spans="1:3">
      <c r="A1561" s="432" t="s">
        <v>2060</v>
      </c>
      <c r="B1561" s="432" t="e">
        <f t="shared" si="24"/>
        <v>#DIV/0!</v>
      </c>
      <c r="C1561" s="435" t="e">
        <f>IF('合并资产负债表 '!N58=0,"-",TEXT(ABS('合并资产负债表 '!N58),"#,##0.00"))</f>
        <v>#DIV/0!</v>
      </c>
    </row>
    <row r="1562" spans="1:3">
      <c r="A1562" s="432" t="s">
        <v>2061</v>
      </c>
      <c r="B1562" s="432" t="e">
        <f t="shared" si="24"/>
        <v>#DIV/0!</v>
      </c>
      <c r="C1562" s="435" t="e">
        <f>IF('合并资产负债表 '!N59=0,"-",TEXT(ABS('合并资产负债表 '!N59),"#,##0.00"))</f>
        <v>#DIV/0!</v>
      </c>
    </row>
    <row r="1563" spans="1:3">
      <c r="A1563" s="432" t="s">
        <v>2062</v>
      </c>
      <c r="B1563" s="432" t="e">
        <f t="shared" si="24"/>
        <v>#DIV/0!</v>
      </c>
      <c r="C1563" s="435" t="e">
        <f>IF('合并资产负债表 '!N60=0,"-",TEXT(ABS('合并资产负债表 '!N60),"#,##0.00"))</f>
        <v>#DIV/0!</v>
      </c>
    </row>
    <row r="1564" spans="1:3">
      <c r="A1564" s="432" t="s">
        <v>2063</v>
      </c>
      <c r="B1564" s="432" t="e">
        <f t="shared" si="24"/>
        <v>#DIV/0!</v>
      </c>
      <c r="C1564" s="435" t="e">
        <f>IF('合并资产负债表 '!N61=0,"-",TEXT(ABS('合并资产负债表 '!N61),"#,##0.00"))</f>
        <v>#DIV/0!</v>
      </c>
    </row>
    <row r="1565" spans="1:3">
      <c r="A1565" s="432" t="s">
        <v>2064</v>
      </c>
      <c r="B1565" s="432" t="e">
        <f t="shared" si="24"/>
        <v>#DIV/0!</v>
      </c>
      <c r="C1565" s="435" t="e">
        <f>IF('合并资产负债表 '!N62=0,"-",TEXT(ABS('合并资产负债表 '!N62),"#,##0.00"))</f>
        <v>#DIV/0!</v>
      </c>
    </row>
    <row r="1566" spans="1:3">
      <c r="A1566" s="432" t="s">
        <v>2065</v>
      </c>
      <c r="B1566" s="432" t="e">
        <f t="shared" si="24"/>
        <v>#DIV/0!</v>
      </c>
      <c r="C1566" s="435" t="e">
        <f>IF('合并资产负债表 '!N63=0,"-",TEXT(ABS('合并资产负债表 '!N63),"#,##0.00"))</f>
        <v>#DIV/0!</v>
      </c>
    </row>
    <row r="1567" spans="1:3">
      <c r="A1567" s="432" t="s">
        <v>2066</v>
      </c>
      <c r="B1567" s="432" t="e">
        <f t="shared" si="24"/>
        <v>#DIV/0!</v>
      </c>
      <c r="C1567" s="435" t="e">
        <f>IF('合并资产负债表 '!N64=0,"-",TEXT(ABS('合并资产负债表 '!N64),"#,##0.00"))</f>
        <v>#DIV/0!</v>
      </c>
    </row>
    <row r="1568" spans="1:3">
      <c r="A1568" s="432" t="s">
        <v>2067</v>
      </c>
      <c r="B1568" s="432" t="e">
        <f t="shared" si="24"/>
        <v>#DIV/0!</v>
      </c>
      <c r="C1568" s="435" t="e">
        <f>IF('合并资产负债表 '!N65=0,"-",TEXT(ABS('合并资产负债表 '!N65),"#,##0.00"))</f>
        <v>#DIV/0!</v>
      </c>
    </row>
    <row r="1569" spans="1:3">
      <c r="A1569" s="432" t="s">
        <v>2068</v>
      </c>
      <c r="B1569" s="432" t="e">
        <f t="shared" si="24"/>
        <v>#DIV/0!</v>
      </c>
      <c r="C1569" s="435" t="e">
        <f>IF('合并资产负债表 '!N66=0,"-",TEXT(ABS('合并资产负债表 '!N66),"#,##0.00"))</f>
        <v>#DIV/0!</v>
      </c>
    </row>
    <row r="1570" spans="1:3">
      <c r="A1570" s="432" t="s">
        <v>2069</v>
      </c>
      <c r="B1570" s="432" t="e">
        <f t="shared" si="24"/>
        <v>#DIV/0!</v>
      </c>
      <c r="C1570" s="435" t="e">
        <f>IF('合并资产负债表 '!N67=0,"-",TEXT(ABS('合并资产负债表 '!N67),"#,##0.00"))</f>
        <v>#DIV/0!</v>
      </c>
    </row>
    <row r="1571" spans="1:3">
      <c r="A1571" s="432" t="s">
        <v>2070</v>
      </c>
      <c r="B1571" s="432" t="e">
        <f t="shared" si="24"/>
        <v>#DIV/0!</v>
      </c>
      <c r="C1571" s="435" t="e">
        <f>IF('合并资产负债表 '!N68=0,"-",TEXT(ABS('合并资产负债表 '!N68),"#,##0.00"))</f>
        <v>#DIV/0!</v>
      </c>
    </row>
    <row r="1572" spans="1:3">
      <c r="A1572" s="432" t="s">
        <v>2101</v>
      </c>
      <c r="B1572" s="432" t="e">
        <f t="shared" si="24"/>
        <v>#DIV/0!</v>
      </c>
      <c r="C1572" s="435" t="e">
        <f>IF('合并资产负债表 '!O39=0,"-",TEXT(ABS('合并资产负债表 '!O39),"#,##0.00"))</f>
        <v>#DIV/0!</v>
      </c>
    </row>
    <row r="1573" spans="1:3">
      <c r="A1573" s="432" t="s">
        <v>2102</v>
      </c>
      <c r="B1573" s="432" t="e">
        <f t="shared" si="24"/>
        <v>#DIV/0!</v>
      </c>
      <c r="C1573" s="435" t="e">
        <f>IF('合并资产负债表 '!O40=0,"-",TEXT(ABS('合并资产负债表 '!O40),"#,##0.00"))</f>
        <v>#DIV/0!</v>
      </c>
    </row>
    <row r="1574" spans="1:3">
      <c r="A1574" s="432" t="s">
        <v>2103</v>
      </c>
      <c r="B1574" s="432" t="e">
        <f t="shared" si="24"/>
        <v>#DIV/0!</v>
      </c>
      <c r="C1574" s="435" t="e">
        <f>IF('合并资产负债表 '!O41=0,"-",TEXT(ABS('合并资产负债表 '!O41),"#,##0.00"))</f>
        <v>#DIV/0!</v>
      </c>
    </row>
    <row r="1575" spans="1:3">
      <c r="A1575" s="432" t="s">
        <v>2104</v>
      </c>
      <c r="B1575" s="432" t="e">
        <f t="shared" si="24"/>
        <v>#DIV/0!</v>
      </c>
      <c r="C1575" s="435" t="e">
        <f>IF('合并资产负债表 '!O42=0,"-",TEXT(ABS('合并资产负债表 '!O42),"#,##0.00"))</f>
        <v>#DIV/0!</v>
      </c>
    </row>
    <row r="1576" spans="1:3">
      <c r="A1576" s="432" t="s">
        <v>2105</v>
      </c>
      <c r="B1576" s="432" t="e">
        <f t="shared" si="24"/>
        <v>#DIV/0!</v>
      </c>
      <c r="C1576" s="435" t="e">
        <f>IF('合并资产负债表 '!O43=0,"-",TEXT(ABS('合并资产负债表 '!O43),"#,##0.00"))</f>
        <v>#DIV/0!</v>
      </c>
    </row>
    <row r="1577" spans="1:3">
      <c r="A1577" s="432" t="s">
        <v>2106</v>
      </c>
      <c r="B1577" s="432" t="e">
        <f t="shared" si="24"/>
        <v>#DIV/0!</v>
      </c>
      <c r="C1577" s="435" t="e">
        <f>IF('合并资产负债表 '!O44=0,"-",TEXT(ABS('合并资产负债表 '!O44),"#,##0.00"))</f>
        <v>#DIV/0!</v>
      </c>
    </row>
    <row r="1578" spans="1:3">
      <c r="A1578" s="432" t="s">
        <v>2107</v>
      </c>
      <c r="B1578" s="432" t="e">
        <f t="shared" si="24"/>
        <v>#DIV/0!</v>
      </c>
      <c r="C1578" s="435" t="e">
        <f>IF('合并资产负债表 '!O45=0,"-",TEXT(ABS('合并资产负债表 '!O45),"#,##0.00"))</f>
        <v>#DIV/0!</v>
      </c>
    </row>
    <row r="1579" spans="1:3">
      <c r="A1579" s="432" t="s">
        <v>2108</v>
      </c>
      <c r="B1579" s="432" t="e">
        <f t="shared" si="24"/>
        <v>#DIV/0!</v>
      </c>
      <c r="C1579" s="435" t="e">
        <f>IF('合并资产负债表 '!O46=0,"-",TEXT(ABS('合并资产负债表 '!O46),"#,##0.00"))</f>
        <v>#DIV/0!</v>
      </c>
    </row>
    <row r="1580" spans="1:3">
      <c r="A1580" s="432" t="s">
        <v>2109</v>
      </c>
      <c r="B1580" s="432" t="e">
        <f t="shared" si="24"/>
        <v>#DIV/0!</v>
      </c>
      <c r="C1580" s="435" t="e">
        <f>IF('合并资产负债表 '!O47=0,"-",TEXT(ABS('合并资产负债表 '!O47),"#,##0.00"))</f>
        <v>#DIV/0!</v>
      </c>
    </row>
    <row r="1581" spans="1:3">
      <c r="A1581" s="432" t="s">
        <v>2110</v>
      </c>
      <c r="B1581" s="432" t="e">
        <f t="shared" si="24"/>
        <v>#DIV/0!</v>
      </c>
      <c r="C1581" s="435" t="e">
        <f>IF('合并资产负债表 '!O48=0,"-",TEXT(ABS('合并资产负债表 '!O48),"#,##0.00"))</f>
        <v>#DIV/0!</v>
      </c>
    </row>
    <row r="1582" spans="1:3">
      <c r="A1582" s="432" t="s">
        <v>2111</v>
      </c>
      <c r="B1582" s="432" t="e">
        <f t="shared" si="24"/>
        <v>#DIV/0!</v>
      </c>
      <c r="C1582" s="435" t="e">
        <f>IF('合并资产负债表 '!O49=0,"-",TEXT(ABS('合并资产负债表 '!O49),"#,##0.00"))</f>
        <v>#DIV/0!</v>
      </c>
    </row>
    <row r="1583" spans="1:3">
      <c r="A1583" s="432" t="s">
        <v>2112</v>
      </c>
      <c r="B1583" s="432" t="e">
        <f t="shared" si="24"/>
        <v>#DIV/0!</v>
      </c>
      <c r="C1583" s="435" t="e">
        <f>IF('合并资产负债表 '!O50=0,"-",TEXT(ABS('合并资产负债表 '!O50),"#,##0.00"))</f>
        <v>#DIV/0!</v>
      </c>
    </row>
    <row r="1584" spans="1:3">
      <c r="A1584" s="432" t="s">
        <v>2113</v>
      </c>
      <c r="B1584" s="432" t="e">
        <f t="shared" si="24"/>
        <v>#DIV/0!</v>
      </c>
      <c r="C1584" s="435" t="e">
        <f>IF('合并资产负债表 '!O51=0,"-",TEXT(ABS('合并资产负债表 '!O51),"#,##0.00"))</f>
        <v>#DIV/0!</v>
      </c>
    </row>
    <row r="1585" spans="1:3">
      <c r="A1585" s="432" t="s">
        <v>2114</v>
      </c>
      <c r="B1585" s="432" t="e">
        <f t="shared" si="24"/>
        <v>#DIV/0!</v>
      </c>
      <c r="C1585" s="435" t="e">
        <f>IF('合并资产负债表 '!O52=0,"-",TEXT(ABS('合并资产负债表 '!O52),"#,##0.00"))</f>
        <v>#DIV/0!</v>
      </c>
    </row>
    <row r="1586" spans="1:3">
      <c r="A1586" s="432" t="s">
        <v>2115</v>
      </c>
      <c r="B1586" s="432" t="e">
        <f t="shared" si="24"/>
        <v>#DIV/0!</v>
      </c>
      <c r="C1586" s="435" t="e">
        <f>IF('合并资产负债表 '!O53=0,"-",TEXT(ABS('合并资产负债表 '!O53),"#,##0.00"))</f>
        <v>#DIV/0!</v>
      </c>
    </row>
    <row r="1587" spans="1:3">
      <c r="A1587" s="432" t="s">
        <v>2116</v>
      </c>
      <c r="B1587" s="432" t="e">
        <f t="shared" si="24"/>
        <v>#DIV/0!</v>
      </c>
      <c r="C1587" s="435" t="e">
        <f>IF('合并资产负债表 '!O54=0,"-",TEXT(ABS('合并资产负债表 '!O54),"#,##0.00"))</f>
        <v>#DIV/0!</v>
      </c>
    </row>
    <row r="1588" spans="1:3">
      <c r="A1588" s="432" t="s">
        <v>2117</v>
      </c>
      <c r="B1588" s="432" t="e">
        <f t="shared" si="24"/>
        <v>#DIV/0!</v>
      </c>
      <c r="C1588" s="435" t="e">
        <f>IF('合并资产负债表 '!O56=0,"-",TEXT(ABS('合并资产负债表 '!O56),"#,##0.00"))</f>
        <v>#DIV/0!</v>
      </c>
    </row>
    <row r="1589" spans="1:3">
      <c r="A1589" s="432" t="s">
        <v>2118</v>
      </c>
      <c r="B1589" s="432" t="e">
        <f t="shared" si="24"/>
        <v>#DIV/0!</v>
      </c>
      <c r="C1589" s="435" t="e">
        <f>IF('合并资产负债表 '!O57=0,"-",TEXT(ABS('合并资产负债表 '!O57),"#,##0.00"))</f>
        <v>#DIV/0!</v>
      </c>
    </row>
    <row r="1590" spans="1:3">
      <c r="A1590" s="432" t="s">
        <v>2119</v>
      </c>
      <c r="B1590" s="432" t="e">
        <f t="shared" si="24"/>
        <v>#DIV/0!</v>
      </c>
      <c r="C1590" s="435" t="e">
        <f>IF('合并资产负债表 '!O58=0,"-",TEXT(ABS('合并资产负债表 '!O58),"#,##0.00"))</f>
        <v>#DIV/0!</v>
      </c>
    </row>
    <row r="1591" spans="1:3">
      <c r="A1591" s="432" t="s">
        <v>2120</v>
      </c>
      <c r="B1591" s="432" t="e">
        <f t="shared" si="24"/>
        <v>#DIV/0!</v>
      </c>
      <c r="C1591" s="435" t="e">
        <f>IF('合并资产负债表 '!O59=0,"-",TEXT(ABS('合并资产负债表 '!O59),"#,##0.00"))</f>
        <v>#DIV/0!</v>
      </c>
    </row>
    <row r="1592" spans="1:3">
      <c r="A1592" s="432" t="s">
        <v>2121</v>
      </c>
      <c r="B1592" s="432" t="e">
        <f t="shared" si="24"/>
        <v>#DIV/0!</v>
      </c>
      <c r="C1592" s="435" t="e">
        <f>IF('合并资产负债表 '!O60=0,"-",TEXT(ABS('合并资产负债表 '!O60),"#,##0.00"))</f>
        <v>#DIV/0!</v>
      </c>
    </row>
    <row r="1593" spans="1:3">
      <c r="A1593" s="432" t="s">
        <v>2122</v>
      </c>
      <c r="B1593" s="432" t="e">
        <f t="shared" si="24"/>
        <v>#DIV/0!</v>
      </c>
      <c r="C1593" s="435" t="e">
        <f>IF('合并资产负债表 '!O61=0,"-",TEXT(ABS('合并资产负债表 '!O61),"#,##0.00"))</f>
        <v>#DIV/0!</v>
      </c>
    </row>
    <row r="1594" spans="1:3">
      <c r="A1594" s="432" t="s">
        <v>2123</v>
      </c>
      <c r="B1594" s="432" t="e">
        <f t="shared" si="24"/>
        <v>#DIV/0!</v>
      </c>
      <c r="C1594" s="435" t="e">
        <f>IF('合并资产负债表 '!O62=0,"-",TEXT(ABS('合并资产负债表 '!O62),"#,##0.00"))</f>
        <v>#DIV/0!</v>
      </c>
    </row>
    <row r="1595" spans="1:3">
      <c r="A1595" s="432" t="s">
        <v>2124</v>
      </c>
      <c r="B1595" s="432" t="e">
        <f t="shared" si="24"/>
        <v>#DIV/0!</v>
      </c>
      <c r="C1595" s="435" t="e">
        <f>IF('合并资产负债表 '!O63=0,"-",TEXT(ABS('合并资产负债表 '!O63),"#,##0.00"))</f>
        <v>#DIV/0!</v>
      </c>
    </row>
    <row r="1596" spans="1:3">
      <c r="A1596" s="432" t="s">
        <v>2125</v>
      </c>
      <c r="B1596" s="432" t="e">
        <f t="shared" si="24"/>
        <v>#DIV/0!</v>
      </c>
      <c r="C1596" s="435" t="e">
        <f>IF('合并资产负债表 '!O64=0,"-",TEXT(ABS('合并资产负债表 '!O64),"#,##0.00"))</f>
        <v>#DIV/0!</v>
      </c>
    </row>
    <row r="1597" spans="1:3">
      <c r="A1597" s="432" t="s">
        <v>2126</v>
      </c>
      <c r="B1597" s="432" t="e">
        <f t="shared" si="24"/>
        <v>#DIV/0!</v>
      </c>
      <c r="C1597" s="435" t="e">
        <f>IF('合并资产负债表 '!O65=0,"-",TEXT(ABS('合并资产负债表 '!O65),"#,##0.00"))</f>
        <v>#DIV/0!</v>
      </c>
    </row>
    <row r="1598" spans="1:3">
      <c r="A1598" s="432" t="s">
        <v>2127</v>
      </c>
      <c r="B1598" s="432" t="e">
        <f t="shared" si="24"/>
        <v>#DIV/0!</v>
      </c>
      <c r="C1598" s="435" t="e">
        <f>IF('合并资产负债表 '!O66=0,"-",TEXT(ABS('合并资产负债表 '!O66),"#,##0.00"))</f>
        <v>#DIV/0!</v>
      </c>
    </row>
    <row r="1599" spans="1:3">
      <c r="A1599" s="432" t="s">
        <v>2128</v>
      </c>
      <c r="B1599" s="432" t="e">
        <f t="shared" si="24"/>
        <v>#DIV/0!</v>
      </c>
      <c r="C1599" s="435" t="e">
        <f>IF('合并资产负债表 '!O67=0,"-",TEXT(ABS('合并资产负债表 '!O67),"#,##0.00"))</f>
        <v>#DIV/0!</v>
      </c>
    </row>
    <row r="1600" spans="1:3">
      <c r="A1600" s="432" t="s">
        <v>2129</v>
      </c>
      <c r="B1600" s="432" t="e">
        <f t="shared" si="24"/>
        <v>#DIV/0!</v>
      </c>
      <c r="C1600" s="435" t="e">
        <f>IF('合并资产负债表 '!O68=0,"-",TEXT(ABS('合并资产负债表 '!O68),"#,##0.00"))</f>
        <v>#DIV/0!</v>
      </c>
    </row>
    <row r="1601" spans="1:3">
      <c r="A1601" s="432" t="s">
        <v>2162</v>
      </c>
      <c r="B1601" s="432" t="e">
        <f t="shared" si="24"/>
        <v>#DIV/0!</v>
      </c>
      <c r="C1601" s="435" t="e">
        <f>IF('合并资产负债表 '!P39=0,"-",TEXT(ABS('合并资产负债表 '!P39),"#,##0.00"))</f>
        <v>#DIV/0!</v>
      </c>
    </row>
    <row r="1602" spans="1:3">
      <c r="A1602" s="432" t="s">
        <v>2163</v>
      </c>
      <c r="B1602" s="432" t="e">
        <f t="shared" si="24"/>
        <v>#DIV/0!</v>
      </c>
      <c r="C1602" s="435" t="e">
        <f>IF('合并资产负债表 '!P40=0,"-",TEXT(ABS('合并资产负债表 '!P40),"#,##0.00"))</f>
        <v>#DIV/0!</v>
      </c>
    </row>
    <row r="1603" spans="1:3">
      <c r="A1603" s="432" t="s">
        <v>2164</v>
      </c>
      <c r="B1603" s="432" t="e">
        <f t="shared" si="24"/>
        <v>#DIV/0!</v>
      </c>
      <c r="C1603" s="435" t="e">
        <f>IF('合并资产负债表 '!P41=0,"-",TEXT(ABS('合并资产负债表 '!P41),"#,##0.00"))</f>
        <v>#DIV/0!</v>
      </c>
    </row>
    <row r="1604" spans="1:3">
      <c r="A1604" s="432" t="s">
        <v>2165</v>
      </c>
      <c r="B1604" s="432" t="e">
        <f t="shared" si="24"/>
        <v>#DIV/0!</v>
      </c>
      <c r="C1604" s="435" t="e">
        <f>IF('合并资产负债表 '!P42=0,"-",TEXT(ABS('合并资产负债表 '!P42),"#,##0.00"))</f>
        <v>#DIV/0!</v>
      </c>
    </row>
    <row r="1605" spans="1:3">
      <c r="A1605" s="432" t="s">
        <v>2166</v>
      </c>
      <c r="B1605" s="432" t="e">
        <f t="shared" si="24"/>
        <v>#DIV/0!</v>
      </c>
      <c r="C1605" s="435" t="e">
        <f>IF('合并资产负债表 '!P43=0,"-",TEXT(ABS('合并资产负债表 '!P43),"#,##0.00"))</f>
        <v>#DIV/0!</v>
      </c>
    </row>
    <row r="1606" spans="1:3">
      <c r="A1606" s="432" t="s">
        <v>2167</v>
      </c>
      <c r="B1606" s="432" t="e">
        <f t="shared" si="24"/>
        <v>#DIV/0!</v>
      </c>
      <c r="C1606" s="435" t="e">
        <f>IF('合并资产负债表 '!P44=0,"-",TEXT(ABS('合并资产负债表 '!P44),"#,##0.00"))</f>
        <v>#DIV/0!</v>
      </c>
    </row>
    <row r="1607" spans="1:3">
      <c r="A1607" s="432" t="s">
        <v>2168</v>
      </c>
      <c r="B1607" s="432" t="e">
        <f t="shared" si="24"/>
        <v>#DIV/0!</v>
      </c>
      <c r="C1607" s="435" t="e">
        <f>IF('合并资产负债表 '!P45=0,"-",TEXT(ABS('合并资产负债表 '!P45),"#,##0.00"))</f>
        <v>#DIV/0!</v>
      </c>
    </row>
    <row r="1608" spans="1:3">
      <c r="A1608" s="432" t="s">
        <v>2169</v>
      </c>
      <c r="B1608" s="432" t="e">
        <f t="shared" ref="B1608:B1671" si="25">TRIM(C1608)</f>
        <v>#DIV/0!</v>
      </c>
      <c r="C1608" s="435" t="e">
        <f>IF('合并资产负债表 '!P46=0,"-",TEXT(ABS('合并资产负债表 '!P46),"#,##0.00"))</f>
        <v>#DIV/0!</v>
      </c>
    </row>
    <row r="1609" spans="1:3">
      <c r="A1609" s="432" t="s">
        <v>2170</v>
      </c>
      <c r="B1609" s="432" t="e">
        <f t="shared" si="25"/>
        <v>#DIV/0!</v>
      </c>
      <c r="C1609" s="435" t="e">
        <f>IF('合并资产负债表 '!P47=0,"-",TEXT(ABS('合并资产负债表 '!P47),"#,##0.00"))</f>
        <v>#DIV/0!</v>
      </c>
    </row>
    <row r="1610" spans="1:3">
      <c r="A1610" s="432" t="s">
        <v>2171</v>
      </c>
      <c r="B1610" s="432" t="e">
        <f t="shared" si="25"/>
        <v>#DIV/0!</v>
      </c>
      <c r="C1610" s="435" t="e">
        <f>IF('合并资产负债表 '!P48=0,"-",TEXT(ABS('合并资产负债表 '!P48),"#,##0.00"))</f>
        <v>#DIV/0!</v>
      </c>
    </row>
    <row r="1611" spans="1:3">
      <c r="A1611" s="432" t="s">
        <v>2172</v>
      </c>
      <c r="B1611" s="432" t="e">
        <f t="shared" si="25"/>
        <v>#DIV/0!</v>
      </c>
      <c r="C1611" s="435" t="e">
        <f>IF('合并资产负债表 '!P49=0,"-",TEXT(ABS('合并资产负债表 '!P49),"#,##0.00"))</f>
        <v>#DIV/0!</v>
      </c>
    </row>
    <row r="1612" spans="1:3">
      <c r="A1612" s="432" t="s">
        <v>2173</v>
      </c>
      <c r="B1612" s="432" t="e">
        <f t="shared" si="25"/>
        <v>#DIV/0!</v>
      </c>
      <c r="C1612" s="435" t="e">
        <f>IF('合并资产负债表 '!P50=0,"-",TEXT(ABS('合并资产负债表 '!P50),"#,##0.00"))</f>
        <v>#DIV/0!</v>
      </c>
    </row>
    <row r="1613" spans="1:3">
      <c r="A1613" s="432" t="s">
        <v>2174</v>
      </c>
      <c r="B1613" s="432" t="e">
        <f t="shared" si="25"/>
        <v>#DIV/0!</v>
      </c>
      <c r="C1613" s="435" t="e">
        <f>IF('合并资产负债表 '!P51=0,"-",TEXT(ABS('合并资产负债表 '!P51),"#,##0.00"))</f>
        <v>#DIV/0!</v>
      </c>
    </row>
    <row r="1614" spans="1:3">
      <c r="A1614" s="432" t="s">
        <v>2175</v>
      </c>
      <c r="B1614" s="432" t="e">
        <f t="shared" si="25"/>
        <v>#DIV/0!</v>
      </c>
      <c r="C1614" s="435" t="e">
        <f>IF('合并资产负债表 '!P52=0,"-",TEXT(ABS('合并资产负债表 '!P52),"#,##0.00"))</f>
        <v>#DIV/0!</v>
      </c>
    </row>
    <row r="1615" spans="1:3">
      <c r="A1615" s="432" t="s">
        <v>2176</v>
      </c>
      <c r="B1615" s="432" t="e">
        <f t="shared" si="25"/>
        <v>#DIV/0!</v>
      </c>
      <c r="C1615" s="435" t="e">
        <f>IF('合并资产负债表 '!P53=0,"-",TEXT(ABS('合并资产负债表 '!P53),"#,##0.00"))</f>
        <v>#DIV/0!</v>
      </c>
    </row>
    <row r="1616" spans="1:3">
      <c r="A1616" s="432" t="s">
        <v>2177</v>
      </c>
      <c r="B1616" s="432" t="e">
        <f t="shared" si="25"/>
        <v>#DIV/0!</v>
      </c>
      <c r="C1616" s="435" t="e">
        <f>IF('合并资产负债表 '!P54=0,"-",TEXT(ABS('合并资产负债表 '!P54),"#,##0.00"))</f>
        <v>#DIV/0!</v>
      </c>
    </row>
    <row r="1617" spans="1:3">
      <c r="A1617" s="432" t="s">
        <v>2178</v>
      </c>
      <c r="B1617" s="432" t="e">
        <f t="shared" si="25"/>
        <v>#DIV/0!</v>
      </c>
      <c r="C1617" s="435" t="e">
        <f>IF('合并资产负债表 '!P56=0,"-",TEXT(ABS('合并资产负债表 '!P56),"#,##0.00"))</f>
        <v>#DIV/0!</v>
      </c>
    </row>
    <row r="1618" spans="1:3">
      <c r="A1618" s="432" t="s">
        <v>2179</v>
      </c>
      <c r="B1618" s="432" t="e">
        <f t="shared" si="25"/>
        <v>#DIV/0!</v>
      </c>
      <c r="C1618" s="435" t="e">
        <f>IF('合并资产负债表 '!P57=0,"-",TEXT(ABS('合并资产负债表 '!P57),"#,##0.00"))</f>
        <v>#DIV/0!</v>
      </c>
    </row>
    <row r="1619" spans="1:3">
      <c r="A1619" s="432" t="s">
        <v>2180</v>
      </c>
      <c r="B1619" s="432" t="e">
        <f t="shared" si="25"/>
        <v>#DIV/0!</v>
      </c>
      <c r="C1619" s="435" t="e">
        <f>IF('合并资产负债表 '!P58=0,"-",TEXT(ABS('合并资产负债表 '!P58),"#,##0.00"))</f>
        <v>#DIV/0!</v>
      </c>
    </row>
    <row r="1620" spans="1:3">
      <c r="A1620" s="432" t="s">
        <v>2181</v>
      </c>
      <c r="B1620" s="432" t="e">
        <f t="shared" si="25"/>
        <v>#DIV/0!</v>
      </c>
      <c r="C1620" s="435" t="e">
        <f>IF('合并资产负债表 '!P59=0,"-",TEXT(ABS('合并资产负债表 '!P59),"#,##0.00"))</f>
        <v>#DIV/0!</v>
      </c>
    </row>
    <row r="1621" spans="1:3">
      <c r="A1621" s="432" t="s">
        <v>2182</v>
      </c>
      <c r="B1621" s="432" t="e">
        <f t="shared" si="25"/>
        <v>#DIV/0!</v>
      </c>
      <c r="C1621" s="435" t="e">
        <f>IF('合并资产负债表 '!P60=0,"-",TEXT(ABS('合并资产负债表 '!P60),"#,##0.00"))</f>
        <v>#DIV/0!</v>
      </c>
    </row>
    <row r="1622" spans="1:3">
      <c r="A1622" s="432" t="s">
        <v>2183</v>
      </c>
      <c r="B1622" s="432" t="e">
        <f t="shared" si="25"/>
        <v>#DIV/0!</v>
      </c>
      <c r="C1622" s="435" t="e">
        <f>IF('合并资产负债表 '!P61=0,"-",TEXT(ABS('合并资产负债表 '!P61),"#,##0.00"))</f>
        <v>#DIV/0!</v>
      </c>
    </row>
    <row r="1623" spans="1:3">
      <c r="A1623" s="432" t="s">
        <v>2184</v>
      </c>
      <c r="B1623" s="432" t="e">
        <f t="shared" si="25"/>
        <v>#DIV/0!</v>
      </c>
      <c r="C1623" s="435" t="e">
        <f>IF('合并资产负债表 '!P62=0,"-",TEXT(ABS('合并资产负债表 '!P62),"#,##0.00"))</f>
        <v>#DIV/0!</v>
      </c>
    </row>
    <row r="1624" spans="1:3">
      <c r="A1624" s="432" t="s">
        <v>2185</v>
      </c>
      <c r="B1624" s="432" t="e">
        <f t="shared" si="25"/>
        <v>#DIV/0!</v>
      </c>
      <c r="C1624" s="435" t="e">
        <f>IF('合并资产负债表 '!P63=0,"-",TEXT(ABS('合并资产负债表 '!P63),"#,##0.00"))</f>
        <v>#DIV/0!</v>
      </c>
    </row>
    <row r="1625" spans="1:3">
      <c r="A1625" s="432" t="s">
        <v>2186</v>
      </c>
      <c r="B1625" s="432" t="e">
        <f t="shared" si="25"/>
        <v>#DIV/0!</v>
      </c>
      <c r="C1625" s="435" t="e">
        <f>IF('合并资产负债表 '!P64=0,"-",TEXT(ABS('合并资产负债表 '!P64),"#,##0.00"))</f>
        <v>#DIV/0!</v>
      </c>
    </row>
    <row r="1626" spans="1:3">
      <c r="A1626" s="432" t="s">
        <v>2187</v>
      </c>
      <c r="B1626" s="432" t="e">
        <f t="shared" si="25"/>
        <v>#DIV/0!</v>
      </c>
      <c r="C1626" s="435" t="e">
        <f>IF('合并资产负债表 '!P65=0,"-",TEXT(ABS('合并资产负债表 '!P65),"#,##0.00"))</f>
        <v>#DIV/0!</v>
      </c>
    </row>
    <row r="1627" spans="1:3">
      <c r="A1627" s="432" t="s">
        <v>2188</v>
      </c>
      <c r="B1627" s="432" t="e">
        <f t="shared" si="25"/>
        <v>#DIV/0!</v>
      </c>
      <c r="C1627" s="435" t="e">
        <f>IF('合并资产负债表 '!P66=0,"-",TEXT(ABS('合并资产负债表 '!P66),"#,##0.00"))</f>
        <v>#DIV/0!</v>
      </c>
    </row>
    <row r="1628" spans="1:3">
      <c r="A1628" s="432" t="s">
        <v>2189</v>
      </c>
      <c r="B1628" s="432" t="e">
        <f t="shared" si="25"/>
        <v>#DIV/0!</v>
      </c>
      <c r="C1628" s="435" t="e">
        <f>IF('合并资产负债表 '!P67=0,"-",TEXT(ABS('合并资产负债表 '!P67),"#,##0.00"))</f>
        <v>#DIV/0!</v>
      </c>
    </row>
    <row r="1629" spans="1:3">
      <c r="A1629" s="432" t="s">
        <v>2190</v>
      </c>
      <c r="B1629" s="432" t="e">
        <f t="shared" si="25"/>
        <v>#DIV/0!</v>
      </c>
      <c r="C1629" s="435" t="e">
        <f>IF('合并资产负债表 '!P68=0,"-",TEXT(ABS('合并资产负债表 '!P68),"#,##0.00"))</f>
        <v>#DIV/0!</v>
      </c>
    </row>
    <row r="1630" spans="1:3">
      <c r="A1630" s="432" t="s">
        <v>2223</v>
      </c>
      <c r="B1630" s="432" t="e">
        <f t="shared" si="25"/>
        <v>#DIV/0!</v>
      </c>
      <c r="C1630" s="435" t="e">
        <f>IF('合并资产负债表 '!Q39=0,"-",TEXT(ABS('合并资产负债表 '!Q39),"#,##0.00"))</f>
        <v>#DIV/0!</v>
      </c>
    </row>
    <row r="1631" spans="1:3">
      <c r="A1631" s="432" t="s">
        <v>2224</v>
      </c>
      <c r="B1631" s="432" t="e">
        <f t="shared" si="25"/>
        <v>#DIV/0!</v>
      </c>
      <c r="C1631" s="435" t="e">
        <f>IF('合并资产负债表 '!Q40=0,"-",TEXT(ABS('合并资产负债表 '!Q40),"#,##0.00"))</f>
        <v>#DIV/0!</v>
      </c>
    </row>
    <row r="1632" spans="1:3">
      <c r="A1632" s="432" t="s">
        <v>2225</v>
      </c>
      <c r="B1632" s="432" t="e">
        <f t="shared" si="25"/>
        <v>#DIV/0!</v>
      </c>
      <c r="C1632" s="435" t="e">
        <f>IF('合并资产负债表 '!Q41=0,"-",TEXT(ABS('合并资产负债表 '!Q41),"#,##0.00"))</f>
        <v>#DIV/0!</v>
      </c>
    </row>
    <row r="1633" spans="1:3">
      <c r="A1633" s="432" t="s">
        <v>2226</v>
      </c>
      <c r="B1633" s="432" t="e">
        <f t="shared" si="25"/>
        <v>#DIV/0!</v>
      </c>
      <c r="C1633" s="435" t="e">
        <f>IF('合并资产负债表 '!Q42=0,"-",TEXT(ABS('合并资产负债表 '!Q42),"#,##0.00"))</f>
        <v>#DIV/0!</v>
      </c>
    </row>
    <row r="1634" spans="1:3">
      <c r="A1634" s="432" t="s">
        <v>2227</v>
      </c>
      <c r="B1634" s="432" t="e">
        <f t="shared" si="25"/>
        <v>#DIV/0!</v>
      </c>
      <c r="C1634" s="435" t="e">
        <f>IF('合并资产负债表 '!Q43=0,"-",TEXT(ABS('合并资产负债表 '!Q43),"#,##0.00"))</f>
        <v>#DIV/0!</v>
      </c>
    </row>
    <row r="1635" spans="1:3">
      <c r="A1635" s="432" t="s">
        <v>2228</v>
      </c>
      <c r="B1635" s="432" t="e">
        <f t="shared" si="25"/>
        <v>#DIV/0!</v>
      </c>
      <c r="C1635" s="435" t="e">
        <f>IF('合并资产负债表 '!Q44=0,"-",TEXT(ABS('合并资产负债表 '!Q44),"#,##0.00"))</f>
        <v>#DIV/0!</v>
      </c>
    </row>
    <row r="1636" spans="1:3">
      <c r="A1636" s="432" t="s">
        <v>2229</v>
      </c>
      <c r="B1636" s="432" t="e">
        <f t="shared" si="25"/>
        <v>#DIV/0!</v>
      </c>
      <c r="C1636" s="435" t="e">
        <f>IF('合并资产负债表 '!Q45=0,"-",TEXT(ABS('合并资产负债表 '!Q45),"#,##0.00"))</f>
        <v>#DIV/0!</v>
      </c>
    </row>
    <row r="1637" spans="1:3">
      <c r="A1637" s="432" t="s">
        <v>2230</v>
      </c>
      <c r="B1637" s="432" t="e">
        <f t="shared" si="25"/>
        <v>#DIV/0!</v>
      </c>
      <c r="C1637" s="435" t="e">
        <f>IF('合并资产负债表 '!Q46=0,"-",TEXT(ABS('合并资产负债表 '!Q46),"#,##0.00"))</f>
        <v>#DIV/0!</v>
      </c>
    </row>
    <row r="1638" spans="1:3">
      <c r="A1638" s="432" t="s">
        <v>3313</v>
      </c>
      <c r="B1638" s="432" t="e">
        <f t="shared" si="25"/>
        <v>#DIV/0!</v>
      </c>
      <c r="C1638" s="435" t="e">
        <f>IF('合并资产负债表 '!Q47=0,"-",TEXT(ABS('合并资产负债表 '!Q47),"#,##0.00"))</f>
        <v>#DIV/0!</v>
      </c>
    </row>
    <row r="1639" spans="1:3">
      <c r="A1639" s="432" t="s">
        <v>2231</v>
      </c>
      <c r="B1639" s="432" t="e">
        <f t="shared" si="25"/>
        <v>#DIV/0!</v>
      </c>
      <c r="C1639" s="435" t="e">
        <f>IF('合并资产负债表 '!Q48=0,"-",TEXT(ABS('合并资产负债表 '!Q48),"#,##0.00"))</f>
        <v>#DIV/0!</v>
      </c>
    </row>
    <row r="1640" spans="1:3">
      <c r="A1640" s="432" t="s">
        <v>2232</v>
      </c>
      <c r="B1640" s="432" t="e">
        <f t="shared" si="25"/>
        <v>#DIV/0!</v>
      </c>
      <c r="C1640" s="435" t="e">
        <f>IF('合并资产负债表 '!Q49=0,"-",TEXT(ABS('合并资产负债表 '!Q49),"#,##0.00"))</f>
        <v>#DIV/0!</v>
      </c>
    </row>
    <row r="1641" spans="1:3">
      <c r="A1641" s="432" t="s">
        <v>2233</v>
      </c>
      <c r="B1641" s="432" t="e">
        <f t="shared" si="25"/>
        <v>#DIV/0!</v>
      </c>
      <c r="C1641" s="435" t="e">
        <f>IF('合并资产负债表 '!Q50=0,"-",TEXT(ABS('合并资产负债表 '!Q50),"#,##0.00"))</f>
        <v>#DIV/0!</v>
      </c>
    </row>
    <row r="1642" spans="1:3">
      <c r="A1642" s="432" t="s">
        <v>2234</v>
      </c>
      <c r="B1642" s="432" t="e">
        <f t="shared" si="25"/>
        <v>#DIV/0!</v>
      </c>
      <c r="C1642" s="435" t="e">
        <f>IF('合并资产负债表 '!Q51=0,"-",TEXT(ABS('合并资产负债表 '!Q51),"#,##0.00"))</f>
        <v>#DIV/0!</v>
      </c>
    </row>
    <row r="1643" spans="1:3">
      <c r="A1643" s="432" t="s">
        <v>2235</v>
      </c>
      <c r="B1643" s="432" t="e">
        <f t="shared" si="25"/>
        <v>#DIV/0!</v>
      </c>
      <c r="C1643" s="435" t="e">
        <f>IF('合并资产负债表 '!Q52=0,"-",TEXT(ABS('合并资产负债表 '!Q52),"#,##0.00"))</f>
        <v>#DIV/0!</v>
      </c>
    </row>
    <row r="1644" spans="1:3">
      <c r="A1644" s="432" t="s">
        <v>2236</v>
      </c>
      <c r="B1644" s="432" t="e">
        <f t="shared" si="25"/>
        <v>#DIV/0!</v>
      </c>
      <c r="C1644" s="435" t="e">
        <f>IF('合并资产负债表 '!Q53=0,"-",TEXT(ABS('合并资产负债表 '!Q53),"#,##0.00"))</f>
        <v>#DIV/0!</v>
      </c>
    </row>
    <row r="1645" spans="1:3">
      <c r="A1645" s="432" t="s">
        <v>2237</v>
      </c>
      <c r="B1645" s="432" t="e">
        <f t="shared" si="25"/>
        <v>#DIV/0!</v>
      </c>
      <c r="C1645" s="435" t="e">
        <f>IF('合并资产负债表 '!Q54=0,"-",TEXT(ABS('合并资产负债表 '!Q54),"#,##0.00"))</f>
        <v>#DIV/0!</v>
      </c>
    </row>
    <row r="1646" spans="1:3">
      <c r="A1646" s="432" t="s">
        <v>2238</v>
      </c>
      <c r="B1646" s="432" t="e">
        <f t="shared" si="25"/>
        <v>#DIV/0!</v>
      </c>
      <c r="C1646" s="435" t="e">
        <f>IF('合并资产负债表 '!Q56=0,"-",TEXT(ABS('合并资产负债表 '!Q56),"#,##0.00"))</f>
        <v>#DIV/0!</v>
      </c>
    </row>
    <row r="1647" spans="1:3">
      <c r="A1647" s="432" t="s">
        <v>2239</v>
      </c>
      <c r="B1647" s="432" t="e">
        <f t="shared" si="25"/>
        <v>#DIV/0!</v>
      </c>
      <c r="C1647" s="435" t="e">
        <f>IF('合并资产负债表 '!Q57=0,"-",TEXT(ABS('合并资产负债表 '!Q57),"#,##0.00"))</f>
        <v>#DIV/0!</v>
      </c>
    </row>
    <row r="1648" spans="1:3">
      <c r="A1648" s="432" t="s">
        <v>2240</v>
      </c>
      <c r="B1648" s="432" t="e">
        <f t="shared" si="25"/>
        <v>#DIV/0!</v>
      </c>
      <c r="C1648" s="435" t="e">
        <f>IF('合并资产负债表 '!Q58=0,"-",TEXT(ABS('合并资产负债表 '!Q58),"#,##0.00"))</f>
        <v>#DIV/0!</v>
      </c>
    </row>
    <row r="1649" spans="1:5">
      <c r="A1649" s="432" t="s">
        <v>2241</v>
      </c>
      <c r="B1649" s="432" t="e">
        <f t="shared" si="25"/>
        <v>#DIV/0!</v>
      </c>
      <c r="C1649" s="435" t="e">
        <f>IF('合并资产负债表 '!Q59=0,"-",TEXT(ABS('合并资产负债表 '!Q59),"#,##0.00"))</f>
        <v>#DIV/0!</v>
      </c>
    </row>
    <row r="1650" spans="1:5">
      <c r="A1650" s="432" t="s">
        <v>2242</v>
      </c>
      <c r="B1650" s="432" t="e">
        <f t="shared" si="25"/>
        <v>#DIV/0!</v>
      </c>
      <c r="C1650" s="435" t="e">
        <f>IF('合并资产负债表 '!Q60=0,"-",TEXT(ABS('合并资产负债表 '!Q60),"#,##0.00"))</f>
        <v>#DIV/0!</v>
      </c>
    </row>
    <row r="1651" spans="1:5">
      <c r="A1651" s="432" t="s">
        <v>2243</v>
      </c>
      <c r="B1651" s="432" t="e">
        <f t="shared" si="25"/>
        <v>#DIV/0!</v>
      </c>
      <c r="C1651" s="435" t="e">
        <f>IF('合并资产负债表 '!Q61=0,"-",TEXT(ABS('合并资产负债表 '!Q61),"#,##0.00"))</f>
        <v>#DIV/0!</v>
      </c>
    </row>
    <row r="1652" spans="1:5">
      <c r="A1652" s="432" t="s">
        <v>2244</v>
      </c>
      <c r="B1652" s="432" t="e">
        <f t="shared" si="25"/>
        <v>#DIV/0!</v>
      </c>
      <c r="C1652" s="435" t="e">
        <f>IF('合并资产负债表 '!Q62=0,"-",TEXT(ABS('合并资产负债表 '!Q62),"#,##0.00"))</f>
        <v>#DIV/0!</v>
      </c>
    </row>
    <row r="1653" spans="1:5">
      <c r="A1653" s="432" t="s">
        <v>2245</v>
      </c>
      <c r="B1653" s="432" t="e">
        <f t="shared" si="25"/>
        <v>#DIV/0!</v>
      </c>
      <c r="C1653" s="435" t="e">
        <f>IF('合并资产负债表 '!Q63=0,"-",TEXT(ABS('合并资产负债表 '!Q63),"#,##0.00"))</f>
        <v>#DIV/0!</v>
      </c>
    </row>
    <row r="1654" spans="1:5">
      <c r="A1654" s="432" t="s">
        <v>2246</v>
      </c>
      <c r="B1654" s="432" t="e">
        <f t="shared" si="25"/>
        <v>#DIV/0!</v>
      </c>
      <c r="C1654" s="435" t="e">
        <f>IF('合并资产负债表 '!Q64=0,"-",TEXT(ABS('合并资产负债表 '!Q64),"#,##0.00"))</f>
        <v>#DIV/0!</v>
      </c>
    </row>
    <row r="1655" spans="1:5">
      <c r="A1655" s="432" t="s">
        <v>2247</v>
      </c>
      <c r="B1655" s="432" t="e">
        <f t="shared" si="25"/>
        <v>#DIV/0!</v>
      </c>
      <c r="C1655" s="435" t="e">
        <f>IF('合并资产负债表 '!Q65=0,"-",TEXT(ABS('合并资产负债表 '!Q65),"#,##0.00"))</f>
        <v>#DIV/0!</v>
      </c>
    </row>
    <row r="1656" spans="1:5">
      <c r="A1656" s="432" t="s">
        <v>2248</v>
      </c>
      <c r="B1656" s="432" t="e">
        <f t="shared" si="25"/>
        <v>#DIV/0!</v>
      </c>
      <c r="C1656" s="435" t="e">
        <f>IF('合并资产负债表 '!Q66=0,"-",TEXT(ABS('合并资产负债表 '!Q66),"#,##0.00"))</f>
        <v>#DIV/0!</v>
      </c>
    </row>
    <row r="1657" spans="1:5">
      <c r="A1657" s="432" t="s">
        <v>2249</v>
      </c>
      <c r="B1657" s="432" t="e">
        <f t="shared" si="25"/>
        <v>#DIV/0!</v>
      </c>
      <c r="C1657" s="435" t="e">
        <f>IF('合并资产负债表 '!Q67=0,"-",TEXT(ABS('合并资产负债表 '!Q67),"#,##0.00"))</f>
        <v>#DIV/0!</v>
      </c>
    </row>
    <row r="1658" spans="1:5">
      <c r="A1658" s="432" t="s">
        <v>2250</v>
      </c>
      <c r="B1658" s="432" t="e">
        <f t="shared" si="25"/>
        <v>#DIV/0!</v>
      </c>
      <c r="C1658" s="435" t="e">
        <f>IF('合并资产负债表 '!Q68=0,"-",TEXT(ABS('合并资产负债表 '!Q68),"#,##0.00"))</f>
        <v>#DIV/0!</v>
      </c>
    </row>
    <row r="1659" spans="1:5">
      <c r="A1659" s="432" t="s">
        <v>1808</v>
      </c>
      <c r="B1659" s="432" t="e">
        <f t="shared" si="25"/>
        <v>#DIV/0!</v>
      </c>
      <c r="C1659" s="435" t="e">
        <f>IF('合并资产负债表 '!J39=0,"-",TEXT(ABS('合并资产负债表 '!J39),"#,##0.00"))</f>
        <v>#DIV/0!</v>
      </c>
      <c r="E1659" s="436" t="s">
        <v>2387</v>
      </c>
    </row>
    <row r="1660" spans="1:5">
      <c r="A1660" s="432" t="s">
        <v>1809</v>
      </c>
      <c r="B1660" s="432" t="e">
        <f t="shared" si="25"/>
        <v>#DIV/0!</v>
      </c>
      <c r="C1660" s="435" t="e">
        <f>IF('合并资产负债表 '!J40=0,"-",TEXT(ABS('合并资产负债表 '!J40),"#,##0.00"))</f>
        <v>#DIV/0!</v>
      </c>
    </row>
    <row r="1661" spans="1:5">
      <c r="A1661" s="432" t="s">
        <v>1810</v>
      </c>
      <c r="B1661" s="432" t="e">
        <f t="shared" si="25"/>
        <v>#DIV/0!</v>
      </c>
      <c r="C1661" s="435" t="e">
        <f>IF('合并资产负债表 '!J41=0,"-",TEXT(ABS('合并资产负债表 '!J41),"#,##0.00"))</f>
        <v>#DIV/0!</v>
      </c>
    </row>
    <row r="1662" spans="1:5">
      <c r="A1662" s="432" t="s">
        <v>1811</v>
      </c>
      <c r="B1662" s="432" t="e">
        <f t="shared" si="25"/>
        <v>#DIV/0!</v>
      </c>
      <c r="C1662" s="435" t="e">
        <f>IF('合并资产负债表 '!J42=0,"-",TEXT(ABS('合并资产负债表 '!J42),"#,##0.00"))</f>
        <v>#DIV/0!</v>
      </c>
    </row>
    <row r="1663" spans="1:5">
      <c r="A1663" s="432" t="s">
        <v>1812</v>
      </c>
      <c r="B1663" s="432" t="e">
        <f t="shared" si="25"/>
        <v>#DIV/0!</v>
      </c>
      <c r="C1663" s="435" t="e">
        <f>IF('合并资产负债表 '!J43=0,"-",TEXT(ABS('合并资产负债表 '!J43),"#,##0.00"))</f>
        <v>#DIV/0!</v>
      </c>
    </row>
    <row r="1664" spans="1:5">
      <c r="A1664" s="432" t="s">
        <v>1813</v>
      </c>
      <c r="B1664" s="432" t="e">
        <f t="shared" si="25"/>
        <v>#DIV/0!</v>
      </c>
      <c r="C1664" s="435" t="e">
        <f>IF('合并资产负债表 '!J44=0,"-",TEXT(ABS('合并资产负债表 '!J44),"#,##0.00"))</f>
        <v>#DIV/0!</v>
      </c>
    </row>
    <row r="1665" spans="1:3">
      <c r="A1665" s="432" t="s">
        <v>1814</v>
      </c>
      <c r="B1665" s="432" t="e">
        <f t="shared" si="25"/>
        <v>#DIV/0!</v>
      </c>
      <c r="C1665" s="435" t="e">
        <f>IF('合并资产负债表 '!J45=0,"-",TEXT(ABS('合并资产负债表 '!J45),"#,##0.00"))</f>
        <v>#DIV/0!</v>
      </c>
    </row>
    <row r="1666" spans="1:3">
      <c r="A1666" s="432" t="s">
        <v>1815</v>
      </c>
      <c r="B1666" s="432" t="e">
        <f t="shared" si="25"/>
        <v>#DIV/0!</v>
      </c>
      <c r="C1666" s="435" t="e">
        <f>IF('合并资产负债表 '!J46=0,"-",TEXT(ABS('合并资产负债表 '!J46),"#,##0.00"))</f>
        <v>#DIV/0!</v>
      </c>
    </row>
    <row r="1667" spans="1:3">
      <c r="A1667" s="432" t="s">
        <v>1816</v>
      </c>
      <c r="B1667" s="432" t="e">
        <f t="shared" si="25"/>
        <v>#DIV/0!</v>
      </c>
      <c r="C1667" s="435" t="e">
        <f>IF('合并资产负债表 '!J47=0,"-",TEXT(ABS('合并资产负债表 '!J47),"#,##0.00"))</f>
        <v>#DIV/0!</v>
      </c>
    </row>
    <row r="1668" spans="1:3">
      <c r="A1668" s="432" t="s">
        <v>1817</v>
      </c>
      <c r="B1668" s="432" t="e">
        <f t="shared" si="25"/>
        <v>#DIV/0!</v>
      </c>
      <c r="C1668" s="435" t="e">
        <f>IF('合并资产负债表 '!J48=0,"-",TEXT(ABS('合并资产负债表 '!J48),"#,##0.00"))</f>
        <v>#DIV/0!</v>
      </c>
    </row>
    <row r="1669" spans="1:3">
      <c r="A1669" s="432" t="s">
        <v>1818</v>
      </c>
      <c r="B1669" s="432" t="e">
        <f t="shared" si="25"/>
        <v>#DIV/0!</v>
      </c>
      <c r="C1669" s="435" t="e">
        <f>IF('合并资产负债表 '!J49=0,"-",TEXT(ABS('合并资产负债表 '!J49),"#,##0.00"))</f>
        <v>#DIV/0!</v>
      </c>
    </row>
    <row r="1670" spans="1:3">
      <c r="A1670" s="432" t="s">
        <v>1819</v>
      </c>
      <c r="B1670" s="432" t="e">
        <f t="shared" si="25"/>
        <v>#DIV/0!</v>
      </c>
      <c r="C1670" s="435" t="e">
        <f>IF('合并资产负债表 '!J50=0,"-",TEXT(ABS('合并资产负债表 '!J50),"#,##0.00"))</f>
        <v>#DIV/0!</v>
      </c>
    </row>
    <row r="1671" spans="1:3">
      <c r="A1671" s="432" t="s">
        <v>1820</v>
      </c>
      <c r="B1671" s="432" t="e">
        <f t="shared" si="25"/>
        <v>#DIV/0!</v>
      </c>
      <c r="C1671" s="435" t="e">
        <f>IF('合并资产负债表 '!J51=0,"-",TEXT(ABS('合并资产负债表 '!J51),"#,##0.00"))</f>
        <v>#DIV/0!</v>
      </c>
    </row>
    <row r="1672" spans="1:3">
      <c r="A1672" s="432" t="s">
        <v>1821</v>
      </c>
      <c r="B1672" s="432" t="e">
        <f t="shared" ref="B1672:B1735" si="26">TRIM(C1672)</f>
        <v>#DIV/0!</v>
      </c>
      <c r="C1672" s="435" t="e">
        <f>IF('合并资产负债表 '!J52=0,"-",TEXT(ABS('合并资产负债表 '!J52),"#,##0.00"))</f>
        <v>#DIV/0!</v>
      </c>
    </row>
    <row r="1673" spans="1:3">
      <c r="A1673" s="432" t="s">
        <v>1822</v>
      </c>
      <c r="B1673" s="432" t="e">
        <f t="shared" si="26"/>
        <v>#DIV/0!</v>
      </c>
      <c r="C1673" s="435" t="e">
        <f>IF('合并资产负债表 '!J53=0,"-",TEXT(ABS('合并资产负债表 '!J53),"#,##0.00"))</f>
        <v>#DIV/0!</v>
      </c>
    </row>
    <row r="1674" spans="1:3">
      <c r="A1674" s="432" t="s">
        <v>1823</v>
      </c>
      <c r="B1674" s="432" t="e">
        <f t="shared" si="26"/>
        <v>#DIV/0!</v>
      </c>
      <c r="C1674" s="435" t="e">
        <f>IF('合并资产负债表 '!J54=0,"-",TEXT(ABS('合并资产负债表 '!J54),"#,##0.00"))</f>
        <v>#DIV/0!</v>
      </c>
    </row>
    <row r="1675" spans="1:3">
      <c r="A1675" s="432" t="s">
        <v>1824</v>
      </c>
      <c r="B1675" s="432" t="e">
        <f t="shared" si="26"/>
        <v>#DIV/0!</v>
      </c>
      <c r="C1675" s="435" t="e">
        <f>IF('合并资产负债表 '!J56=0,"-",TEXT(ABS('合并资产负债表 '!J56),"#,##0.00"))</f>
        <v>#DIV/0!</v>
      </c>
    </row>
    <row r="1676" spans="1:3">
      <c r="A1676" s="432" t="s">
        <v>1825</v>
      </c>
      <c r="B1676" s="432" t="e">
        <f t="shared" si="26"/>
        <v>#DIV/0!</v>
      </c>
      <c r="C1676" s="435" t="e">
        <f>IF('合并资产负债表 '!J57=0,"-",TEXT(ABS('合并资产负债表 '!J57),"#,##0.00"))</f>
        <v>#DIV/0!</v>
      </c>
    </row>
    <row r="1677" spans="1:3">
      <c r="A1677" s="432" t="s">
        <v>1826</v>
      </c>
      <c r="B1677" s="432" t="e">
        <f t="shared" si="26"/>
        <v>#DIV/0!</v>
      </c>
      <c r="C1677" s="435" t="e">
        <f>IF('合并资产负债表 '!J58=0,"-",TEXT(ABS('合并资产负债表 '!J58),"#,##0.00"))</f>
        <v>#DIV/0!</v>
      </c>
    </row>
    <row r="1678" spans="1:3">
      <c r="A1678" s="432" t="s">
        <v>1827</v>
      </c>
      <c r="B1678" s="432" t="e">
        <f t="shared" si="26"/>
        <v>#DIV/0!</v>
      </c>
      <c r="C1678" s="435" t="e">
        <f>IF('合并资产负债表 '!J59=0,"-",TEXT(ABS('合并资产负债表 '!J59),"#,##0.00"))</f>
        <v>#DIV/0!</v>
      </c>
    </row>
    <row r="1679" spans="1:3">
      <c r="A1679" s="432" t="s">
        <v>1828</v>
      </c>
      <c r="B1679" s="432" t="e">
        <f t="shared" si="26"/>
        <v>#DIV/0!</v>
      </c>
      <c r="C1679" s="435" t="e">
        <f>IF('合并资产负债表 '!J60=0,"-",TEXT(ABS('合并资产负债表 '!J60),"#,##0.00"))</f>
        <v>#DIV/0!</v>
      </c>
    </row>
    <row r="1680" spans="1:3">
      <c r="A1680" s="432" t="s">
        <v>1829</v>
      </c>
      <c r="B1680" s="432" t="e">
        <f t="shared" si="26"/>
        <v>#DIV/0!</v>
      </c>
      <c r="C1680" s="435" t="e">
        <f>IF('合并资产负债表 '!J61=0,"-",TEXT(ABS('合并资产负债表 '!J61),"#,##0.00"))</f>
        <v>#DIV/0!</v>
      </c>
    </row>
    <row r="1681" spans="1:3">
      <c r="A1681" s="432" t="s">
        <v>1830</v>
      </c>
      <c r="B1681" s="432" t="e">
        <f t="shared" si="26"/>
        <v>#DIV/0!</v>
      </c>
      <c r="C1681" s="435" t="e">
        <f>IF('合并资产负债表 '!J62=0,"-",TEXT(ABS('合并资产负债表 '!J62),"#,##0.00"))</f>
        <v>#DIV/0!</v>
      </c>
    </row>
    <row r="1682" spans="1:3">
      <c r="A1682" s="432" t="s">
        <v>1831</v>
      </c>
      <c r="B1682" s="432" t="e">
        <f t="shared" si="26"/>
        <v>#DIV/0!</v>
      </c>
      <c r="C1682" s="435" t="e">
        <f>IF('合并资产负债表 '!J63=0,"-",TEXT(ABS('合并资产负债表 '!J63),"#,##0.00"))</f>
        <v>#DIV/0!</v>
      </c>
    </row>
    <row r="1683" spans="1:3">
      <c r="A1683" s="432" t="s">
        <v>1832</v>
      </c>
      <c r="B1683" s="432" t="e">
        <f t="shared" si="26"/>
        <v>#DIV/0!</v>
      </c>
      <c r="C1683" s="435" t="e">
        <f>IF('合并资产负债表 '!J64=0,"-",TEXT(ABS('合并资产负债表 '!J64),"#,##0.00"))</f>
        <v>#DIV/0!</v>
      </c>
    </row>
    <row r="1684" spans="1:3">
      <c r="A1684" s="432" t="s">
        <v>1833</v>
      </c>
      <c r="B1684" s="432" t="e">
        <f t="shared" si="26"/>
        <v>#DIV/0!</v>
      </c>
      <c r="C1684" s="435" t="e">
        <f>IF('合并资产负债表 '!J65=0,"-",TEXT(ABS('合并资产负债表 '!J65),"#,##0.00"))</f>
        <v>#DIV/0!</v>
      </c>
    </row>
    <row r="1685" spans="1:3">
      <c r="A1685" s="432" t="s">
        <v>1834</v>
      </c>
      <c r="B1685" s="432" t="e">
        <f t="shared" si="26"/>
        <v>#DIV/0!</v>
      </c>
      <c r="C1685" s="435" t="e">
        <f>IF('合并资产负债表 '!J66=0,"-",TEXT(ABS('合并资产负债表 '!J66),"#,##0.00"))</f>
        <v>#DIV/0!</v>
      </c>
    </row>
    <row r="1686" spans="1:3">
      <c r="A1686" s="432" t="s">
        <v>1835</v>
      </c>
      <c r="B1686" s="432" t="e">
        <f t="shared" si="26"/>
        <v>#DIV/0!</v>
      </c>
      <c r="C1686" s="435" t="e">
        <f>IF('合并资产负债表 '!J67=0,"-",TEXT(ABS('合并资产负债表 '!J67),"#,##0.00"))</f>
        <v>#DIV/0!</v>
      </c>
    </row>
    <row r="1687" spans="1:3">
      <c r="A1687" s="432" t="s">
        <v>1865</v>
      </c>
      <c r="B1687" s="432" t="e">
        <f t="shared" si="26"/>
        <v>#DIV/0!</v>
      </c>
      <c r="C1687" s="435" t="e">
        <f>IF('合并资产负债表 '!K39=0,"-",TEXT(ABS('合并资产负债表 '!K39),"#,##0.00"))</f>
        <v>#DIV/0!</v>
      </c>
    </row>
    <row r="1688" spans="1:3">
      <c r="A1688" s="432" t="s">
        <v>1866</v>
      </c>
      <c r="B1688" s="432" t="e">
        <f t="shared" si="26"/>
        <v>#DIV/0!</v>
      </c>
      <c r="C1688" s="435" t="e">
        <f>IF('合并资产负债表 '!K40=0,"-",TEXT(ABS('合并资产负债表 '!K40),"#,##0.00"))</f>
        <v>#DIV/0!</v>
      </c>
    </row>
    <row r="1689" spans="1:3">
      <c r="A1689" s="432" t="s">
        <v>1867</v>
      </c>
      <c r="B1689" s="432" t="e">
        <f t="shared" si="26"/>
        <v>#DIV/0!</v>
      </c>
      <c r="C1689" s="435" t="e">
        <f>IF('合并资产负债表 '!K41=0,"-",TEXT(ABS('合并资产负债表 '!K41),"#,##0.00"))</f>
        <v>#DIV/0!</v>
      </c>
    </row>
    <row r="1690" spans="1:3">
      <c r="A1690" s="432" t="s">
        <v>1868</v>
      </c>
      <c r="B1690" s="432" t="e">
        <f t="shared" si="26"/>
        <v>#DIV/0!</v>
      </c>
      <c r="C1690" s="435" t="e">
        <f>IF('合并资产负债表 '!K42=0,"-",TEXT(ABS('合并资产负债表 '!K42),"#,##0.00"))</f>
        <v>#DIV/0!</v>
      </c>
    </row>
    <row r="1691" spans="1:3">
      <c r="A1691" s="432" t="s">
        <v>1869</v>
      </c>
      <c r="B1691" s="432" t="e">
        <f t="shared" si="26"/>
        <v>#DIV/0!</v>
      </c>
      <c r="C1691" s="435" t="e">
        <f>IF('合并资产负债表 '!K43=0,"-",TEXT(ABS('合并资产负债表 '!K43),"#,##0.00"))</f>
        <v>#DIV/0!</v>
      </c>
    </row>
    <row r="1692" spans="1:3">
      <c r="A1692" s="432" t="s">
        <v>1870</v>
      </c>
      <c r="B1692" s="432" t="e">
        <f t="shared" si="26"/>
        <v>#DIV/0!</v>
      </c>
      <c r="C1692" s="435" t="e">
        <f>IF('合并资产负债表 '!K44=0,"-",TEXT(ABS('合并资产负债表 '!K44),"#,##0.00"))</f>
        <v>#DIV/0!</v>
      </c>
    </row>
    <row r="1693" spans="1:3">
      <c r="A1693" s="432" t="s">
        <v>1871</v>
      </c>
      <c r="B1693" s="432" t="e">
        <f t="shared" si="26"/>
        <v>#DIV/0!</v>
      </c>
      <c r="C1693" s="435" t="e">
        <f>IF('合并资产负债表 '!K45=0,"-",TEXT(ABS('合并资产负债表 '!K45),"#,##0.00"))</f>
        <v>#DIV/0!</v>
      </c>
    </row>
    <row r="1694" spans="1:3">
      <c r="A1694" s="432" t="s">
        <v>1872</v>
      </c>
      <c r="B1694" s="432" t="e">
        <f t="shared" si="26"/>
        <v>#DIV/0!</v>
      </c>
      <c r="C1694" s="435" t="e">
        <f>IF('合并资产负债表 '!K46=0,"-",TEXT(ABS('合并资产负债表 '!K46),"#,##0.00"))</f>
        <v>#DIV/0!</v>
      </c>
    </row>
    <row r="1695" spans="1:3">
      <c r="A1695" s="432" t="s">
        <v>1873</v>
      </c>
      <c r="B1695" s="432" t="e">
        <f t="shared" si="26"/>
        <v>#DIV/0!</v>
      </c>
      <c r="C1695" s="435" t="e">
        <f>IF('合并资产负债表 '!K47=0,"-",TEXT(ABS('合并资产负债表 '!K47),"#,##0.00"))</f>
        <v>#DIV/0!</v>
      </c>
    </row>
    <row r="1696" spans="1:3">
      <c r="A1696" s="432" t="s">
        <v>1874</v>
      </c>
      <c r="B1696" s="432" t="e">
        <f t="shared" si="26"/>
        <v>#DIV/0!</v>
      </c>
      <c r="C1696" s="435" t="e">
        <f>IF('合并资产负债表 '!K48=0,"-",TEXT(ABS('合并资产负债表 '!K48),"#,##0.00"))</f>
        <v>#DIV/0!</v>
      </c>
    </row>
    <row r="1697" spans="1:3">
      <c r="A1697" s="432" t="s">
        <v>1875</v>
      </c>
      <c r="B1697" s="432" t="e">
        <f t="shared" si="26"/>
        <v>#DIV/0!</v>
      </c>
      <c r="C1697" s="435" t="e">
        <f>IF('合并资产负债表 '!K49=0,"-",TEXT(ABS('合并资产负债表 '!K49),"#,##0.00"))</f>
        <v>#DIV/0!</v>
      </c>
    </row>
    <row r="1698" spans="1:3">
      <c r="A1698" s="432" t="s">
        <v>1876</v>
      </c>
      <c r="B1698" s="432" t="e">
        <f t="shared" si="26"/>
        <v>#DIV/0!</v>
      </c>
      <c r="C1698" s="435" t="e">
        <f>IF('合并资产负债表 '!K50=0,"-",TEXT(ABS('合并资产负债表 '!K50),"#,##0.00"))</f>
        <v>#DIV/0!</v>
      </c>
    </row>
    <row r="1699" spans="1:3">
      <c r="A1699" s="432" t="s">
        <v>1877</v>
      </c>
      <c r="B1699" s="432" t="e">
        <f t="shared" si="26"/>
        <v>#DIV/0!</v>
      </c>
      <c r="C1699" s="435" t="e">
        <f>IF('合并资产负债表 '!K51=0,"-",TEXT(ABS('合并资产负债表 '!K51),"#,##0.00"))</f>
        <v>#DIV/0!</v>
      </c>
    </row>
    <row r="1700" spans="1:3">
      <c r="A1700" s="432" t="s">
        <v>1878</v>
      </c>
      <c r="B1700" s="432" t="e">
        <f t="shared" si="26"/>
        <v>#DIV/0!</v>
      </c>
      <c r="C1700" s="435" t="e">
        <f>IF('合并资产负债表 '!K52=0,"-",TEXT(ABS('合并资产负债表 '!K52),"#,##0.00"))</f>
        <v>#DIV/0!</v>
      </c>
    </row>
    <row r="1701" spans="1:3">
      <c r="A1701" s="432" t="s">
        <v>1879</v>
      </c>
      <c r="B1701" s="432" t="e">
        <f t="shared" si="26"/>
        <v>#DIV/0!</v>
      </c>
      <c r="C1701" s="435" t="e">
        <f>IF('合并资产负债表 '!K53=0,"-",TEXT(ABS('合并资产负债表 '!K53),"#,##0.00"))</f>
        <v>#DIV/0!</v>
      </c>
    </row>
    <row r="1702" spans="1:3">
      <c r="A1702" s="432" t="s">
        <v>1880</v>
      </c>
      <c r="B1702" s="432" t="e">
        <f t="shared" si="26"/>
        <v>#DIV/0!</v>
      </c>
      <c r="C1702" s="435" t="e">
        <f>IF('合并资产负债表 '!K54=0,"-",TEXT(ABS('合并资产负债表 '!K54),"#,##0.00"))</f>
        <v>#DIV/0!</v>
      </c>
    </row>
    <row r="1703" spans="1:3">
      <c r="A1703" s="432" t="s">
        <v>1881</v>
      </c>
      <c r="B1703" s="432" t="e">
        <f t="shared" si="26"/>
        <v>#DIV/0!</v>
      </c>
      <c r="C1703" s="435" t="e">
        <f>IF('合并资产负债表 '!K56=0,"-",TEXT(ABS('合并资产负债表 '!K56),"#,##0.00"))</f>
        <v>#DIV/0!</v>
      </c>
    </row>
    <row r="1704" spans="1:3">
      <c r="A1704" s="432" t="s">
        <v>1882</v>
      </c>
      <c r="B1704" s="432" t="e">
        <f t="shared" si="26"/>
        <v>#DIV/0!</v>
      </c>
      <c r="C1704" s="435" t="e">
        <f>IF('合并资产负债表 '!K57=0,"-",TEXT(ABS('合并资产负债表 '!K57),"#,##0.00"))</f>
        <v>#DIV/0!</v>
      </c>
    </row>
    <row r="1705" spans="1:3">
      <c r="A1705" s="432" t="s">
        <v>1883</v>
      </c>
      <c r="B1705" s="432" t="e">
        <f t="shared" si="26"/>
        <v>#DIV/0!</v>
      </c>
      <c r="C1705" s="435" t="e">
        <f>IF('合并资产负债表 '!K58=0,"-",TEXT(ABS('合并资产负债表 '!K58),"#,##0.00"))</f>
        <v>#DIV/0!</v>
      </c>
    </row>
    <row r="1706" spans="1:3">
      <c r="A1706" s="432" t="s">
        <v>1884</v>
      </c>
      <c r="B1706" s="432" t="e">
        <f t="shared" si="26"/>
        <v>#DIV/0!</v>
      </c>
      <c r="C1706" s="435" t="e">
        <f>IF('合并资产负债表 '!K59=0,"-",TEXT(ABS('合并资产负债表 '!K59),"#,##0.00"))</f>
        <v>#DIV/0!</v>
      </c>
    </row>
    <row r="1707" spans="1:3">
      <c r="A1707" s="432" t="s">
        <v>1885</v>
      </c>
      <c r="B1707" s="432" t="e">
        <f t="shared" si="26"/>
        <v>#DIV/0!</v>
      </c>
      <c r="C1707" s="435" t="e">
        <f>IF('合并资产负债表 '!K60=0,"-",TEXT(ABS('合并资产负债表 '!K60),"#,##0.00"))</f>
        <v>#DIV/0!</v>
      </c>
    </row>
    <row r="1708" spans="1:3">
      <c r="A1708" s="432" t="s">
        <v>1886</v>
      </c>
      <c r="B1708" s="432" t="e">
        <f t="shared" si="26"/>
        <v>#DIV/0!</v>
      </c>
      <c r="C1708" s="435" t="e">
        <f>IF('合并资产负债表 '!K61=0,"-",TEXT(ABS('合并资产负债表 '!K61),"#,##0.00"))</f>
        <v>#DIV/0!</v>
      </c>
    </row>
    <row r="1709" spans="1:3">
      <c r="A1709" s="432" t="s">
        <v>1887</v>
      </c>
      <c r="B1709" s="432" t="e">
        <f t="shared" si="26"/>
        <v>#DIV/0!</v>
      </c>
      <c r="C1709" s="435" t="e">
        <f>IF('合并资产负债表 '!K62=0,"-",TEXT(ABS('合并资产负债表 '!K62),"#,##0.00"))</f>
        <v>#DIV/0!</v>
      </c>
    </row>
    <row r="1710" spans="1:3">
      <c r="A1710" s="432" t="s">
        <v>1888</v>
      </c>
      <c r="B1710" s="432" t="e">
        <f t="shared" si="26"/>
        <v>#DIV/0!</v>
      </c>
      <c r="C1710" s="435" t="e">
        <f>IF('合并资产负债表 '!K63=0,"-",TEXT(ABS('合并资产负债表 '!K63),"#,##0.00"))</f>
        <v>#DIV/0!</v>
      </c>
    </row>
    <row r="1711" spans="1:3">
      <c r="A1711" s="432" t="s">
        <v>1889</v>
      </c>
      <c r="B1711" s="432" t="e">
        <f t="shared" si="26"/>
        <v>#DIV/0!</v>
      </c>
      <c r="C1711" s="435" t="e">
        <f>IF('合并资产负债表 '!K64=0,"-",TEXT(ABS('合并资产负债表 '!K64),"#,##0.00"))</f>
        <v>#DIV/0!</v>
      </c>
    </row>
    <row r="1712" spans="1:3">
      <c r="A1712" s="432" t="s">
        <v>1890</v>
      </c>
      <c r="B1712" s="432" t="e">
        <f t="shared" si="26"/>
        <v>#DIV/0!</v>
      </c>
      <c r="C1712" s="435" t="e">
        <f>IF('合并资产负债表 '!K65=0,"-",TEXT(ABS('合并资产负债表 '!K65),"#,##0.00"))</f>
        <v>#DIV/0!</v>
      </c>
    </row>
    <row r="1713" spans="1:3">
      <c r="A1713" s="432" t="s">
        <v>1891</v>
      </c>
      <c r="B1713" s="432" t="e">
        <f t="shared" si="26"/>
        <v>#DIV/0!</v>
      </c>
      <c r="C1713" s="435" t="e">
        <f>IF('合并资产负债表 '!K66=0,"-",TEXT(ABS('合并资产负债表 '!K66),"#,##0.00"))</f>
        <v>#DIV/0!</v>
      </c>
    </row>
    <row r="1714" spans="1:3">
      <c r="A1714" s="432" t="s">
        <v>1892</v>
      </c>
      <c r="B1714" s="432" t="e">
        <f t="shared" si="26"/>
        <v>#DIV/0!</v>
      </c>
      <c r="C1714" s="435" t="e">
        <f>IF('合并资产负债表 '!K67=0,"-",TEXT(ABS('合并资产负债表 '!K67),"#,##0.00"))</f>
        <v>#DIV/0!</v>
      </c>
    </row>
    <row r="1715" spans="1:3">
      <c r="A1715" s="432" t="s">
        <v>1924</v>
      </c>
      <c r="B1715" s="432" t="e">
        <f t="shared" si="26"/>
        <v>#DIV/0!</v>
      </c>
      <c r="C1715" s="435" t="e">
        <f>IF('合并资产负债表 '!L39=0,"-",TEXT(ABS('合并资产负债表 '!L39),"#,##0.00"))</f>
        <v>#DIV/0!</v>
      </c>
    </row>
    <row r="1716" spans="1:3">
      <c r="A1716" s="432" t="s">
        <v>1925</v>
      </c>
      <c r="B1716" s="432" t="e">
        <f t="shared" si="26"/>
        <v>#DIV/0!</v>
      </c>
      <c r="C1716" s="435" t="e">
        <f>IF('合并资产负债表 '!L40=0,"-",TEXT(ABS('合并资产负债表 '!L40),"#,##0.00"))</f>
        <v>#DIV/0!</v>
      </c>
    </row>
    <row r="1717" spans="1:3">
      <c r="A1717" s="432" t="s">
        <v>1926</v>
      </c>
      <c r="B1717" s="432" t="e">
        <f t="shared" si="26"/>
        <v>#DIV/0!</v>
      </c>
      <c r="C1717" s="435" t="e">
        <f>IF('合并资产负债表 '!L41=0,"-",TEXT(ABS('合并资产负债表 '!L41),"#,##0.00"))</f>
        <v>#DIV/0!</v>
      </c>
    </row>
    <row r="1718" spans="1:3">
      <c r="A1718" s="432" t="s">
        <v>1927</v>
      </c>
      <c r="B1718" s="432" t="e">
        <f t="shared" si="26"/>
        <v>#DIV/0!</v>
      </c>
      <c r="C1718" s="435" t="e">
        <f>IF('合并资产负债表 '!L42=0,"-",TEXT(ABS('合并资产负债表 '!L42),"#,##0.00"))</f>
        <v>#DIV/0!</v>
      </c>
    </row>
    <row r="1719" spans="1:3">
      <c r="A1719" s="432" t="s">
        <v>1928</v>
      </c>
      <c r="B1719" s="432" t="e">
        <f t="shared" si="26"/>
        <v>#DIV/0!</v>
      </c>
      <c r="C1719" s="435" t="e">
        <f>IF('合并资产负债表 '!L43=0,"-",TEXT(ABS('合并资产负债表 '!L43),"#,##0.00"))</f>
        <v>#DIV/0!</v>
      </c>
    </row>
    <row r="1720" spans="1:3">
      <c r="A1720" s="432" t="s">
        <v>1929</v>
      </c>
      <c r="B1720" s="432" t="e">
        <f t="shared" si="26"/>
        <v>#DIV/0!</v>
      </c>
      <c r="C1720" s="435" t="e">
        <f>IF('合并资产负债表 '!L44=0,"-",TEXT(ABS('合并资产负债表 '!L44),"#,##0.00"))</f>
        <v>#DIV/0!</v>
      </c>
    </row>
    <row r="1721" spans="1:3">
      <c r="A1721" s="432" t="s">
        <v>1930</v>
      </c>
      <c r="B1721" s="432" t="e">
        <f t="shared" si="26"/>
        <v>#DIV/0!</v>
      </c>
      <c r="C1721" s="435" t="e">
        <f>IF('合并资产负债表 '!L45=0,"-",TEXT(ABS('合并资产负债表 '!L45),"#,##0.00"))</f>
        <v>#DIV/0!</v>
      </c>
    </row>
    <row r="1722" spans="1:3">
      <c r="A1722" s="432" t="s">
        <v>1931</v>
      </c>
      <c r="B1722" s="432" t="e">
        <f t="shared" si="26"/>
        <v>#DIV/0!</v>
      </c>
      <c r="C1722" s="435" t="e">
        <f>IF('合并资产负债表 '!L46=0,"-",TEXT(ABS('合并资产负债表 '!L46),"#,##0.00"))</f>
        <v>#DIV/0!</v>
      </c>
    </row>
    <row r="1723" spans="1:3">
      <c r="A1723" s="432" t="s">
        <v>1932</v>
      </c>
      <c r="B1723" s="432" t="e">
        <f t="shared" si="26"/>
        <v>#DIV/0!</v>
      </c>
      <c r="C1723" s="435" t="e">
        <f>IF('合并资产负债表 '!L47=0,"-",TEXT(ABS('合并资产负债表 '!L47),"#,##0.00"))</f>
        <v>#DIV/0!</v>
      </c>
    </row>
    <row r="1724" spans="1:3">
      <c r="A1724" s="432" t="s">
        <v>1933</v>
      </c>
      <c r="B1724" s="432" t="e">
        <f t="shared" si="26"/>
        <v>#DIV/0!</v>
      </c>
      <c r="C1724" s="435" t="e">
        <f>IF('合并资产负债表 '!L48=0,"-",TEXT(ABS('合并资产负债表 '!L48),"#,##0.00"))</f>
        <v>#DIV/0!</v>
      </c>
    </row>
    <row r="1725" spans="1:3">
      <c r="A1725" s="432" t="s">
        <v>1934</v>
      </c>
      <c r="B1725" s="432" t="e">
        <f t="shared" si="26"/>
        <v>#DIV/0!</v>
      </c>
      <c r="C1725" s="435" t="e">
        <f>IF('合并资产负债表 '!L49=0,"-",TEXT(ABS('合并资产负债表 '!L49),"#,##0.00"))</f>
        <v>#DIV/0!</v>
      </c>
    </row>
    <row r="1726" spans="1:3">
      <c r="A1726" s="432" t="s">
        <v>1935</v>
      </c>
      <c r="B1726" s="432" t="e">
        <f t="shared" si="26"/>
        <v>#DIV/0!</v>
      </c>
      <c r="C1726" s="435" t="e">
        <f>IF('合并资产负债表 '!L50=0,"-",TEXT(ABS('合并资产负债表 '!L50),"#,##0.00"))</f>
        <v>#DIV/0!</v>
      </c>
    </row>
    <row r="1727" spans="1:3">
      <c r="A1727" s="432" t="s">
        <v>1936</v>
      </c>
      <c r="B1727" s="432" t="e">
        <f t="shared" si="26"/>
        <v>#DIV/0!</v>
      </c>
      <c r="C1727" s="435" t="e">
        <f>IF('合并资产负债表 '!L51=0,"-",TEXT(ABS('合并资产负债表 '!L51),"#,##0.00"))</f>
        <v>#DIV/0!</v>
      </c>
    </row>
    <row r="1728" spans="1:3">
      <c r="A1728" s="432" t="s">
        <v>1937</v>
      </c>
      <c r="B1728" s="432" t="e">
        <f t="shared" si="26"/>
        <v>#DIV/0!</v>
      </c>
      <c r="C1728" s="435" t="e">
        <f>IF('合并资产负债表 '!L52=0,"-",TEXT(ABS('合并资产负债表 '!L52),"#,##0.00"))</f>
        <v>#DIV/0!</v>
      </c>
    </row>
    <row r="1729" spans="1:3">
      <c r="A1729" s="432" t="s">
        <v>1938</v>
      </c>
      <c r="B1729" s="432" t="e">
        <f t="shared" si="26"/>
        <v>#DIV/0!</v>
      </c>
      <c r="C1729" s="435" t="e">
        <f>IF('合并资产负债表 '!L53=0,"-",TEXT(ABS('合并资产负债表 '!L53),"#,##0.00"))</f>
        <v>#DIV/0!</v>
      </c>
    </row>
    <row r="1730" spans="1:3">
      <c r="A1730" s="432" t="s">
        <v>1939</v>
      </c>
      <c r="B1730" s="432" t="e">
        <f t="shared" si="26"/>
        <v>#DIV/0!</v>
      </c>
      <c r="C1730" s="435" t="e">
        <f>IF('合并资产负债表 '!L54=0,"-",TEXT(ABS('合并资产负债表 '!L54),"#,##0.00"))</f>
        <v>#DIV/0!</v>
      </c>
    </row>
    <row r="1731" spans="1:3">
      <c r="A1731" s="432" t="s">
        <v>1940</v>
      </c>
      <c r="B1731" s="432" t="e">
        <f t="shared" si="26"/>
        <v>#DIV/0!</v>
      </c>
      <c r="C1731" s="435" t="e">
        <f>IF('合并资产负债表 '!L56=0,"-",TEXT(ABS('合并资产负债表 '!L56),"#,##0.00"))</f>
        <v>#DIV/0!</v>
      </c>
    </row>
    <row r="1732" spans="1:3">
      <c r="A1732" s="432" t="s">
        <v>1941</v>
      </c>
      <c r="B1732" s="432" t="e">
        <f t="shared" si="26"/>
        <v>#DIV/0!</v>
      </c>
      <c r="C1732" s="435" t="e">
        <f>IF('合并资产负债表 '!L57=0,"-",TEXT(ABS('合并资产负债表 '!L57),"#,##0.00"))</f>
        <v>#DIV/0!</v>
      </c>
    </row>
    <row r="1733" spans="1:3">
      <c r="A1733" s="432" t="s">
        <v>1942</v>
      </c>
      <c r="B1733" s="432" t="e">
        <f t="shared" si="26"/>
        <v>#DIV/0!</v>
      </c>
      <c r="C1733" s="435" t="e">
        <f>IF('合并资产负债表 '!L58=0,"-",TEXT(ABS('合并资产负债表 '!L58),"#,##0.00"))</f>
        <v>#DIV/0!</v>
      </c>
    </row>
    <row r="1734" spans="1:3">
      <c r="A1734" s="432" t="s">
        <v>1943</v>
      </c>
      <c r="B1734" s="432" t="e">
        <f t="shared" si="26"/>
        <v>#DIV/0!</v>
      </c>
      <c r="C1734" s="435" t="e">
        <f>IF('合并资产负债表 '!L59=0,"-",TEXT(ABS('合并资产负债表 '!L59),"#,##0.00"))</f>
        <v>#DIV/0!</v>
      </c>
    </row>
    <row r="1735" spans="1:3">
      <c r="A1735" s="432" t="s">
        <v>1944</v>
      </c>
      <c r="B1735" s="432" t="e">
        <f t="shared" si="26"/>
        <v>#DIV/0!</v>
      </c>
      <c r="C1735" s="435" t="e">
        <f>IF('合并资产负债表 '!L60=0,"-",TEXT(ABS('合并资产负债表 '!L60),"#,##0.00"))</f>
        <v>#DIV/0!</v>
      </c>
    </row>
    <row r="1736" spans="1:3">
      <c r="A1736" s="432" t="s">
        <v>1945</v>
      </c>
      <c r="B1736" s="432" t="e">
        <f t="shared" ref="B1736:B1799" si="27">TRIM(C1736)</f>
        <v>#DIV/0!</v>
      </c>
      <c r="C1736" s="435" t="e">
        <f>IF('合并资产负债表 '!L61=0,"-",TEXT(ABS('合并资产负债表 '!L61),"#,##0.00"))</f>
        <v>#DIV/0!</v>
      </c>
    </row>
    <row r="1737" spans="1:3">
      <c r="A1737" s="432" t="s">
        <v>1946</v>
      </c>
      <c r="B1737" s="432" t="e">
        <f t="shared" si="27"/>
        <v>#DIV/0!</v>
      </c>
      <c r="C1737" s="435" t="e">
        <f>IF('合并资产负债表 '!L62=0,"-",TEXT(ABS('合并资产负债表 '!L62),"#,##0.00"))</f>
        <v>#DIV/0!</v>
      </c>
    </row>
    <row r="1738" spans="1:3">
      <c r="A1738" s="432" t="s">
        <v>1947</v>
      </c>
      <c r="B1738" s="432" t="e">
        <f t="shared" si="27"/>
        <v>#DIV/0!</v>
      </c>
      <c r="C1738" s="435" t="e">
        <f>IF('合并资产负债表 '!L63=0,"-",TEXT(ABS('合并资产负债表 '!L63),"#,##0.00"))</f>
        <v>#DIV/0!</v>
      </c>
    </row>
    <row r="1739" spans="1:3">
      <c r="A1739" s="432" t="s">
        <v>1948</v>
      </c>
      <c r="B1739" s="432" t="e">
        <f t="shared" si="27"/>
        <v>#DIV/0!</v>
      </c>
      <c r="C1739" s="435" t="e">
        <f>IF('合并资产负债表 '!L64=0,"-",TEXT(ABS('合并资产负债表 '!L64),"#,##0.00"))</f>
        <v>#DIV/0!</v>
      </c>
    </row>
    <row r="1740" spans="1:3">
      <c r="A1740" s="432" t="s">
        <v>1949</v>
      </c>
      <c r="B1740" s="432" t="e">
        <f t="shared" si="27"/>
        <v>#DIV/0!</v>
      </c>
      <c r="C1740" s="435" t="e">
        <f>IF('合并资产负债表 '!L65=0,"-",TEXT(ABS('合并资产负债表 '!L65),"#,##0.00"))</f>
        <v>#DIV/0!</v>
      </c>
    </row>
    <row r="1741" spans="1:3">
      <c r="A1741" s="432" t="s">
        <v>1950</v>
      </c>
      <c r="B1741" s="432" t="e">
        <f t="shared" si="27"/>
        <v>#DIV/0!</v>
      </c>
      <c r="C1741" s="435" t="e">
        <f>IF('合并资产负债表 '!L66=0,"-",TEXT(ABS('合并资产负债表 '!L66),"#,##0.00"))</f>
        <v>#DIV/0!</v>
      </c>
    </row>
    <row r="1742" spans="1:3">
      <c r="A1742" s="432" t="s">
        <v>1951</v>
      </c>
      <c r="B1742" s="432" t="e">
        <f t="shared" si="27"/>
        <v>#DIV/0!</v>
      </c>
      <c r="C1742" s="435" t="e">
        <f>IF('合并资产负债表 '!L67=0,"-",TEXT(ABS('合并资产负债表 '!L67),"#,##0.00"))</f>
        <v>#DIV/0!</v>
      </c>
    </row>
    <row r="1743" spans="1:3">
      <c r="A1743" s="432" t="s">
        <v>1983</v>
      </c>
      <c r="B1743" s="432" t="e">
        <f t="shared" si="27"/>
        <v>#DIV/0!</v>
      </c>
      <c r="C1743" s="435" t="e">
        <f>IF('合并资产负债表 '!M39=0,"-",TEXT(ABS('合并资产负债表 '!M39),"#,##0.00"))</f>
        <v>#DIV/0!</v>
      </c>
    </row>
    <row r="1744" spans="1:3">
      <c r="A1744" s="432" t="s">
        <v>1984</v>
      </c>
      <c r="B1744" s="432" t="e">
        <f t="shared" si="27"/>
        <v>#DIV/0!</v>
      </c>
      <c r="C1744" s="435" t="e">
        <f>IF('合并资产负债表 '!M40=0,"-",TEXT(ABS('合并资产负债表 '!M40),"#,##0.00"))</f>
        <v>#DIV/0!</v>
      </c>
    </row>
    <row r="1745" spans="1:3">
      <c r="A1745" s="432" t="s">
        <v>1985</v>
      </c>
      <c r="B1745" s="432" t="e">
        <f t="shared" si="27"/>
        <v>#DIV/0!</v>
      </c>
      <c r="C1745" s="435" t="e">
        <f>IF('合并资产负债表 '!M41=0,"-",TEXT(ABS('合并资产负债表 '!M41),"#,##0.00"))</f>
        <v>#DIV/0!</v>
      </c>
    </row>
    <row r="1746" spans="1:3">
      <c r="A1746" s="432" t="s">
        <v>1986</v>
      </c>
      <c r="B1746" s="432" t="e">
        <f t="shared" si="27"/>
        <v>#DIV/0!</v>
      </c>
      <c r="C1746" s="435" t="e">
        <f>IF('合并资产负债表 '!M42=0,"-",TEXT(ABS('合并资产负债表 '!M42),"#,##0.00"))</f>
        <v>#DIV/0!</v>
      </c>
    </row>
    <row r="1747" spans="1:3">
      <c r="A1747" s="432" t="s">
        <v>1987</v>
      </c>
      <c r="B1747" s="432" t="e">
        <f t="shared" si="27"/>
        <v>#DIV/0!</v>
      </c>
      <c r="C1747" s="435" t="e">
        <f>IF('合并资产负债表 '!M43=0,"-",TEXT(ABS('合并资产负债表 '!M43),"#,##0.00"))</f>
        <v>#DIV/0!</v>
      </c>
    </row>
    <row r="1748" spans="1:3">
      <c r="A1748" s="432" t="s">
        <v>1988</v>
      </c>
      <c r="B1748" s="432" t="e">
        <f t="shared" si="27"/>
        <v>#DIV/0!</v>
      </c>
      <c r="C1748" s="435" t="e">
        <f>IF('合并资产负债表 '!M44=0,"-",TEXT(ABS('合并资产负债表 '!M44),"#,##0.00"))</f>
        <v>#DIV/0!</v>
      </c>
    </row>
    <row r="1749" spans="1:3">
      <c r="A1749" s="432" t="s">
        <v>1989</v>
      </c>
      <c r="B1749" s="432" t="e">
        <f t="shared" si="27"/>
        <v>#DIV/0!</v>
      </c>
      <c r="C1749" s="435" t="e">
        <f>IF('合并资产负债表 '!M45=0,"-",TEXT(ABS('合并资产负债表 '!M45),"#,##0.00"))</f>
        <v>#DIV/0!</v>
      </c>
    </row>
    <row r="1750" spans="1:3">
      <c r="A1750" s="432" t="s">
        <v>1990</v>
      </c>
      <c r="B1750" s="432" t="e">
        <f t="shared" si="27"/>
        <v>#DIV/0!</v>
      </c>
      <c r="C1750" s="435" t="e">
        <f>IF('合并资产负债表 '!M46=0,"-",TEXT(ABS('合并资产负债表 '!M46),"#,##0.00"))</f>
        <v>#DIV/0!</v>
      </c>
    </row>
    <row r="1751" spans="1:3">
      <c r="A1751" s="432" t="s">
        <v>3314</v>
      </c>
      <c r="B1751" s="432" t="e">
        <f t="shared" si="27"/>
        <v>#DIV/0!</v>
      </c>
      <c r="C1751" s="435" t="e">
        <f>IF('合并资产负债表 '!M47=0,"-",TEXT(ABS('合并资产负债表 '!M47),"#,##0.00"))</f>
        <v>#DIV/0!</v>
      </c>
    </row>
    <row r="1752" spans="1:3">
      <c r="A1752" s="432" t="s">
        <v>1991</v>
      </c>
      <c r="B1752" s="432" t="e">
        <f t="shared" si="27"/>
        <v>#DIV/0!</v>
      </c>
      <c r="C1752" s="435" t="e">
        <f>IF('合并资产负债表 '!M48=0,"-",TEXT(ABS('合并资产负债表 '!M48),"#,##0.00"))</f>
        <v>#DIV/0!</v>
      </c>
    </row>
    <row r="1753" spans="1:3">
      <c r="A1753" s="432" t="s">
        <v>1992</v>
      </c>
      <c r="B1753" s="432" t="e">
        <f t="shared" si="27"/>
        <v>#DIV/0!</v>
      </c>
      <c r="C1753" s="435" t="e">
        <f>IF('合并资产负债表 '!M49=0,"-",TEXT(ABS('合并资产负债表 '!M49),"#,##0.00"))</f>
        <v>#DIV/0!</v>
      </c>
    </row>
    <row r="1754" spans="1:3">
      <c r="A1754" s="432" t="s">
        <v>1993</v>
      </c>
      <c r="B1754" s="432" t="e">
        <f t="shared" si="27"/>
        <v>#DIV/0!</v>
      </c>
      <c r="C1754" s="435" t="e">
        <f>IF('合并资产负债表 '!M50=0,"-",TEXT(ABS('合并资产负债表 '!M50),"#,##0.00"))</f>
        <v>#DIV/0!</v>
      </c>
    </row>
    <row r="1755" spans="1:3">
      <c r="A1755" s="432" t="s">
        <v>1994</v>
      </c>
      <c r="B1755" s="432" t="e">
        <f t="shared" si="27"/>
        <v>#DIV/0!</v>
      </c>
      <c r="C1755" s="435" t="e">
        <f>IF('合并资产负债表 '!M51=0,"-",TEXT(ABS('合并资产负债表 '!M51),"#,##0.00"))</f>
        <v>#DIV/0!</v>
      </c>
    </row>
    <row r="1756" spans="1:3">
      <c r="A1756" s="432" t="s">
        <v>1995</v>
      </c>
      <c r="B1756" s="432" t="e">
        <f t="shared" si="27"/>
        <v>#DIV/0!</v>
      </c>
      <c r="C1756" s="435" t="e">
        <f>IF('合并资产负债表 '!M52=0,"-",TEXT(ABS('合并资产负债表 '!M52),"#,##0.00"))</f>
        <v>#DIV/0!</v>
      </c>
    </row>
    <row r="1757" spans="1:3">
      <c r="A1757" s="432" t="s">
        <v>1996</v>
      </c>
      <c r="B1757" s="432" t="e">
        <f t="shared" si="27"/>
        <v>#DIV/0!</v>
      </c>
      <c r="C1757" s="435" t="e">
        <f>IF('合并资产负债表 '!M53=0,"-",TEXT(ABS('合并资产负债表 '!M53),"#,##0.00"))</f>
        <v>#DIV/0!</v>
      </c>
    </row>
    <row r="1758" spans="1:3">
      <c r="A1758" s="432" t="s">
        <v>1997</v>
      </c>
      <c r="B1758" s="432" t="e">
        <f t="shared" si="27"/>
        <v>#DIV/0!</v>
      </c>
      <c r="C1758" s="435" t="e">
        <f>IF('合并资产负债表 '!M54=0,"-",TEXT(ABS('合并资产负债表 '!M54),"#,##0.00"))</f>
        <v>#DIV/0!</v>
      </c>
    </row>
    <row r="1759" spans="1:3">
      <c r="A1759" s="432" t="s">
        <v>1998</v>
      </c>
      <c r="B1759" s="432" t="e">
        <f t="shared" si="27"/>
        <v>#DIV/0!</v>
      </c>
      <c r="C1759" s="435" t="e">
        <f>IF('合并资产负债表 '!M56=0,"-",TEXT(ABS('合并资产负债表 '!M56),"#,##0.00"))</f>
        <v>#DIV/0!</v>
      </c>
    </row>
    <row r="1760" spans="1:3">
      <c r="A1760" s="432" t="s">
        <v>1999</v>
      </c>
      <c r="B1760" s="432" t="e">
        <f t="shared" si="27"/>
        <v>#DIV/0!</v>
      </c>
      <c r="C1760" s="435" t="e">
        <f>IF('合并资产负债表 '!M57=0,"-",TEXT(ABS('合并资产负债表 '!M57),"#,##0.00"))</f>
        <v>#DIV/0!</v>
      </c>
    </row>
    <row r="1761" spans="1:5">
      <c r="A1761" s="432" t="s">
        <v>2000</v>
      </c>
      <c r="B1761" s="432" t="e">
        <f t="shared" si="27"/>
        <v>#DIV/0!</v>
      </c>
      <c r="C1761" s="435" t="e">
        <f>IF('合并资产负债表 '!M58=0,"-",TEXT(ABS('合并资产负债表 '!M58),"#,##0.00"))</f>
        <v>#DIV/0!</v>
      </c>
    </row>
    <row r="1762" spans="1:5">
      <c r="A1762" s="432" t="s">
        <v>2001</v>
      </c>
      <c r="B1762" s="432" t="e">
        <f t="shared" si="27"/>
        <v>#DIV/0!</v>
      </c>
      <c r="C1762" s="435" t="e">
        <f>IF('合并资产负债表 '!M59=0,"-",TEXT(ABS('合并资产负债表 '!M59),"#,##0.00"))</f>
        <v>#DIV/0!</v>
      </c>
    </row>
    <row r="1763" spans="1:5">
      <c r="A1763" s="432" t="s">
        <v>2002</v>
      </c>
      <c r="B1763" s="432" t="e">
        <f t="shared" si="27"/>
        <v>#DIV/0!</v>
      </c>
      <c r="C1763" s="435" t="e">
        <f>IF('合并资产负债表 '!M60=0,"-",TEXT(ABS('合并资产负债表 '!M60),"#,##0.00"))</f>
        <v>#DIV/0!</v>
      </c>
    </row>
    <row r="1764" spans="1:5">
      <c r="A1764" s="432" t="s">
        <v>2003</v>
      </c>
      <c r="B1764" s="432" t="e">
        <f t="shared" si="27"/>
        <v>#DIV/0!</v>
      </c>
      <c r="C1764" s="435" t="e">
        <f>IF('合并资产负债表 '!M61=0,"-",TEXT(ABS('合并资产负债表 '!M61),"#,##0.00"))</f>
        <v>#DIV/0!</v>
      </c>
    </row>
    <row r="1765" spans="1:5">
      <c r="A1765" s="432" t="s">
        <v>2004</v>
      </c>
      <c r="B1765" s="432" t="e">
        <f t="shared" si="27"/>
        <v>#DIV/0!</v>
      </c>
      <c r="C1765" s="435" t="e">
        <f>IF('合并资产负债表 '!M62=0,"-",TEXT(ABS('合并资产负债表 '!M62),"#,##0.00"))</f>
        <v>#DIV/0!</v>
      </c>
    </row>
    <row r="1766" spans="1:5">
      <c r="A1766" s="432" t="s">
        <v>2005</v>
      </c>
      <c r="B1766" s="432" t="e">
        <f t="shared" si="27"/>
        <v>#DIV/0!</v>
      </c>
      <c r="C1766" s="435" t="e">
        <f>IF('合并资产负债表 '!M63=0,"-",TEXT(ABS('合并资产负债表 '!M63),"#,##0.00"))</f>
        <v>#DIV/0!</v>
      </c>
    </row>
    <row r="1767" spans="1:5">
      <c r="A1767" s="432" t="s">
        <v>2006</v>
      </c>
      <c r="B1767" s="432" t="e">
        <f t="shared" si="27"/>
        <v>#DIV/0!</v>
      </c>
      <c r="C1767" s="435" t="e">
        <f>IF('合并资产负债表 '!M64=0,"-",TEXT(ABS('合并资产负债表 '!M64),"#,##0.00"))</f>
        <v>#DIV/0!</v>
      </c>
    </row>
    <row r="1768" spans="1:5">
      <c r="A1768" s="432" t="s">
        <v>2007</v>
      </c>
      <c r="B1768" s="432" t="e">
        <f t="shared" si="27"/>
        <v>#DIV/0!</v>
      </c>
      <c r="C1768" s="435" t="e">
        <f>IF('合并资产负债表 '!M65=0,"-",TEXT(ABS('合并资产负债表 '!M65),"#,##0.00"))</f>
        <v>#DIV/0!</v>
      </c>
    </row>
    <row r="1769" spans="1:5">
      <c r="A1769" s="432" t="s">
        <v>2008</v>
      </c>
      <c r="B1769" s="432" t="e">
        <f t="shared" si="27"/>
        <v>#DIV/0!</v>
      </c>
      <c r="C1769" s="435" t="e">
        <f>IF('合并资产负债表 '!M66=0,"-",TEXT(ABS('合并资产负债表 '!M66),"#,##0.00"))</f>
        <v>#DIV/0!</v>
      </c>
    </row>
    <row r="1770" spans="1:5">
      <c r="A1770" s="432" t="s">
        <v>2009</v>
      </c>
      <c r="B1770" s="432" t="e">
        <f t="shared" si="27"/>
        <v>#DIV/0!</v>
      </c>
      <c r="C1770" s="435" t="e">
        <f>IF('合并资产负债表 '!M67=0,"-",TEXT(ABS('合并资产负债表 '!M67),"#,##0.00"))</f>
        <v>#DIV/0!</v>
      </c>
    </row>
    <row r="1771" spans="1:5">
      <c r="A1771" s="432" t="s">
        <v>2452</v>
      </c>
      <c r="B1771" s="432" t="str">
        <f t="shared" si="27"/>
        <v>【】</v>
      </c>
      <c r="C1771" s="435" t="str">
        <f>IF('合并资产负债表 '!R5=0,"【】",TEXT(ABS('合并资产负债表 '!R5),"#,##0.00"))</f>
        <v>【】</v>
      </c>
      <c r="E1771" s="436" t="s">
        <v>2513</v>
      </c>
    </row>
    <row r="1772" spans="1:5">
      <c r="A1772" s="432" t="s">
        <v>2453</v>
      </c>
      <c r="B1772" s="432" t="str">
        <f t="shared" si="27"/>
        <v>【】</v>
      </c>
      <c r="C1772" s="435" t="str">
        <f>IF('合并资产负债表 '!R6=0,"【】",TEXT(ABS('合并资产负债表 '!R6),"#,##0.00"))</f>
        <v>【】</v>
      </c>
    </row>
    <row r="1773" spans="1:5">
      <c r="A1773" s="432" t="s">
        <v>2454</v>
      </c>
      <c r="B1773" s="432" t="str">
        <f t="shared" si="27"/>
        <v>【】</v>
      </c>
      <c r="C1773" s="435" t="str">
        <f>IF('合并资产负债表 '!R7=0,"【】",TEXT(ABS('合并资产负债表 '!R7),"#,##0.00"))</f>
        <v>【】</v>
      </c>
    </row>
    <row r="1774" spans="1:5">
      <c r="A1774" s="432" t="s">
        <v>2455</v>
      </c>
      <c r="B1774" s="432" t="str">
        <f t="shared" si="27"/>
        <v>【】</v>
      </c>
      <c r="C1774" s="435" t="str">
        <f>IF('合并资产负债表 '!R8=0,"【】",TEXT(ABS('合并资产负债表 '!R8),"#,##0.00"))</f>
        <v>【】</v>
      </c>
    </row>
    <row r="1775" spans="1:5">
      <c r="A1775" s="432" t="s">
        <v>2456</v>
      </c>
      <c r="B1775" s="432" t="str">
        <f t="shared" si="27"/>
        <v>【】</v>
      </c>
      <c r="C1775" s="435" t="str">
        <f>IF('合并资产负债表 '!R9=0,"【】",TEXT(ABS('合并资产负债表 '!R9),"#,##0.00"))</f>
        <v>【】</v>
      </c>
    </row>
    <row r="1776" spans="1:5">
      <c r="A1776" s="432" t="s">
        <v>2457</v>
      </c>
      <c r="B1776" s="432" t="str">
        <f t="shared" si="27"/>
        <v>【】</v>
      </c>
      <c r="C1776" s="435" t="str">
        <f>IF('合并资产负债表 '!R10=0,"【】",TEXT(ABS('合并资产负债表 '!R10),"#,##0.00"))</f>
        <v>【】</v>
      </c>
    </row>
    <row r="1777" spans="1:3">
      <c r="A1777" s="432" t="s">
        <v>2458</v>
      </c>
      <c r="B1777" s="432" t="str">
        <f t="shared" si="27"/>
        <v>【】</v>
      </c>
      <c r="C1777" s="435" t="str">
        <f>IF('合并资产负债表 '!R11=0,"【】",TEXT(ABS('合并资产负债表 '!R11),"#,##0.00"))</f>
        <v>【】</v>
      </c>
    </row>
    <row r="1778" spans="1:3">
      <c r="A1778" s="432" t="s">
        <v>2459</v>
      </c>
      <c r="B1778" s="432" t="str">
        <f t="shared" si="27"/>
        <v>【】</v>
      </c>
      <c r="C1778" s="435" t="str">
        <f>IF('合并资产负债表 '!R12=0,"【】",TEXT(ABS('合并资产负债表 '!R12),"#,##0.00"))</f>
        <v>【】</v>
      </c>
    </row>
    <row r="1779" spans="1:3">
      <c r="A1779" s="432" t="s">
        <v>2460</v>
      </c>
      <c r="B1779" s="432" t="str">
        <f t="shared" si="27"/>
        <v>【】</v>
      </c>
      <c r="C1779" s="435" t="str">
        <f>IF('合并资产负债表 '!R13=0,"【】",TEXT(ABS('合并资产负债表 '!R13),"#,##0.00"))</f>
        <v>【】</v>
      </c>
    </row>
    <row r="1780" spans="1:3">
      <c r="A1780" s="432" t="s">
        <v>2461</v>
      </c>
      <c r="B1780" s="432" t="str">
        <f t="shared" si="27"/>
        <v>【】</v>
      </c>
      <c r="C1780" s="435" t="str">
        <f>IF('合并资产负债表 '!R14=0,"【】",TEXT(ABS('合并资产负债表 '!R14),"#,##0.00"))</f>
        <v>【】</v>
      </c>
    </row>
    <row r="1781" spans="1:3">
      <c r="A1781" s="432" t="s">
        <v>2462</v>
      </c>
      <c r="B1781" s="432" t="str">
        <f t="shared" si="27"/>
        <v>【】</v>
      </c>
      <c r="C1781" s="435" t="str">
        <f>IF('合并资产负债表 '!R15=0,"【】",TEXT(ABS('合并资产负债表 '!R15),"#,##0.00"))</f>
        <v>【】</v>
      </c>
    </row>
    <row r="1782" spans="1:3">
      <c r="A1782" s="432" t="s">
        <v>2463</v>
      </c>
      <c r="B1782" s="432" t="str">
        <f t="shared" si="27"/>
        <v>【】</v>
      </c>
      <c r="C1782" s="435" t="str">
        <f>IF('合并资产负债表 '!R16=0,"【】",TEXT(ABS('合并资产负债表 '!R16),"#,##0.00"))</f>
        <v>【】</v>
      </c>
    </row>
    <row r="1783" spans="1:3">
      <c r="A1783" s="432" t="s">
        <v>2464</v>
      </c>
      <c r="B1783" s="432" t="str">
        <f t="shared" si="27"/>
        <v>【】</v>
      </c>
      <c r="C1783" s="435" t="str">
        <f>IF('合并资产负债表 '!R17=0,"【】",TEXT(ABS('合并资产负债表 '!R17),"#,##0.00"))</f>
        <v>【】</v>
      </c>
    </row>
    <row r="1784" spans="1:3">
      <c r="A1784" s="432" t="s">
        <v>2465</v>
      </c>
      <c r="B1784" s="432" t="str">
        <f t="shared" si="27"/>
        <v>【】</v>
      </c>
      <c r="C1784" s="435" t="str">
        <f>IF('合并资产负债表 '!R18=0,"【】",TEXT(ABS('合并资产负债表 '!R18),"#,##0.00"))</f>
        <v>【】</v>
      </c>
    </row>
    <row r="1785" spans="1:3">
      <c r="A1785" s="432" t="s">
        <v>2466</v>
      </c>
      <c r="B1785" s="432" t="str">
        <f t="shared" si="27"/>
        <v>【】</v>
      </c>
      <c r="C1785" s="435" t="str">
        <f>IF('合并资产负债表 '!R19=0,"【】",TEXT(ABS('合并资产负债表 '!R19),"#,##0.00"))</f>
        <v>【】</v>
      </c>
    </row>
    <row r="1786" spans="1:3">
      <c r="A1786" s="432" t="s">
        <v>2467</v>
      </c>
      <c r="B1786" s="432" t="str">
        <f t="shared" si="27"/>
        <v>【】</v>
      </c>
      <c r="C1786" s="435" t="str">
        <f>IF('合并资产负债表 '!R21=0,"【】",TEXT(ABS('合并资产负债表 '!R21),"#,##0.00"))</f>
        <v>【】</v>
      </c>
    </row>
    <row r="1787" spans="1:3">
      <c r="A1787" s="432" t="s">
        <v>2468</v>
      </c>
      <c r="B1787" s="432" t="str">
        <f t="shared" si="27"/>
        <v>【】</v>
      </c>
      <c r="C1787" s="435" t="str">
        <f>IF('合并资产负债表 '!R22=0,"【】",TEXT(ABS('合并资产负债表 '!R22),"#,##0.00"))</f>
        <v>【】</v>
      </c>
    </row>
    <row r="1788" spans="1:3">
      <c r="A1788" s="432" t="s">
        <v>2469</v>
      </c>
      <c r="B1788" s="432" t="str">
        <f t="shared" si="27"/>
        <v>【】</v>
      </c>
      <c r="C1788" s="435" t="str">
        <f>IF('合并资产负债表 '!R23=0,"【】",TEXT(ABS('合并资产负债表 '!R23),"#,##0.00"))</f>
        <v>【】</v>
      </c>
    </row>
    <row r="1789" spans="1:3">
      <c r="A1789" s="432" t="s">
        <v>2470</v>
      </c>
      <c r="B1789" s="432" t="str">
        <f t="shared" si="27"/>
        <v>【】</v>
      </c>
      <c r="C1789" s="435" t="str">
        <f>IF('合并资产负债表 '!R24=0,"【】",TEXT(ABS('合并资产负债表 '!R24),"#,##0.00"))</f>
        <v>【】</v>
      </c>
    </row>
    <row r="1790" spans="1:3">
      <c r="A1790" s="432" t="s">
        <v>2471</v>
      </c>
      <c r="B1790" s="432" t="str">
        <f t="shared" si="27"/>
        <v>【】</v>
      </c>
      <c r="C1790" s="435" t="str">
        <f>IF('合并资产负债表 '!R25=0,"【】",TEXT(ABS('合并资产负债表 '!R25),"#,##0.00"))</f>
        <v>【】</v>
      </c>
    </row>
    <row r="1791" spans="1:3">
      <c r="A1791" s="432" t="s">
        <v>2472</v>
      </c>
      <c r="B1791" s="432" t="str">
        <f t="shared" si="27"/>
        <v>【】</v>
      </c>
      <c r="C1791" s="435" t="str">
        <f>IF('合并资产负债表 '!R26=0,"【】",TEXT(ABS('合并资产负债表 '!R26),"#,##0.00"))</f>
        <v>【】</v>
      </c>
    </row>
    <row r="1792" spans="1:3">
      <c r="A1792" s="432" t="s">
        <v>2473</v>
      </c>
      <c r="B1792" s="432" t="str">
        <f t="shared" si="27"/>
        <v>【】</v>
      </c>
      <c r="C1792" s="435" t="str">
        <f>IF('合并资产负债表 '!R27=0,"【】",TEXT(ABS('合并资产负债表 '!R27),"#,##0.00"))</f>
        <v>【】</v>
      </c>
    </row>
    <row r="1793" spans="1:3">
      <c r="A1793" s="432" t="s">
        <v>2474</v>
      </c>
      <c r="B1793" s="432" t="str">
        <f t="shared" si="27"/>
        <v>【】</v>
      </c>
      <c r="C1793" s="435" t="str">
        <f>IF('合并资产负债表 '!R28=0,"【】",TEXT(ABS('合并资产负债表 '!R28),"#,##0.00"))</f>
        <v>【】</v>
      </c>
    </row>
    <row r="1794" spans="1:3">
      <c r="A1794" s="432" t="s">
        <v>2475</v>
      </c>
      <c r="B1794" s="432" t="str">
        <f t="shared" si="27"/>
        <v>【】</v>
      </c>
      <c r="C1794" s="435" t="str">
        <f>IF('合并资产负债表 '!R29=0,"【】",TEXT(ABS('合并资产负债表 '!R29),"#,##0.00"))</f>
        <v>【】</v>
      </c>
    </row>
    <row r="1795" spans="1:3">
      <c r="A1795" s="432" t="s">
        <v>2476</v>
      </c>
      <c r="B1795" s="432" t="str">
        <f t="shared" si="27"/>
        <v>【】</v>
      </c>
      <c r="C1795" s="435" t="str">
        <f>IF('合并资产负债表 '!R30=0,"【】",TEXT(ABS('合并资产负债表 '!R30),"#,##0.00"))</f>
        <v>【】</v>
      </c>
    </row>
    <row r="1796" spans="1:3">
      <c r="A1796" s="432" t="s">
        <v>2477</v>
      </c>
      <c r="B1796" s="432" t="str">
        <f t="shared" si="27"/>
        <v>【】</v>
      </c>
      <c r="C1796" s="435" t="str">
        <f>IF('合并资产负债表 '!R31=0,"【】",TEXT(ABS('合并资产负债表 '!R31),"#,##0.00"))</f>
        <v>【】</v>
      </c>
    </row>
    <row r="1797" spans="1:3">
      <c r="A1797" s="432" t="s">
        <v>2478</v>
      </c>
      <c r="B1797" s="432" t="str">
        <f t="shared" si="27"/>
        <v>【】</v>
      </c>
      <c r="C1797" s="435" t="str">
        <f>IF('合并资产负债表 '!R32=0,"【】",TEXT(ABS('合并资产负债表 '!R32),"#,##0.00"))</f>
        <v>【】</v>
      </c>
    </row>
    <row r="1798" spans="1:3">
      <c r="A1798" s="432" t="s">
        <v>2479</v>
      </c>
      <c r="B1798" s="432" t="str">
        <f t="shared" si="27"/>
        <v>【】</v>
      </c>
      <c r="C1798" s="435" t="str">
        <f>IF('合并资产负债表 '!R33=0,"【】",TEXT(ABS('合并资产负债表 '!R33),"#,##0.00"))</f>
        <v>【】</v>
      </c>
    </row>
    <row r="1799" spans="1:3">
      <c r="A1799" s="432" t="s">
        <v>2480</v>
      </c>
      <c r="B1799" s="432" t="str">
        <f t="shared" si="27"/>
        <v>【】</v>
      </c>
      <c r="C1799" s="435" t="str">
        <f>IF('合并资产负债表 '!R34=0,"【】",TEXT(ABS('合并资产负债表 '!R34),"#,##0.00"))</f>
        <v>【】</v>
      </c>
    </row>
    <row r="1800" spans="1:3">
      <c r="A1800" s="432" t="s">
        <v>2481</v>
      </c>
      <c r="B1800" s="432" t="str">
        <f t="shared" ref="B1800:B1863" si="28">TRIM(C1800)</f>
        <v>【】</v>
      </c>
      <c r="C1800" s="435" t="str">
        <f>IF('合并资产负债表 '!R35=0,"【】",TEXT(ABS('合并资产负债表 '!R35),"#,##0.00"))</f>
        <v>【】</v>
      </c>
    </row>
    <row r="1801" spans="1:3">
      <c r="A1801" s="432" t="s">
        <v>2482</v>
      </c>
      <c r="B1801" s="432" t="str">
        <f t="shared" si="28"/>
        <v>【】</v>
      </c>
      <c r="C1801" s="435" t="str">
        <f>IF('合并资产负债表 '!R36=0,"【】",TEXT(ABS('合并资产负债表 '!R36),"#,##0.00"))</f>
        <v>【】</v>
      </c>
    </row>
    <row r="1802" spans="1:3">
      <c r="A1802" s="432" t="s">
        <v>2483</v>
      </c>
      <c r="B1802" s="432" t="str">
        <f t="shared" si="28"/>
        <v>【】</v>
      </c>
      <c r="C1802" s="435" t="str">
        <f>IF('合并资产负债表 '!R37=0,"【】",TEXT(ABS('合并资产负债表 '!R37),"#,##0.00"))</f>
        <v>【】</v>
      </c>
    </row>
    <row r="1803" spans="1:3">
      <c r="A1803" s="432" t="s">
        <v>2484</v>
      </c>
      <c r="B1803" s="432" t="str">
        <f t="shared" si="28"/>
        <v>【】</v>
      </c>
      <c r="C1803" s="435" t="str">
        <f>IF('合并资产负债表 '!R39=0,"【】",TEXT(ABS('合并资产负债表 '!R39),"#,##0.00"))</f>
        <v>【】</v>
      </c>
    </row>
    <row r="1804" spans="1:3">
      <c r="A1804" s="432" t="s">
        <v>2485</v>
      </c>
      <c r="B1804" s="432" t="str">
        <f t="shared" si="28"/>
        <v>【】</v>
      </c>
      <c r="C1804" s="435" t="str">
        <f>IF('合并资产负债表 '!R40=0,"【】",TEXT(ABS('合并资产负债表 '!R40),"#,##0.00"))</f>
        <v>【】</v>
      </c>
    </row>
    <row r="1805" spans="1:3">
      <c r="A1805" s="432" t="s">
        <v>2486</v>
      </c>
      <c r="B1805" s="432" t="str">
        <f t="shared" si="28"/>
        <v>【】</v>
      </c>
      <c r="C1805" s="435" t="str">
        <f>IF('合并资产负债表 '!R41=0,"【】",TEXT(ABS('合并资产负债表 '!R41),"#,##0.00"))</f>
        <v>【】</v>
      </c>
    </row>
    <row r="1806" spans="1:3">
      <c r="A1806" s="432" t="s">
        <v>2487</v>
      </c>
      <c r="B1806" s="432" t="str">
        <f t="shared" si="28"/>
        <v>【】</v>
      </c>
      <c r="C1806" s="435" t="str">
        <f>IF('合并资产负债表 '!R42=0,"【】",TEXT(ABS('合并资产负债表 '!R42),"#,##0.00"))</f>
        <v>【】</v>
      </c>
    </row>
    <row r="1807" spans="1:3">
      <c r="A1807" s="432" t="s">
        <v>2488</v>
      </c>
      <c r="B1807" s="432" t="str">
        <f t="shared" si="28"/>
        <v>【】</v>
      </c>
      <c r="C1807" s="435" t="str">
        <f>IF('合并资产负债表 '!R43=0,"【】",TEXT(ABS('合并资产负债表 '!R43),"#,##0.00"))</f>
        <v>【】</v>
      </c>
    </row>
    <row r="1808" spans="1:3">
      <c r="A1808" s="432" t="s">
        <v>2489</v>
      </c>
      <c r="B1808" s="432" t="str">
        <f t="shared" si="28"/>
        <v>【】</v>
      </c>
      <c r="C1808" s="435" t="str">
        <f>IF('合并资产负债表 '!R44=0,"【】",TEXT(ABS('合并资产负债表 '!R44),"#,##0.00"))</f>
        <v>【】</v>
      </c>
    </row>
    <row r="1809" spans="1:3">
      <c r="A1809" s="432" t="s">
        <v>2490</v>
      </c>
      <c r="B1809" s="432" t="str">
        <f t="shared" si="28"/>
        <v>【】</v>
      </c>
      <c r="C1809" s="435" t="str">
        <f>IF('合并资产负债表 '!R45=0,"【】",TEXT(ABS('合并资产负债表 '!R45),"#,##0.00"))</f>
        <v>【】</v>
      </c>
    </row>
    <row r="1810" spans="1:3">
      <c r="A1810" s="432" t="s">
        <v>2491</v>
      </c>
      <c r="B1810" s="432" t="str">
        <f t="shared" si="28"/>
        <v>【】</v>
      </c>
      <c r="C1810" s="435" t="str">
        <f>IF('合并资产负债表 '!R46=0,"【】",TEXT(ABS('合并资产负债表 '!R46),"#,##0.00"))</f>
        <v>【】</v>
      </c>
    </row>
    <row r="1811" spans="1:3">
      <c r="A1811" s="432" t="s">
        <v>2492</v>
      </c>
      <c r="B1811" s="432" t="str">
        <f t="shared" si="28"/>
        <v>【】</v>
      </c>
      <c r="C1811" s="435" t="str">
        <f>IF('合并资产负债表 '!R47=0,"【】",TEXT(ABS('合并资产负债表 '!R47),"#,##0.00"))</f>
        <v>【】</v>
      </c>
    </row>
    <row r="1812" spans="1:3">
      <c r="A1812" s="432" t="s">
        <v>2493</v>
      </c>
      <c r="B1812" s="432" t="str">
        <f t="shared" si="28"/>
        <v>【】</v>
      </c>
      <c r="C1812" s="435" t="str">
        <f>IF('合并资产负债表 '!R48=0,"【】",TEXT(ABS('合并资产负债表 '!R48),"#,##0.00"))</f>
        <v>【】</v>
      </c>
    </row>
    <row r="1813" spans="1:3">
      <c r="A1813" s="432" t="s">
        <v>2494</v>
      </c>
      <c r="B1813" s="432" t="str">
        <f t="shared" si="28"/>
        <v>【】</v>
      </c>
      <c r="C1813" s="435" t="str">
        <f>IF('合并资产负债表 '!R49=0,"【】",TEXT(ABS('合并资产负债表 '!R49),"#,##0.00"))</f>
        <v>【】</v>
      </c>
    </row>
    <row r="1814" spans="1:3">
      <c r="A1814" s="432" t="s">
        <v>2495</v>
      </c>
      <c r="B1814" s="432" t="str">
        <f t="shared" si="28"/>
        <v>【】</v>
      </c>
      <c r="C1814" s="435" t="str">
        <f>IF('合并资产负债表 '!R50=0,"【】",TEXT(ABS('合并资产负债表 '!R50),"#,##0.00"))</f>
        <v>【】</v>
      </c>
    </row>
    <row r="1815" spans="1:3">
      <c r="A1815" s="432" t="s">
        <v>2496</v>
      </c>
      <c r="B1815" s="432" t="str">
        <f t="shared" si="28"/>
        <v>【】</v>
      </c>
      <c r="C1815" s="435" t="str">
        <f>IF('合并资产负债表 '!R51=0,"【】",TEXT(ABS('合并资产负债表 '!R51),"#,##0.00"))</f>
        <v>【】</v>
      </c>
    </row>
    <row r="1816" spans="1:3">
      <c r="A1816" s="432" t="s">
        <v>2497</v>
      </c>
      <c r="B1816" s="432" t="str">
        <f t="shared" si="28"/>
        <v>【】</v>
      </c>
      <c r="C1816" s="435" t="str">
        <f>IF('合并资产负债表 '!R52=0,"【】",TEXT(ABS('合并资产负债表 '!R52),"#,##0.00"))</f>
        <v>【】</v>
      </c>
    </row>
    <row r="1817" spans="1:3">
      <c r="A1817" s="432" t="s">
        <v>2498</v>
      </c>
      <c r="B1817" s="432" t="str">
        <f t="shared" si="28"/>
        <v>【】</v>
      </c>
      <c r="C1817" s="435" t="str">
        <f>IF('合并资产负债表 '!R53=0,"【】",TEXT(ABS('合并资产负债表 '!R53),"#,##0.00"))</f>
        <v>【】</v>
      </c>
    </row>
    <row r="1818" spans="1:3">
      <c r="A1818" s="432" t="s">
        <v>2499</v>
      </c>
      <c r="B1818" s="432" t="str">
        <f t="shared" si="28"/>
        <v>【】</v>
      </c>
      <c r="C1818" s="435" t="str">
        <f>IF('合并资产负债表 '!R54=0,"【】",TEXT(ABS('合并资产负债表 '!R54),"#,##0.00"))</f>
        <v>【】</v>
      </c>
    </row>
    <row r="1819" spans="1:3">
      <c r="A1819" s="432" t="s">
        <v>2500</v>
      </c>
      <c r="B1819" s="432" t="str">
        <f t="shared" si="28"/>
        <v>【】</v>
      </c>
      <c r="C1819" s="435" t="str">
        <f>IF('合并资产负债表 '!R56=0,"【】",TEXT(ABS('合并资产负债表 '!R56),"#,##0.00"))</f>
        <v>【】</v>
      </c>
    </row>
    <row r="1820" spans="1:3">
      <c r="A1820" s="432" t="s">
        <v>2501</v>
      </c>
      <c r="B1820" s="432" t="str">
        <f t="shared" si="28"/>
        <v>【】</v>
      </c>
      <c r="C1820" s="435" t="str">
        <f>IF('合并资产负债表 '!R57=0,"【】",TEXT(ABS('合并资产负债表 '!R57),"#,##0.00"))</f>
        <v>【】</v>
      </c>
    </row>
    <row r="1821" spans="1:3">
      <c r="A1821" s="432" t="s">
        <v>2502</v>
      </c>
      <c r="B1821" s="432" t="str">
        <f t="shared" si="28"/>
        <v>【】</v>
      </c>
      <c r="C1821" s="435" t="str">
        <f>IF('合并资产负债表 '!R58=0,"【】",TEXT(ABS('合并资产负债表 '!R58),"#,##0.00"))</f>
        <v>【】</v>
      </c>
    </row>
    <row r="1822" spans="1:3">
      <c r="A1822" s="432" t="s">
        <v>2503</v>
      </c>
      <c r="B1822" s="432" t="str">
        <f t="shared" si="28"/>
        <v>【】</v>
      </c>
      <c r="C1822" s="435" t="str">
        <f>IF('合并资产负债表 '!R59=0,"【】",TEXT(ABS('合并资产负债表 '!R59),"#,##0.00"))</f>
        <v>【】</v>
      </c>
    </row>
    <row r="1823" spans="1:3">
      <c r="A1823" s="432" t="s">
        <v>2504</v>
      </c>
      <c r="B1823" s="432" t="str">
        <f t="shared" si="28"/>
        <v>【】</v>
      </c>
      <c r="C1823" s="435" t="str">
        <f>IF('合并资产负债表 '!R60=0,"【】",TEXT(ABS('合并资产负债表 '!R60),"#,##0.00"))</f>
        <v>【】</v>
      </c>
    </row>
    <row r="1824" spans="1:3">
      <c r="A1824" s="432" t="s">
        <v>2505</v>
      </c>
      <c r="B1824" s="432" t="str">
        <f t="shared" si="28"/>
        <v>【】</v>
      </c>
      <c r="C1824" s="435" t="str">
        <f>IF('合并资产负债表 '!R61=0,"【】",TEXT(ABS('合并资产负债表 '!R61),"#,##0.00"))</f>
        <v>【】</v>
      </c>
    </row>
    <row r="1825" spans="1:3">
      <c r="A1825" s="432" t="s">
        <v>2506</v>
      </c>
      <c r="B1825" s="432" t="str">
        <f t="shared" si="28"/>
        <v>【】</v>
      </c>
      <c r="C1825" s="435" t="str">
        <f>IF('合并资产负债表 '!R62=0,"【】",TEXT(ABS('合并资产负债表 '!R62),"#,##0.00"))</f>
        <v>【】</v>
      </c>
    </row>
    <row r="1826" spans="1:3">
      <c r="A1826" s="432" t="s">
        <v>2507</v>
      </c>
      <c r="B1826" s="432" t="str">
        <f t="shared" si="28"/>
        <v>【】</v>
      </c>
      <c r="C1826" s="435" t="str">
        <f>IF('合并资产负债表 '!R63=0,"【】",TEXT(ABS('合并资产负债表 '!R63),"#,##0.00"))</f>
        <v>【】</v>
      </c>
    </row>
    <row r="1827" spans="1:3">
      <c r="A1827" s="432" t="s">
        <v>2508</v>
      </c>
      <c r="B1827" s="432" t="str">
        <f t="shared" si="28"/>
        <v>【】</v>
      </c>
      <c r="C1827" s="435" t="str">
        <f>IF('合并资产负债表 '!R64=0,"【】",TEXT(ABS('合并资产负债表 '!R64),"#,##0.00"))</f>
        <v>【】</v>
      </c>
    </row>
    <row r="1828" spans="1:3">
      <c r="A1828" s="432" t="s">
        <v>2509</v>
      </c>
      <c r="B1828" s="432" t="str">
        <f t="shared" si="28"/>
        <v>【】</v>
      </c>
      <c r="C1828" s="435" t="str">
        <f>IF('合并资产负债表 '!R65=0,"【】",TEXT(ABS('合并资产负债表 '!R65),"#,##0.00"))</f>
        <v>【】</v>
      </c>
    </row>
    <row r="1829" spans="1:3">
      <c r="A1829" s="432" t="s">
        <v>2510</v>
      </c>
      <c r="B1829" s="432" t="str">
        <f t="shared" si="28"/>
        <v>【】</v>
      </c>
      <c r="C1829" s="435" t="str">
        <f>IF('合并资产负债表 '!R66=0,"【】",TEXT(ABS('合并资产负债表 '!R66),"#,##0.00"))</f>
        <v>【】</v>
      </c>
    </row>
    <row r="1830" spans="1:3">
      <c r="A1830" s="432" t="s">
        <v>2511</v>
      </c>
      <c r="B1830" s="432" t="str">
        <f t="shared" si="28"/>
        <v>【】</v>
      </c>
      <c r="C1830" s="435" t="str">
        <f>IF('合并资产负债表 '!R67=0,"【】",TEXT(ABS('合并资产负债表 '!R67),"#,##0.00"))</f>
        <v>【】</v>
      </c>
    </row>
    <row r="1831" spans="1:3">
      <c r="A1831" s="432" t="s">
        <v>2512</v>
      </c>
      <c r="B1831" s="432" t="str">
        <f t="shared" si="28"/>
        <v>【】</v>
      </c>
      <c r="C1831" s="435" t="str">
        <f>IF('合并资产负债表 '!R68=0,"【】",TEXT(ABS('合并资产负债表 '!R68),"#,##0.00"))</f>
        <v>【】</v>
      </c>
    </row>
    <row r="1832" spans="1:3">
      <c r="A1832" s="432" t="s">
        <v>2391</v>
      </c>
      <c r="B1832" s="432" t="str">
        <f t="shared" si="28"/>
        <v>无变化</v>
      </c>
      <c r="C1832" s="435" t="str">
        <f>注释!P4</f>
        <v>无变化</v>
      </c>
    </row>
    <row r="1833" spans="1:3">
      <c r="A1833" s="432" t="s">
        <v>2392</v>
      </c>
      <c r="B1833" s="432" t="str">
        <f t="shared" si="28"/>
        <v>无变化</v>
      </c>
      <c r="C1833" s="435" t="str">
        <f>注释!P5</f>
        <v>无变化</v>
      </c>
    </row>
    <row r="1834" spans="1:3">
      <c r="A1834" s="432" t="s">
        <v>2393</v>
      </c>
      <c r="B1834" s="432" t="str">
        <f t="shared" si="28"/>
        <v>无变化</v>
      </c>
      <c r="C1834" s="435" t="str">
        <f>注释!P6</f>
        <v>无变化</v>
      </c>
    </row>
    <row r="1835" spans="1:3">
      <c r="A1835" s="432" t="s">
        <v>2394</v>
      </c>
      <c r="B1835" s="432" t="str">
        <f t="shared" si="28"/>
        <v>无变化</v>
      </c>
      <c r="C1835" s="435" t="str">
        <f>注释!P7</f>
        <v>无变化</v>
      </c>
    </row>
    <row r="1836" spans="1:3">
      <c r="A1836" s="432" t="s">
        <v>2395</v>
      </c>
      <c r="B1836" s="432" t="str">
        <f t="shared" si="28"/>
        <v>无变化</v>
      </c>
      <c r="C1836" s="435" t="str">
        <f>注释!P8</f>
        <v>无变化</v>
      </c>
    </row>
    <row r="1837" spans="1:3">
      <c r="A1837" s="432" t="s">
        <v>2396</v>
      </c>
      <c r="B1837" s="432" t="str">
        <f t="shared" si="28"/>
        <v>无变化</v>
      </c>
      <c r="C1837" s="435" t="str">
        <f>注释!P9</f>
        <v>无变化</v>
      </c>
    </row>
    <row r="1838" spans="1:3">
      <c r="A1838" s="432" t="s">
        <v>2397</v>
      </c>
      <c r="B1838" s="432" t="str">
        <f t="shared" si="28"/>
        <v>无变化</v>
      </c>
      <c r="C1838" s="435" t="str">
        <f>注释!P10</f>
        <v>无变化</v>
      </c>
    </row>
    <row r="1839" spans="1:3">
      <c r="A1839" s="432" t="s">
        <v>2398</v>
      </c>
      <c r="B1839" s="432" t="str">
        <f t="shared" si="28"/>
        <v>无变化</v>
      </c>
      <c r="C1839" s="435" t="str">
        <f>注释!P11</f>
        <v>无变化</v>
      </c>
    </row>
    <row r="1840" spans="1:3">
      <c r="A1840" s="432" t="s">
        <v>2399</v>
      </c>
      <c r="B1840" s="432" t="str">
        <f t="shared" si="28"/>
        <v>无变化</v>
      </c>
      <c r="C1840" s="435" t="str">
        <f>注释!P12</f>
        <v>无变化</v>
      </c>
    </row>
    <row r="1841" spans="1:3">
      <c r="A1841" s="432" t="s">
        <v>2400</v>
      </c>
      <c r="B1841" s="432" t="str">
        <f t="shared" si="28"/>
        <v>无变化</v>
      </c>
      <c r="C1841" s="435" t="str">
        <f>注释!P13</f>
        <v>无变化</v>
      </c>
    </row>
    <row r="1842" spans="1:3">
      <c r="A1842" s="432" t="s">
        <v>2401</v>
      </c>
      <c r="B1842" s="432" t="str">
        <f t="shared" si="28"/>
        <v>无变化</v>
      </c>
      <c r="C1842" s="435" t="str">
        <f>注释!P14</f>
        <v>无变化</v>
      </c>
    </row>
    <row r="1843" spans="1:3">
      <c r="A1843" s="432" t="s">
        <v>2402</v>
      </c>
      <c r="B1843" s="432" t="str">
        <f t="shared" si="28"/>
        <v>无变化</v>
      </c>
      <c r="C1843" s="435" t="str">
        <f>注释!P15</f>
        <v>无变化</v>
      </c>
    </row>
    <row r="1844" spans="1:3">
      <c r="A1844" s="432" t="s">
        <v>2403</v>
      </c>
      <c r="B1844" s="432" t="str">
        <f t="shared" si="28"/>
        <v>无变化</v>
      </c>
      <c r="C1844" s="435" t="str">
        <f>注释!P16</f>
        <v>无变化</v>
      </c>
    </row>
    <row r="1845" spans="1:3">
      <c r="A1845" s="432" t="s">
        <v>2404</v>
      </c>
      <c r="B1845" s="432" t="str">
        <f t="shared" si="28"/>
        <v>无变化</v>
      </c>
      <c r="C1845" s="435" t="str">
        <f>注释!P17</f>
        <v>无变化</v>
      </c>
    </row>
    <row r="1846" spans="1:3">
      <c r="A1846" s="432" t="s">
        <v>2405</v>
      </c>
      <c r="B1846" s="432" t="str">
        <f t="shared" si="28"/>
        <v>无变化</v>
      </c>
      <c r="C1846" s="435" t="str">
        <f>注释!P18</f>
        <v>无变化</v>
      </c>
    </row>
    <row r="1847" spans="1:3">
      <c r="A1847" s="432" t="s">
        <v>2406</v>
      </c>
      <c r="B1847" s="432" t="str">
        <f t="shared" si="28"/>
        <v>无变化</v>
      </c>
      <c r="C1847" s="435" t="str">
        <f>注释!P20</f>
        <v>无变化</v>
      </c>
    </row>
    <row r="1848" spans="1:3">
      <c r="A1848" s="432" t="s">
        <v>2407</v>
      </c>
      <c r="B1848" s="432" t="str">
        <f t="shared" si="28"/>
        <v>无变化</v>
      </c>
      <c r="C1848" s="435" t="str">
        <f>注释!P21</f>
        <v>无变化</v>
      </c>
    </row>
    <row r="1849" spans="1:3">
      <c r="A1849" s="432" t="s">
        <v>2408</v>
      </c>
      <c r="B1849" s="432" t="str">
        <f t="shared" si="28"/>
        <v>无变化</v>
      </c>
      <c r="C1849" s="435" t="str">
        <f>注释!P22</f>
        <v>无变化</v>
      </c>
    </row>
    <row r="1850" spans="1:3">
      <c r="A1850" s="432" t="s">
        <v>2409</v>
      </c>
      <c r="B1850" s="432" t="str">
        <f t="shared" si="28"/>
        <v>无变化</v>
      </c>
      <c r="C1850" s="435" t="str">
        <f>注释!P23</f>
        <v>无变化</v>
      </c>
    </row>
    <row r="1851" spans="1:3">
      <c r="A1851" s="432" t="s">
        <v>2410</v>
      </c>
      <c r="B1851" s="432" t="str">
        <f t="shared" si="28"/>
        <v>无变化</v>
      </c>
      <c r="C1851" s="435" t="str">
        <f>注释!P24</f>
        <v>无变化</v>
      </c>
    </row>
    <row r="1852" spans="1:3">
      <c r="A1852" s="432" t="s">
        <v>2411</v>
      </c>
      <c r="B1852" s="432" t="str">
        <f t="shared" si="28"/>
        <v>无变化</v>
      </c>
      <c r="C1852" s="435" t="str">
        <f>注释!P25</f>
        <v>无变化</v>
      </c>
    </row>
    <row r="1853" spans="1:3">
      <c r="A1853" s="432" t="s">
        <v>2412</v>
      </c>
      <c r="B1853" s="432" t="str">
        <f t="shared" si="28"/>
        <v>无变化</v>
      </c>
      <c r="C1853" s="435" t="str">
        <f>注释!P26</f>
        <v>无变化</v>
      </c>
    </row>
    <row r="1854" spans="1:3">
      <c r="A1854" s="432" t="s">
        <v>2413</v>
      </c>
      <c r="B1854" s="432" t="str">
        <f t="shared" si="28"/>
        <v>无变化</v>
      </c>
      <c r="C1854" s="435" t="str">
        <f>注释!P27</f>
        <v>无变化</v>
      </c>
    </row>
    <row r="1855" spans="1:3">
      <c r="A1855" s="432" t="s">
        <v>2414</v>
      </c>
      <c r="B1855" s="432" t="str">
        <f t="shared" si="28"/>
        <v>无变化</v>
      </c>
      <c r="C1855" s="435" t="str">
        <f>注释!P28</f>
        <v>无变化</v>
      </c>
    </row>
    <row r="1856" spans="1:3">
      <c r="A1856" s="432" t="s">
        <v>2415</v>
      </c>
      <c r="B1856" s="432" t="str">
        <f t="shared" si="28"/>
        <v>无变化</v>
      </c>
      <c r="C1856" s="435" t="str">
        <f>注释!P29</f>
        <v>无变化</v>
      </c>
    </row>
    <row r="1857" spans="1:3">
      <c r="A1857" s="432" t="s">
        <v>2416</v>
      </c>
      <c r="B1857" s="432" t="str">
        <f t="shared" si="28"/>
        <v>无变化</v>
      </c>
      <c r="C1857" s="435" t="str">
        <f>注释!P30</f>
        <v>无变化</v>
      </c>
    </row>
    <row r="1858" spans="1:3">
      <c r="A1858" s="432" t="s">
        <v>2417</v>
      </c>
      <c r="B1858" s="432" t="str">
        <f t="shared" si="28"/>
        <v>无变化</v>
      </c>
      <c r="C1858" s="435" t="str">
        <f>注释!P31</f>
        <v>无变化</v>
      </c>
    </row>
    <row r="1859" spans="1:3">
      <c r="A1859" s="432" t="s">
        <v>2418</v>
      </c>
      <c r="B1859" s="432" t="str">
        <f t="shared" si="28"/>
        <v>无变化</v>
      </c>
      <c r="C1859" s="435" t="str">
        <f>注释!P32</f>
        <v>无变化</v>
      </c>
    </row>
    <row r="1860" spans="1:3">
      <c r="A1860" s="432" t="s">
        <v>2419</v>
      </c>
      <c r="B1860" s="432" t="str">
        <f t="shared" si="28"/>
        <v>无变化</v>
      </c>
      <c r="C1860" s="435" t="str">
        <f>注释!P33</f>
        <v>无变化</v>
      </c>
    </row>
    <row r="1861" spans="1:3">
      <c r="A1861" s="432" t="s">
        <v>2420</v>
      </c>
      <c r="B1861" s="432" t="str">
        <f t="shared" si="28"/>
        <v>无变化</v>
      </c>
      <c r="C1861" s="435" t="str">
        <f>注释!P34</f>
        <v>无变化</v>
      </c>
    </row>
    <row r="1862" spans="1:3">
      <c r="A1862" s="432" t="s">
        <v>2421</v>
      </c>
      <c r="B1862" s="432" t="str">
        <f t="shared" si="28"/>
        <v>无变化</v>
      </c>
      <c r="C1862" s="435" t="str">
        <f>注释!P35</f>
        <v>无变化</v>
      </c>
    </row>
    <row r="1863" spans="1:3">
      <c r="A1863" s="432" t="s">
        <v>2422</v>
      </c>
      <c r="B1863" s="432" t="str">
        <f t="shared" si="28"/>
        <v>无变化</v>
      </c>
      <c r="C1863" s="435" t="str">
        <f>注释!P36</f>
        <v>无变化</v>
      </c>
    </row>
    <row r="1864" spans="1:3">
      <c r="A1864" s="432" t="s">
        <v>2423</v>
      </c>
      <c r="B1864" s="432" t="str">
        <f t="shared" ref="B1864:B1927" si="29">TRIM(C1864)</f>
        <v>无变化</v>
      </c>
      <c r="C1864" s="435" t="str">
        <f>注释!P38</f>
        <v>无变化</v>
      </c>
    </row>
    <row r="1865" spans="1:3">
      <c r="A1865" s="432" t="s">
        <v>2424</v>
      </c>
      <c r="B1865" s="432" t="str">
        <f t="shared" si="29"/>
        <v>无变化</v>
      </c>
      <c r="C1865" s="435" t="str">
        <f>注释!P39</f>
        <v>无变化</v>
      </c>
    </row>
    <row r="1866" spans="1:3">
      <c r="A1866" s="432" t="s">
        <v>2425</v>
      </c>
      <c r="B1866" s="432" t="str">
        <f t="shared" si="29"/>
        <v>无变化</v>
      </c>
      <c r="C1866" s="435" t="str">
        <f>注释!P40</f>
        <v>无变化</v>
      </c>
    </row>
    <row r="1867" spans="1:3">
      <c r="A1867" s="432" t="s">
        <v>2426</v>
      </c>
      <c r="B1867" s="432" t="str">
        <f t="shared" si="29"/>
        <v>无变化</v>
      </c>
      <c r="C1867" s="435" t="str">
        <f>注释!P41</f>
        <v>无变化</v>
      </c>
    </row>
    <row r="1868" spans="1:3">
      <c r="A1868" s="432" t="s">
        <v>2427</v>
      </c>
      <c r="B1868" s="432" t="str">
        <f t="shared" si="29"/>
        <v>无变化</v>
      </c>
      <c r="C1868" s="435" t="str">
        <f>注释!P42</f>
        <v>无变化</v>
      </c>
    </row>
    <row r="1869" spans="1:3">
      <c r="A1869" s="432" t="s">
        <v>2428</v>
      </c>
      <c r="B1869" s="432" t="str">
        <f t="shared" si="29"/>
        <v>无变化</v>
      </c>
      <c r="C1869" s="435" t="str">
        <f>注释!P43</f>
        <v>无变化</v>
      </c>
    </row>
    <row r="1870" spans="1:3">
      <c r="A1870" s="432" t="s">
        <v>2429</v>
      </c>
      <c r="B1870" s="432" t="str">
        <f t="shared" si="29"/>
        <v>无变化</v>
      </c>
      <c r="C1870" s="435" t="str">
        <f>注释!P44</f>
        <v>无变化</v>
      </c>
    </row>
    <row r="1871" spans="1:3">
      <c r="A1871" s="432" t="s">
        <v>2430</v>
      </c>
      <c r="B1871" s="432" t="str">
        <f t="shared" si="29"/>
        <v>无变化</v>
      </c>
      <c r="C1871" s="435" t="str">
        <f>注释!P45</f>
        <v>无变化</v>
      </c>
    </row>
    <row r="1872" spans="1:3">
      <c r="A1872" s="432" t="s">
        <v>2431</v>
      </c>
      <c r="B1872" s="432" t="str">
        <f t="shared" si="29"/>
        <v>无变化</v>
      </c>
      <c r="C1872" s="435" t="str">
        <f>注释!P46</f>
        <v>无变化</v>
      </c>
    </row>
    <row r="1873" spans="1:3">
      <c r="A1873" s="432" t="s">
        <v>2432</v>
      </c>
      <c r="B1873" s="432" t="str">
        <f t="shared" si="29"/>
        <v>无变化</v>
      </c>
      <c r="C1873" s="435" t="str">
        <f>注释!P47</f>
        <v>无变化</v>
      </c>
    </row>
    <row r="1874" spans="1:3">
      <c r="A1874" s="432" t="s">
        <v>2433</v>
      </c>
      <c r="B1874" s="432" t="str">
        <f t="shared" si="29"/>
        <v>无变化</v>
      </c>
      <c r="C1874" s="435" t="str">
        <f>注释!P48</f>
        <v>无变化</v>
      </c>
    </row>
    <row r="1875" spans="1:3">
      <c r="A1875" s="432" t="s">
        <v>2434</v>
      </c>
      <c r="B1875" s="432" t="str">
        <f t="shared" si="29"/>
        <v>无变化</v>
      </c>
      <c r="C1875" s="435" t="str">
        <f>注释!P49</f>
        <v>无变化</v>
      </c>
    </row>
    <row r="1876" spans="1:3">
      <c r="A1876" s="432" t="s">
        <v>2435</v>
      </c>
      <c r="B1876" s="432" t="str">
        <f t="shared" si="29"/>
        <v>无变化</v>
      </c>
      <c r="C1876" s="435" t="str">
        <f>注释!P50</f>
        <v>无变化</v>
      </c>
    </row>
    <row r="1877" spans="1:3">
      <c r="A1877" s="432" t="s">
        <v>2436</v>
      </c>
      <c r="B1877" s="432" t="str">
        <f t="shared" si="29"/>
        <v>无变化</v>
      </c>
      <c r="C1877" s="435" t="str">
        <f>注释!P51</f>
        <v>无变化</v>
      </c>
    </row>
    <row r="1878" spans="1:3">
      <c r="A1878" s="432" t="s">
        <v>2437</v>
      </c>
      <c r="B1878" s="432" t="str">
        <f t="shared" si="29"/>
        <v>无变化</v>
      </c>
      <c r="C1878" s="435" t="str">
        <f>注释!P52</f>
        <v>无变化</v>
      </c>
    </row>
    <row r="1879" spans="1:3">
      <c r="A1879" s="432" t="s">
        <v>2438</v>
      </c>
      <c r="B1879" s="432" t="str">
        <f t="shared" si="29"/>
        <v>无变化</v>
      </c>
      <c r="C1879" s="435" t="str">
        <f>注释!P53</f>
        <v>无变化</v>
      </c>
    </row>
    <row r="1880" spans="1:3">
      <c r="A1880" s="432" t="s">
        <v>2439</v>
      </c>
      <c r="B1880" s="432" t="str">
        <f t="shared" si="29"/>
        <v>无变化</v>
      </c>
      <c r="C1880" s="435" t="str">
        <f>注释!P55</f>
        <v>无变化</v>
      </c>
    </row>
    <row r="1881" spans="1:3">
      <c r="A1881" s="432" t="s">
        <v>2440</v>
      </c>
      <c r="B1881" s="432" t="str">
        <f t="shared" si="29"/>
        <v>无变化</v>
      </c>
      <c r="C1881" s="435" t="str">
        <f>注释!P56</f>
        <v>无变化</v>
      </c>
    </row>
    <row r="1882" spans="1:3">
      <c r="A1882" s="432" t="s">
        <v>2441</v>
      </c>
      <c r="B1882" s="432" t="str">
        <f t="shared" si="29"/>
        <v>无变化</v>
      </c>
      <c r="C1882" s="435" t="str">
        <f>注释!P57</f>
        <v>无变化</v>
      </c>
    </row>
    <row r="1883" spans="1:3">
      <c r="A1883" s="432" t="s">
        <v>2442</v>
      </c>
      <c r="B1883" s="432" t="str">
        <f t="shared" si="29"/>
        <v>无变化</v>
      </c>
      <c r="C1883" s="435" t="str">
        <f>注释!P58</f>
        <v>无变化</v>
      </c>
    </row>
    <row r="1884" spans="1:3">
      <c r="A1884" s="432" t="s">
        <v>2443</v>
      </c>
      <c r="B1884" s="432" t="str">
        <f t="shared" si="29"/>
        <v>无变化</v>
      </c>
      <c r="C1884" s="435" t="str">
        <f>注释!P59</f>
        <v>无变化</v>
      </c>
    </row>
    <row r="1885" spans="1:3">
      <c r="A1885" s="432" t="s">
        <v>2444</v>
      </c>
      <c r="B1885" s="432" t="str">
        <f t="shared" si="29"/>
        <v>无变化</v>
      </c>
      <c r="C1885" s="435" t="str">
        <f>注释!P60</f>
        <v>无变化</v>
      </c>
    </row>
    <row r="1886" spans="1:3">
      <c r="A1886" s="432" t="s">
        <v>2445</v>
      </c>
      <c r="B1886" s="432" t="str">
        <f t="shared" si="29"/>
        <v>无变化</v>
      </c>
      <c r="C1886" s="435" t="str">
        <f>注释!P61</f>
        <v>无变化</v>
      </c>
    </row>
    <row r="1887" spans="1:3">
      <c r="A1887" s="432" t="s">
        <v>2446</v>
      </c>
      <c r="B1887" s="432" t="str">
        <f t="shared" si="29"/>
        <v>无变化</v>
      </c>
      <c r="C1887" s="435" t="str">
        <f>注释!P62</f>
        <v>无变化</v>
      </c>
    </row>
    <row r="1888" spans="1:3">
      <c r="A1888" s="432" t="s">
        <v>2447</v>
      </c>
      <c r="B1888" s="432" t="str">
        <f t="shared" si="29"/>
        <v>无变化</v>
      </c>
      <c r="C1888" s="435" t="str">
        <f>注释!P63</f>
        <v>无变化</v>
      </c>
    </row>
    <row r="1889" spans="1:3">
      <c r="A1889" s="432" t="s">
        <v>2448</v>
      </c>
      <c r="B1889" s="432" t="str">
        <f t="shared" si="29"/>
        <v>无变化</v>
      </c>
      <c r="C1889" s="435" t="str">
        <f>注释!P64</f>
        <v>无变化</v>
      </c>
    </row>
    <row r="1890" spans="1:3">
      <c r="A1890" s="432" t="s">
        <v>2449</v>
      </c>
      <c r="B1890" s="432" t="str">
        <f t="shared" si="29"/>
        <v>无变化</v>
      </c>
      <c r="C1890" s="435" t="str">
        <f>注释!P65</f>
        <v>无变化</v>
      </c>
    </row>
    <row r="1891" spans="1:3">
      <c r="A1891" s="432" t="s">
        <v>2450</v>
      </c>
      <c r="B1891" s="432" t="str">
        <f t="shared" si="29"/>
        <v>无变化</v>
      </c>
      <c r="C1891" s="435" t="str">
        <f>注释!P66</f>
        <v>无变化</v>
      </c>
    </row>
    <row r="1892" spans="1:3">
      <c r="A1892" s="432" t="s">
        <v>2451</v>
      </c>
      <c r="B1892" s="432" t="str">
        <f t="shared" si="29"/>
        <v>无变化</v>
      </c>
      <c r="C1892" s="435" t="str">
        <f>注释!P67</f>
        <v>无变化</v>
      </c>
    </row>
    <row r="1893" spans="1:3">
      <c r="A1893" s="432" t="s">
        <v>2514</v>
      </c>
      <c r="B1893" s="432" t="e">
        <f t="shared" si="29"/>
        <v>#DIV/0!</v>
      </c>
      <c r="C1893" s="435" t="e">
        <f>IF('合并资产负债表 '!S5=0,"【】",TEXT(ABS('合并资产负债表 '!S5),"#,##0.00"))</f>
        <v>#DIV/0!</v>
      </c>
    </row>
    <row r="1894" spans="1:3">
      <c r="A1894" s="432" t="s">
        <v>2515</v>
      </c>
      <c r="B1894" s="432" t="e">
        <f t="shared" si="29"/>
        <v>#DIV/0!</v>
      </c>
      <c r="C1894" s="435" t="e">
        <f>IF('合并资产负债表 '!S6=0,"【】",TEXT(ABS('合并资产负债表 '!S6),"#,##0.00"))</f>
        <v>#DIV/0!</v>
      </c>
    </row>
    <row r="1895" spans="1:3">
      <c r="A1895" s="432" t="s">
        <v>2516</v>
      </c>
      <c r="B1895" s="432" t="e">
        <f t="shared" si="29"/>
        <v>#DIV/0!</v>
      </c>
      <c r="C1895" s="435" t="e">
        <f>IF('合并资产负债表 '!S7=0,"【】",TEXT(ABS('合并资产负债表 '!S7),"#,##0.00"))</f>
        <v>#DIV/0!</v>
      </c>
    </row>
    <row r="1896" spans="1:3">
      <c r="A1896" s="432" t="s">
        <v>2517</v>
      </c>
      <c r="B1896" s="432" t="e">
        <f t="shared" si="29"/>
        <v>#DIV/0!</v>
      </c>
      <c r="C1896" s="435" t="e">
        <f>IF('合并资产负债表 '!S8=0,"【】",TEXT(ABS('合并资产负债表 '!S8),"#,##0.00"))</f>
        <v>#DIV/0!</v>
      </c>
    </row>
    <row r="1897" spans="1:3">
      <c r="A1897" s="432" t="s">
        <v>2518</v>
      </c>
      <c r="B1897" s="432" t="e">
        <f t="shared" si="29"/>
        <v>#DIV/0!</v>
      </c>
      <c r="C1897" s="435" t="e">
        <f>IF('合并资产负债表 '!S9=0,"【】",TEXT(ABS('合并资产负债表 '!S9),"#,##0.00"))</f>
        <v>#DIV/0!</v>
      </c>
    </row>
    <row r="1898" spans="1:3">
      <c r="A1898" s="432" t="s">
        <v>2519</v>
      </c>
      <c r="B1898" s="432" t="e">
        <f t="shared" si="29"/>
        <v>#DIV/0!</v>
      </c>
      <c r="C1898" s="435" t="e">
        <f>IF('合并资产负债表 '!S10=0,"【】",TEXT(ABS('合并资产负债表 '!S10),"#,##0.00"))</f>
        <v>#DIV/0!</v>
      </c>
    </row>
    <row r="1899" spans="1:3">
      <c r="A1899" s="432" t="s">
        <v>2520</v>
      </c>
      <c r="B1899" s="432" t="e">
        <f t="shared" si="29"/>
        <v>#DIV/0!</v>
      </c>
      <c r="C1899" s="435" t="e">
        <f>IF('合并资产负债表 '!S11=0,"【】",TEXT(ABS('合并资产负债表 '!S11),"#,##0.00"))</f>
        <v>#DIV/0!</v>
      </c>
    </row>
    <row r="1900" spans="1:3">
      <c r="A1900" s="432" t="s">
        <v>2521</v>
      </c>
      <c r="B1900" s="432" t="e">
        <f t="shared" si="29"/>
        <v>#DIV/0!</v>
      </c>
      <c r="C1900" s="435" t="e">
        <f>IF('合并资产负债表 '!S12=0,"【】",TEXT(ABS('合并资产负债表 '!S12),"#,##0.00"))</f>
        <v>#DIV/0!</v>
      </c>
    </row>
    <row r="1901" spans="1:3">
      <c r="A1901" s="432" t="s">
        <v>2522</v>
      </c>
      <c r="B1901" s="432" t="e">
        <f t="shared" si="29"/>
        <v>#DIV/0!</v>
      </c>
      <c r="C1901" s="435" t="e">
        <f>IF('合并资产负债表 '!S13=0,"【】",TEXT(ABS('合并资产负债表 '!S13),"#,##0.00"))</f>
        <v>#DIV/0!</v>
      </c>
    </row>
    <row r="1902" spans="1:3">
      <c r="A1902" s="432" t="s">
        <v>2523</v>
      </c>
      <c r="B1902" s="432" t="e">
        <f t="shared" si="29"/>
        <v>#DIV/0!</v>
      </c>
      <c r="C1902" s="435" t="e">
        <f>IF('合并资产负债表 '!S14=0,"【】",TEXT(ABS('合并资产负债表 '!S14),"#,##0.00"))</f>
        <v>#DIV/0!</v>
      </c>
    </row>
    <row r="1903" spans="1:3">
      <c r="A1903" s="432" t="s">
        <v>2524</v>
      </c>
      <c r="B1903" s="432" t="e">
        <f t="shared" si="29"/>
        <v>#DIV/0!</v>
      </c>
      <c r="C1903" s="435" t="e">
        <f>IF('合并资产负债表 '!S15=0,"【】",TEXT(ABS('合并资产负债表 '!S15),"#,##0.00"))</f>
        <v>#DIV/0!</v>
      </c>
    </row>
    <row r="1904" spans="1:3">
      <c r="A1904" s="432" t="s">
        <v>2525</v>
      </c>
      <c r="B1904" s="432" t="e">
        <f t="shared" si="29"/>
        <v>#DIV/0!</v>
      </c>
      <c r="C1904" s="435" t="e">
        <f>IF('合并资产负债表 '!S16=0,"【】",TEXT(ABS('合并资产负债表 '!S16),"#,##0.00"))</f>
        <v>#DIV/0!</v>
      </c>
    </row>
    <row r="1905" spans="1:3">
      <c r="A1905" s="432" t="s">
        <v>2526</v>
      </c>
      <c r="B1905" s="432" t="e">
        <f t="shared" si="29"/>
        <v>#DIV/0!</v>
      </c>
      <c r="C1905" s="435" t="e">
        <f>IF('合并资产负债表 '!S17=0,"【】",TEXT(ABS('合并资产负债表 '!S17),"#,##0.00"))</f>
        <v>#DIV/0!</v>
      </c>
    </row>
    <row r="1906" spans="1:3">
      <c r="A1906" s="432" t="s">
        <v>2527</v>
      </c>
      <c r="B1906" s="432" t="e">
        <f t="shared" si="29"/>
        <v>#DIV/0!</v>
      </c>
      <c r="C1906" s="435" t="e">
        <f>IF('合并资产负债表 '!S18=0,"【】",TEXT(ABS('合并资产负债表 '!S18),"#,##0.00"))</f>
        <v>#DIV/0!</v>
      </c>
    </row>
    <row r="1907" spans="1:3">
      <c r="A1907" s="432" t="s">
        <v>2528</v>
      </c>
      <c r="B1907" s="432" t="e">
        <f t="shared" si="29"/>
        <v>#DIV/0!</v>
      </c>
      <c r="C1907" s="435" t="e">
        <f>IF('合并资产负债表 '!S19=0,"【】",TEXT(ABS('合并资产负债表 '!S19),"#,##0.00"))</f>
        <v>#DIV/0!</v>
      </c>
    </row>
    <row r="1908" spans="1:3">
      <c r="A1908" s="432" t="s">
        <v>2529</v>
      </c>
      <c r="B1908" s="432" t="e">
        <f t="shared" si="29"/>
        <v>#DIV/0!</v>
      </c>
      <c r="C1908" s="435" t="e">
        <f>IF('合并资产负债表 '!S21=0,"【】",TEXT(ABS('合并资产负债表 '!S21),"#,##0.00"))</f>
        <v>#DIV/0!</v>
      </c>
    </row>
    <row r="1909" spans="1:3">
      <c r="A1909" s="432" t="s">
        <v>2530</v>
      </c>
      <c r="B1909" s="432" t="e">
        <f t="shared" si="29"/>
        <v>#DIV/0!</v>
      </c>
      <c r="C1909" s="435" t="e">
        <f>IF('合并资产负债表 '!S22=0,"【】",TEXT(ABS('合并资产负债表 '!S22),"#,##0.00"))</f>
        <v>#DIV/0!</v>
      </c>
    </row>
    <row r="1910" spans="1:3">
      <c r="A1910" s="432" t="s">
        <v>2531</v>
      </c>
      <c r="B1910" s="432" t="e">
        <f t="shared" si="29"/>
        <v>#DIV/0!</v>
      </c>
      <c r="C1910" s="435" t="e">
        <f>IF('合并资产负债表 '!S23=0,"【】",TEXT(ABS('合并资产负债表 '!S23),"#,##0.00"))</f>
        <v>#DIV/0!</v>
      </c>
    </row>
    <row r="1911" spans="1:3">
      <c r="A1911" s="432" t="s">
        <v>2532</v>
      </c>
      <c r="B1911" s="432" t="e">
        <f t="shared" si="29"/>
        <v>#DIV/0!</v>
      </c>
      <c r="C1911" s="435" t="e">
        <f>IF('合并资产负债表 '!S24=0,"【】",TEXT(ABS('合并资产负债表 '!S24),"#,##0.00"))</f>
        <v>#DIV/0!</v>
      </c>
    </row>
    <row r="1912" spans="1:3">
      <c r="A1912" s="432" t="s">
        <v>2533</v>
      </c>
      <c r="B1912" s="432" t="e">
        <f t="shared" si="29"/>
        <v>#DIV/0!</v>
      </c>
      <c r="C1912" s="435" t="e">
        <f>IF('合并资产负债表 '!S25=0,"【】",TEXT(ABS('合并资产负债表 '!S25),"#,##0.00"))</f>
        <v>#DIV/0!</v>
      </c>
    </row>
    <row r="1913" spans="1:3">
      <c r="A1913" s="432" t="s">
        <v>2534</v>
      </c>
      <c r="B1913" s="432" t="e">
        <f t="shared" si="29"/>
        <v>#DIV/0!</v>
      </c>
      <c r="C1913" s="435" t="e">
        <f>IF('合并资产负债表 '!S26=0,"【】",TEXT(ABS('合并资产负债表 '!S26),"#,##0.00"))</f>
        <v>#DIV/0!</v>
      </c>
    </row>
    <row r="1914" spans="1:3">
      <c r="A1914" s="432" t="s">
        <v>2535</v>
      </c>
      <c r="B1914" s="432" t="e">
        <f t="shared" si="29"/>
        <v>#DIV/0!</v>
      </c>
      <c r="C1914" s="435" t="e">
        <f>IF('合并资产负债表 '!S27=0,"【】",TEXT(ABS('合并资产负债表 '!S27),"#,##0.00"))</f>
        <v>#DIV/0!</v>
      </c>
    </row>
    <row r="1915" spans="1:3">
      <c r="A1915" s="432" t="s">
        <v>2536</v>
      </c>
      <c r="B1915" s="432" t="e">
        <f t="shared" si="29"/>
        <v>#DIV/0!</v>
      </c>
      <c r="C1915" s="435" t="e">
        <f>IF('合并资产负债表 '!S28=0,"【】",TEXT(ABS('合并资产负债表 '!S28),"#,##0.00"))</f>
        <v>#DIV/0!</v>
      </c>
    </row>
    <row r="1916" spans="1:3">
      <c r="A1916" s="432" t="s">
        <v>2537</v>
      </c>
      <c r="B1916" s="432" t="e">
        <f t="shared" si="29"/>
        <v>#DIV/0!</v>
      </c>
      <c r="C1916" s="435" t="e">
        <f>IF('合并资产负债表 '!S29=0,"【】",TEXT(ABS('合并资产负债表 '!S29),"#,##0.00"))</f>
        <v>#DIV/0!</v>
      </c>
    </row>
    <row r="1917" spans="1:3">
      <c r="A1917" s="432" t="s">
        <v>2538</v>
      </c>
      <c r="B1917" s="432" t="e">
        <f t="shared" si="29"/>
        <v>#DIV/0!</v>
      </c>
      <c r="C1917" s="435" t="e">
        <f>IF('合并资产负债表 '!S30=0,"【】",TEXT(ABS('合并资产负债表 '!S30),"#,##0.00"))</f>
        <v>#DIV/0!</v>
      </c>
    </row>
    <row r="1918" spans="1:3">
      <c r="A1918" s="432" t="s">
        <v>2539</v>
      </c>
      <c r="B1918" s="432" t="e">
        <f t="shared" si="29"/>
        <v>#DIV/0!</v>
      </c>
      <c r="C1918" s="435" t="e">
        <f>IF('合并资产负债表 '!S31=0,"【】",TEXT(ABS('合并资产负债表 '!S31),"#,##0.00"))</f>
        <v>#DIV/0!</v>
      </c>
    </row>
    <row r="1919" spans="1:3">
      <c r="A1919" s="432" t="s">
        <v>2540</v>
      </c>
      <c r="B1919" s="432" t="e">
        <f t="shared" si="29"/>
        <v>#DIV/0!</v>
      </c>
      <c r="C1919" s="435" t="e">
        <f>IF('合并资产负债表 '!S32=0,"【】",TEXT(ABS('合并资产负债表 '!S32),"#,##0.00"))</f>
        <v>#DIV/0!</v>
      </c>
    </row>
    <row r="1920" spans="1:3">
      <c r="A1920" s="432" t="s">
        <v>2541</v>
      </c>
      <c r="B1920" s="432" t="e">
        <f t="shared" si="29"/>
        <v>#DIV/0!</v>
      </c>
      <c r="C1920" s="435" t="e">
        <f>IF('合并资产负债表 '!S33=0,"【】",TEXT(ABS('合并资产负债表 '!S33),"#,##0.00"))</f>
        <v>#DIV/0!</v>
      </c>
    </row>
    <row r="1921" spans="1:3">
      <c r="A1921" s="432" t="s">
        <v>2542</v>
      </c>
      <c r="B1921" s="432" t="e">
        <f t="shared" si="29"/>
        <v>#DIV/0!</v>
      </c>
      <c r="C1921" s="435" t="e">
        <f>IF('合并资产负债表 '!S34=0,"【】",TEXT(ABS('合并资产负债表 '!S34),"#,##0.00"))</f>
        <v>#DIV/0!</v>
      </c>
    </row>
    <row r="1922" spans="1:3">
      <c r="A1922" s="432" t="s">
        <v>2543</v>
      </c>
      <c r="B1922" s="432" t="e">
        <f t="shared" si="29"/>
        <v>#DIV/0!</v>
      </c>
      <c r="C1922" s="435" t="e">
        <f>IF('合并资产负债表 '!S35=0,"【】",TEXT(ABS('合并资产负债表 '!S35),"#,##0.00"))</f>
        <v>#DIV/0!</v>
      </c>
    </row>
    <row r="1923" spans="1:3">
      <c r="A1923" s="432" t="s">
        <v>2544</v>
      </c>
      <c r="B1923" s="432" t="e">
        <f t="shared" si="29"/>
        <v>#DIV/0!</v>
      </c>
      <c r="C1923" s="435" t="e">
        <f>IF('合并资产负债表 '!S36=0,"【】",TEXT(ABS('合并资产负债表 '!S36),"#,##0.00"))</f>
        <v>#DIV/0!</v>
      </c>
    </row>
    <row r="1924" spans="1:3">
      <c r="A1924" s="432" t="s">
        <v>2545</v>
      </c>
      <c r="B1924" s="432" t="e">
        <f t="shared" si="29"/>
        <v>#DIV/0!</v>
      </c>
      <c r="C1924" s="435" t="e">
        <f>IF('合并资产负债表 '!S37=0,"【】",TEXT(ABS('合并资产负债表 '!S37),"#,##0.00"))</f>
        <v>#DIV/0!</v>
      </c>
    </row>
    <row r="1925" spans="1:3">
      <c r="A1925" s="432" t="s">
        <v>2546</v>
      </c>
      <c r="B1925" s="432" t="e">
        <f t="shared" si="29"/>
        <v>#DIV/0!</v>
      </c>
      <c r="C1925" s="435" t="e">
        <f>IF('合并资产负债表 '!S39=0,"【】",TEXT(ABS('合并资产负债表 '!S39),"#,##0.00"))</f>
        <v>#DIV/0!</v>
      </c>
    </row>
    <row r="1926" spans="1:3">
      <c r="A1926" s="432" t="s">
        <v>2547</v>
      </c>
      <c r="B1926" s="432" t="e">
        <f t="shared" si="29"/>
        <v>#DIV/0!</v>
      </c>
      <c r="C1926" s="435" t="e">
        <f>IF('合并资产负债表 '!S40=0,"【】",TEXT(ABS('合并资产负债表 '!S40),"#,##0.00"))</f>
        <v>#DIV/0!</v>
      </c>
    </row>
    <row r="1927" spans="1:3">
      <c r="A1927" s="432" t="s">
        <v>2548</v>
      </c>
      <c r="B1927" s="432" t="e">
        <f t="shared" si="29"/>
        <v>#DIV/0!</v>
      </c>
      <c r="C1927" s="435" t="e">
        <f>IF('合并资产负债表 '!S41=0,"【】",TEXT(ABS('合并资产负债表 '!S41),"#,##0.00"))</f>
        <v>#DIV/0!</v>
      </c>
    </row>
    <row r="1928" spans="1:3">
      <c r="A1928" s="432" t="s">
        <v>2549</v>
      </c>
      <c r="B1928" s="432" t="e">
        <f t="shared" ref="B1928:B1991" si="30">TRIM(C1928)</f>
        <v>#DIV/0!</v>
      </c>
      <c r="C1928" s="435" t="e">
        <f>IF('合并资产负债表 '!S42=0,"【】",TEXT(ABS('合并资产负债表 '!S42),"#,##0.00"))</f>
        <v>#DIV/0!</v>
      </c>
    </row>
    <row r="1929" spans="1:3">
      <c r="A1929" s="432" t="s">
        <v>2550</v>
      </c>
      <c r="B1929" s="432" t="e">
        <f t="shared" si="30"/>
        <v>#DIV/0!</v>
      </c>
      <c r="C1929" s="435" t="e">
        <f>IF('合并资产负债表 '!S43=0,"【】",TEXT(ABS('合并资产负债表 '!S43),"#,##0.00"))</f>
        <v>#DIV/0!</v>
      </c>
    </row>
    <row r="1930" spans="1:3">
      <c r="A1930" s="432" t="s">
        <v>2551</v>
      </c>
      <c r="B1930" s="432" t="e">
        <f t="shared" si="30"/>
        <v>#DIV/0!</v>
      </c>
      <c r="C1930" s="435" t="e">
        <f>IF('合并资产负债表 '!S44=0,"【】",TEXT(ABS('合并资产负债表 '!S44),"#,##0.00"))</f>
        <v>#DIV/0!</v>
      </c>
    </row>
    <row r="1931" spans="1:3">
      <c r="A1931" s="432" t="s">
        <v>2552</v>
      </c>
      <c r="B1931" s="432" t="e">
        <f t="shared" si="30"/>
        <v>#DIV/0!</v>
      </c>
      <c r="C1931" s="435" t="e">
        <f>IF('合并资产负债表 '!S45=0,"【】",TEXT(ABS('合并资产负债表 '!S45),"#,##0.00"))</f>
        <v>#DIV/0!</v>
      </c>
    </row>
    <row r="1932" spans="1:3">
      <c r="A1932" s="432" t="s">
        <v>2553</v>
      </c>
      <c r="B1932" s="432" t="e">
        <f t="shared" si="30"/>
        <v>#DIV/0!</v>
      </c>
      <c r="C1932" s="435" t="e">
        <f>IF('合并资产负债表 '!S46=0,"【】",TEXT(ABS('合并资产负债表 '!S46),"#,##0.00"))</f>
        <v>#DIV/0!</v>
      </c>
    </row>
    <row r="1933" spans="1:3">
      <c r="A1933" s="432" t="s">
        <v>2554</v>
      </c>
      <c r="B1933" s="432" t="e">
        <f t="shared" si="30"/>
        <v>#DIV/0!</v>
      </c>
      <c r="C1933" s="435" t="e">
        <f>IF('合并资产负债表 '!S47=0,"【】",TEXT(ABS('合并资产负债表 '!S47),"#,##0.00"))</f>
        <v>#DIV/0!</v>
      </c>
    </row>
    <row r="1934" spans="1:3">
      <c r="A1934" s="432" t="s">
        <v>2555</v>
      </c>
      <c r="B1934" s="432" t="e">
        <f t="shared" si="30"/>
        <v>#DIV/0!</v>
      </c>
      <c r="C1934" s="435" t="e">
        <f>IF('合并资产负债表 '!S48=0,"【】",TEXT(ABS('合并资产负债表 '!S48),"#,##0.00"))</f>
        <v>#DIV/0!</v>
      </c>
    </row>
    <row r="1935" spans="1:3">
      <c r="A1935" s="432" t="s">
        <v>2556</v>
      </c>
      <c r="B1935" s="432" t="e">
        <f t="shared" si="30"/>
        <v>#DIV/0!</v>
      </c>
      <c r="C1935" s="435" t="e">
        <f>IF('合并资产负债表 '!S49=0,"【】",TEXT(ABS('合并资产负债表 '!S49),"#,##0.00"))</f>
        <v>#DIV/0!</v>
      </c>
    </row>
    <row r="1936" spans="1:3">
      <c r="A1936" s="432" t="s">
        <v>2557</v>
      </c>
      <c r="B1936" s="432" t="e">
        <f t="shared" si="30"/>
        <v>#DIV/0!</v>
      </c>
      <c r="C1936" s="435" t="e">
        <f>IF('合并资产负债表 '!S50=0,"【】",TEXT(ABS('合并资产负债表 '!S50),"#,##0.00"))</f>
        <v>#DIV/0!</v>
      </c>
    </row>
    <row r="1937" spans="1:3">
      <c r="A1937" s="432" t="s">
        <v>2558</v>
      </c>
      <c r="B1937" s="432" t="e">
        <f t="shared" si="30"/>
        <v>#DIV/0!</v>
      </c>
      <c r="C1937" s="435" t="e">
        <f>IF('合并资产负债表 '!S51=0,"【】",TEXT(ABS('合并资产负债表 '!S51),"#,##0.00"))</f>
        <v>#DIV/0!</v>
      </c>
    </row>
    <row r="1938" spans="1:3">
      <c r="A1938" s="432" t="s">
        <v>2559</v>
      </c>
      <c r="B1938" s="432" t="e">
        <f t="shared" si="30"/>
        <v>#DIV/0!</v>
      </c>
      <c r="C1938" s="435" t="e">
        <f>IF('合并资产负债表 '!S52=0,"【】",TEXT(ABS('合并资产负债表 '!S52),"#,##0.00"))</f>
        <v>#DIV/0!</v>
      </c>
    </row>
    <row r="1939" spans="1:3">
      <c r="A1939" s="432" t="s">
        <v>2560</v>
      </c>
      <c r="B1939" s="432" t="e">
        <f t="shared" si="30"/>
        <v>#DIV/0!</v>
      </c>
      <c r="C1939" s="435" t="e">
        <f>IF('合并资产负债表 '!S53=0,"【】",TEXT(ABS('合并资产负债表 '!S53),"#,##0.00"))</f>
        <v>#DIV/0!</v>
      </c>
    </row>
    <row r="1940" spans="1:3">
      <c r="A1940" s="432" t="s">
        <v>2561</v>
      </c>
      <c r="B1940" s="432" t="e">
        <f t="shared" si="30"/>
        <v>#DIV/0!</v>
      </c>
      <c r="C1940" s="435" t="e">
        <f>IF('合并资产负债表 '!S54=0,"【】",TEXT(ABS('合并资产负债表 '!S54),"#,##0.00"))</f>
        <v>#DIV/0!</v>
      </c>
    </row>
    <row r="1941" spans="1:3">
      <c r="A1941" s="432" t="s">
        <v>2562</v>
      </c>
      <c r="B1941" s="432" t="e">
        <f t="shared" si="30"/>
        <v>#DIV/0!</v>
      </c>
      <c r="C1941" s="435" t="e">
        <f>IF('合并资产负债表 '!S56=0,"【】",TEXT(ABS('合并资产负债表 '!S56),"#,##0.00"))</f>
        <v>#DIV/0!</v>
      </c>
    </row>
    <row r="1942" spans="1:3">
      <c r="A1942" s="432" t="s">
        <v>2563</v>
      </c>
      <c r="B1942" s="432" t="e">
        <f t="shared" si="30"/>
        <v>#DIV/0!</v>
      </c>
      <c r="C1942" s="435" t="e">
        <f>IF('合并资产负债表 '!S57=0,"【】",TEXT(ABS('合并资产负债表 '!S57),"#,##0.00"))</f>
        <v>#DIV/0!</v>
      </c>
    </row>
    <row r="1943" spans="1:3">
      <c r="A1943" s="432" t="s">
        <v>2564</v>
      </c>
      <c r="B1943" s="432" t="e">
        <f t="shared" si="30"/>
        <v>#DIV/0!</v>
      </c>
      <c r="C1943" s="435" t="e">
        <f>IF('合并资产负债表 '!S58=0,"【】",TEXT(ABS('合并资产负债表 '!S58),"#,##0.00"))</f>
        <v>#DIV/0!</v>
      </c>
    </row>
    <row r="1944" spans="1:3">
      <c r="A1944" s="432" t="s">
        <v>2565</v>
      </c>
      <c r="B1944" s="432" t="e">
        <f t="shared" si="30"/>
        <v>#DIV/0!</v>
      </c>
      <c r="C1944" s="435" t="e">
        <f>IF('合并资产负债表 '!S59=0,"【】",TEXT(ABS('合并资产负债表 '!S59),"#,##0.00"))</f>
        <v>#DIV/0!</v>
      </c>
    </row>
    <row r="1945" spans="1:3">
      <c r="A1945" s="432" t="s">
        <v>2566</v>
      </c>
      <c r="B1945" s="432" t="e">
        <f t="shared" si="30"/>
        <v>#DIV/0!</v>
      </c>
      <c r="C1945" s="435" t="e">
        <f>IF('合并资产负债表 '!S60=0,"【】",TEXT(ABS('合并资产负债表 '!S60),"#,##0.00"))</f>
        <v>#DIV/0!</v>
      </c>
    </row>
    <row r="1946" spans="1:3">
      <c r="A1946" s="432" t="s">
        <v>2567</v>
      </c>
      <c r="B1946" s="432" t="e">
        <f t="shared" si="30"/>
        <v>#DIV/0!</v>
      </c>
      <c r="C1946" s="435" t="e">
        <f>IF('合并资产负债表 '!S61=0,"【】",TEXT(ABS('合并资产负债表 '!S61),"#,##0.00"))</f>
        <v>#DIV/0!</v>
      </c>
    </row>
    <row r="1947" spans="1:3">
      <c r="A1947" s="432" t="s">
        <v>2568</v>
      </c>
      <c r="B1947" s="432" t="e">
        <f t="shared" si="30"/>
        <v>#DIV/0!</v>
      </c>
      <c r="C1947" s="435" t="e">
        <f>IF('合并资产负债表 '!S62=0,"【】",TEXT(ABS('合并资产负债表 '!S62),"#,##0.00"))</f>
        <v>#DIV/0!</v>
      </c>
    </row>
    <row r="1948" spans="1:3">
      <c r="A1948" s="432" t="s">
        <v>2569</v>
      </c>
      <c r="B1948" s="432" t="e">
        <f t="shared" si="30"/>
        <v>#DIV/0!</v>
      </c>
      <c r="C1948" s="435" t="e">
        <f>IF('合并资产负债表 '!S63=0,"【】",TEXT(ABS('合并资产负债表 '!S63),"#,##0.00"))</f>
        <v>#DIV/0!</v>
      </c>
    </row>
    <row r="1949" spans="1:3">
      <c r="A1949" s="432" t="s">
        <v>2570</v>
      </c>
      <c r="B1949" s="432" t="e">
        <f t="shared" si="30"/>
        <v>#DIV/0!</v>
      </c>
      <c r="C1949" s="435" t="e">
        <f>IF('合并资产负债表 '!S64=0,"【】",TEXT(ABS('合并资产负债表 '!S64),"#,##0.00"))</f>
        <v>#DIV/0!</v>
      </c>
    </row>
    <row r="1950" spans="1:3">
      <c r="A1950" s="432" t="s">
        <v>2571</v>
      </c>
      <c r="B1950" s="432" t="e">
        <f t="shared" si="30"/>
        <v>#DIV/0!</v>
      </c>
      <c r="C1950" s="435" t="e">
        <f>IF('合并资产负债表 '!S65=0,"【】",TEXT(ABS('合并资产负债表 '!S65),"#,##0.00"))</f>
        <v>#DIV/0!</v>
      </c>
    </row>
    <row r="1951" spans="1:3">
      <c r="A1951" s="432" t="s">
        <v>2572</v>
      </c>
      <c r="B1951" s="432" t="e">
        <f t="shared" si="30"/>
        <v>#DIV/0!</v>
      </c>
      <c r="C1951" s="435" t="e">
        <f>IF('合并资产负债表 '!S66=0,"【】",TEXT(ABS('合并资产负债表 '!S66),"#,##0.00"))</f>
        <v>#DIV/0!</v>
      </c>
    </row>
    <row r="1952" spans="1:3">
      <c r="A1952" s="432" t="s">
        <v>2573</v>
      </c>
      <c r="B1952" s="432" t="e">
        <f t="shared" si="30"/>
        <v>#DIV/0!</v>
      </c>
      <c r="C1952" s="435" t="e">
        <f>IF('合并资产负债表 '!S67=0,"【】",TEXT(ABS('合并资产负债表 '!S67),"#,##0.00"))</f>
        <v>#DIV/0!</v>
      </c>
    </row>
    <row r="1953" spans="1:3">
      <c r="A1953" s="432" t="s">
        <v>2574</v>
      </c>
      <c r="B1953" s="432" t="e">
        <f t="shared" si="30"/>
        <v>#DIV/0!</v>
      </c>
      <c r="C1953" s="435" t="e">
        <f>IF('合并资产负债表 '!S68=0,"【】",TEXT(ABS('合并资产负债表 '!S68),"#,##0.00"))</f>
        <v>#DIV/0!</v>
      </c>
    </row>
    <row r="1954" spans="1:3">
      <c r="A1954" s="432" t="s">
        <v>2575</v>
      </c>
      <c r="B1954" s="432" t="str">
        <f t="shared" si="30"/>
        <v>无变化</v>
      </c>
      <c r="C1954" s="435" t="str">
        <f>注释!S4</f>
        <v>无变化</v>
      </c>
    </row>
    <row r="1955" spans="1:3">
      <c r="A1955" s="432" t="s">
        <v>2576</v>
      </c>
      <c r="B1955" s="432" t="str">
        <f t="shared" si="30"/>
        <v>无变化</v>
      </c>
      <c r="C1955" s="435" t="str">
        <f>注释!S5</f>
        <v>无变化</v>
      </c>
    </row>
    <row r="1956" spans="1:3">
      <c r="A1956" s="432" t="s">
        <v>2577</v>
      </c>
      <c r="B1956" s="432" t="str">
        <f t="shared" si="30"/>
        <v>无变化</v>
      </c>
      <c r="C1956" s="435" t="str">
        <f>注释!S6</f>
        <v>无变化</v>
      </c>
    </row>
    <row r="1957" spans="1:3">
      <c r="A1957" s="432" t="s">
        <v>2578</v>
      </c>
      <c r="B1957" s="432" t="str">
        <f t="shared" si="30"/>
        <v>无变化</v>
      </c>
      <c r="C1957" s="435" t="str">
        <f>注释!S7</f>
        <v>无变化</v>
      </c>
    </row>
    <row r="1958" spans="1:3">
      <c r="A1958" s="432" t="s">
        <v>2579</v>
      </c>
      <c r="B1958" s="432" t="str">
        <f t="shared" si="30"/>
        <v>无变化</v>
      </c>
      <c r="C1958" s="435" t="str">
        <f>注释!S8</f>
        <v>无变化</v>
      </c>
    </row>
    <row r="1959" spans="1:3">
      <c r="A1959" s="432" t="s">
        <v>2580</v>
      </c>
      <c r="B1959" s="432" t="str">
        <f t="shared" si="30"/>
        <v>无变化</v>
      </c>
      <c r="C1959" s="435" t="str">
        <f>注释!S9</f>
        <v>无变化</v>
      </c>
    </row>
    <row r="1960" spans="1:3">
      <c r="A1960" s="432" t="s">
        <v>2581</v>
      </c>
      <c r="B1960" s="432" t="str">
        <f t="shared" si="30"/>
        <v>无变化</v>
      </c>
      <c r="C1960" s="435" t="str">
        <f>注释!S10</f>
        <v>无变化</v>
      </c>
    </row>
    <row r="1961" spans="1:3">
      <c r="A1961" s="432" t="s">
        <v>2582</v>
      </c>
      <c r="B1961" s="432" t="str">
        <f t="shared" si="30"/>
        <v>无变化</v>
      </c>
      <c r="C1961" s="435" t="str">
        <f>注释!S11</f>
        <v>无变化</v>
      </c>
    </row>
    <row r="1962" spans="1:3">
      <c r="A1962" s="432" t="s">
        <v>2583</v>
      </c>
      <c r="B1962" s="432" t="str">
        <f t="shared" si="30"/>
        <v>无变化</v>
      </c>
      <c r="C1962" s="435" t="str">
        <f>注释!S12</f>
        <v>无变化</v>
      </c>
    </row>
    <row r="1963" spans="1:3">
      <c r="A1963" s="432" t="s">
        <v>2584</v>
      </c>
      <c r="B1963" s="432" t="str">
        <f t="shared" si="30"/>
        <v>无变化</v>
      </c>
      <c r="C1963" s="435" t="str">
        <f>注释!S13</f>
        <v>无变化</v>
      </c>
    </row>
    <row r="1964" spans="1:3">
      <c r="A1964" s="432" t="s">
        <v>2585</v>
      </c>
      <c r="B1964" s="432" t="str">
        <f t="shared" si="30"/>
        <v>无变化</v>
      </c>
      <c r="C1964" s="435" t="str">
        <f>注释!S14</f>
        <v>无变化</v>
      </c>
    </row>
    <row r="1965" spans="1:3">
      <c r="A1965" s="432" t="s">
        <v>2586</v>
      </c>
      <c r="B1965" s="432" t="str">
        <f t="shared" si="30"/>
        <v>无变化</v>
      </c>
      <c r="C1965" s="435" t="str">
        <f>注释!S15</f>
        <v>无变化</v>
      </c>
    </row>
    <row r="1966" spans="1:3">
      <c r="A1966" s="432" t="s">
        <v>2587</v>
      </c>
      <c r="B1966" s="432" t="str">
        <f t="shared" si="30"/>
        <v>无变化</v>
      </c>
      <c r="C1966" s="435" t="str">
        <f>注释!S16</f>
        <v>无变化</v>
      </c>
    </row>
    <row r="1967" spans="1:3">
      <c r="A1967" s="432" t="s">
        <v>2588</v>
      </c>
      <c r="B1967" s="432" t="str">
        <f t="shared" si="30"/>
        <v>无变化</v>
      </c>
      <c r="C1967" s="435" t="str">
        <f>注释!S17</f>
        <v>无变化</v>
      </c>
    </row>
    <row r="1968" spans="1:3">
      <c r="A1968" s="432" t="s">
        <v>2589</v>
      </c>
      <c r="B1968" s="432" t="str">
        <f t="shared" si="30"/>
        <v>无变化</v>
      </c>
      <c r="C1968" s="435" t="str">
        <f>注释!S18</f>
        <v>无变化</v>
      </c>
    </row>
    <row r="1969" spans="1:3">
      <c r="A1969" s="432" t="s">
        <v>2590</v>
      </c>
      <c r="B1969" s="432" t="str">
        <f t="shared" si="30"/>
        <v>无变化</v>
      </c>
      <c r="C1969" s="435" t="str">
        <f>注释!S20</f>
        <v>无变化</v>
      </c>
    </row>
    <row r="1970" spans="1:3">
      <c r="A1970" s="432" t="s">
        <v>2591</v>
      </c>
      <c r="B1970" s="432" t="str">
        <f t="shared" si="30"/>
        <v>无变化</v>
      </c>
      <c r="C1970" s="435" t="str">
        <f>注释!S21</f>
        <v>无变化</v>
      </c>
    </row>
    <row r="1971" spans="1:3">
      <c r="A1971" s="432" t="s">
        <v>2592</v>
      </c>
      <c r="B1971" s="432" t="str">
        <f t="shared" si="30"/>
        <v>无变化</v>
      </c>
      <c r="C1971" s="435" t="str">
        <f>注释!S22</f>
        <v>无变化</v>
      </c>
    </row>
    <row r="1972" spans="1:3">
      <c r="A1972" s="432" t="s">
        <v>2593</v>
      </c>
      <c r="B1972" s="432" t="str">
        <f t="shared" si="30"/>
        <v>无变化</v>
      </c>
      <c r="C1972" s="435" t="str">
        <f>注释!S23</f>
        <v>无变化</v>
      </c>
    </row>
    <row r="1973" spans="1:3">
      <c r="A1973" s="432" t="s">
        <v>2594</v>
      </c>
      <c r="B1973" s="432" t="str">
        <f t="shared" si="30"/>
        <v>无变化</v>
      </c>
      <c r="C1973" s="435" t="str">
        <f>注释!S24</f>
        <v>无变化</v>
      </c>
    </row>
    <row r="1974" spans="1:3">
      <c r="A1974" s="432" t="s">
        <v>2595</v>
      </c>
      <c r="B1974" s="432" t="str">
        <f t="shared" si="30"/>
        <v>无变化</v>
      </c>
      <c r="C1974" s="435" t="str">
        <f>注释!S25</f>
        <v>无变化</v>
      </c>
    </row>
    <row r="1975" spans="1:3">
      <c r="A1975" s="432" t="s">
        <v>2596</v>
      </c>
      <c r="B1975" s="432" t="str">
        <f t="shared" si="30"/>
        <v>无变化</v>
      </c>
      <c r="C1975" s="435" t="str">
        <f>注释!S26</f>
        <v>无变化</v>
      </c>
    </row>
    <row r="1976" spans="1:3">
      <c r="A1976" s="432" t="s">
        <v>2597</v>
      </c>
      <c r="B1976" s="432" t="str">
        <f t="shared" si="30"/>
        <v>无变化</v>
      </c>
      <c r="C1976" s="435" t="str">
        <f>注释!S27</f>
        <v>无变化</v>
      </c>
    </row>
    <row r="1977" spans="1:3">
      <c r="A1977" s="432" t="s">
        <v>2598</v>
      </c>
      <c r="B1977" s="432" t="str">
        <f t="shared" si="30"/>
        <v>无变化</v>
      </c>
      <c r="C1977" s="435" t="str">
        <f>注释!S28</f>
        <v>无变化</v>
      </c>
    </row>
    <row r="1978" spans="1:3">
      <c r="A1978" s="432" t="s">
        <v>2599</v>
      </c>
      <c r="B1978" s="432" t="str">
        <f t="shared" si="30"/>
        <v>无变化</v>
      </c>
      <c r="C1978" s="435" t="str">
        <f>注释!S29</f>
        <v>无变化</v>
      </c>
    </row>
    <row r="1979" spans="1:3">
      <c r="A1979" s="432" t="s">
        <v>2600</v>
      </c>
      <c r="B1979" s="432" t="str">
        <f t="shared" si="30"/>
        <v>无变化</v>
      </c>
      <c r="C1979" s="435" t="str">
        <f>注释!S30</f>
        <v>无变化</v>
      </c>
    </row>
    <row r="1980" spans="1:3">
      <c r="A1980" s="432" t="s">
        <v>2601</v>
      </c>
      <c r="B1980" s="432" t="str">
        <f t="shared" si="30"/>
        <v>无变化</v>
      </c>
      <c r="C1980" s="435" t="str">
        <f>注释!S31</f>
        <v>无变化</v>
      </c>
    </row>
    <row r="1981" spans="1:3">
      <c r="A1981" s="432" t="s">
        <v>2602</v>
      </c>
      <c r="B1981" s="432" t="str">
        <f t="shared" si="30"/>
        <v>无变化</v>
      </c>
      <c r="C1981" s="435" t="str">
        <f>注释!S32</f>
        <v>无变化</v>
      </c>
    </row>
    <row r="1982" spans="1:3">
      <c r="A1982" s="432" t="s">
        <v>2603</v>
      </c>
      <c r="B1982" s="432" t="str">
        <f t="shared" si="30"/>
        <v>无变化</v>
      </c>
      <c r="C1982" s="435" t="str">
        <f>注释!S33</f>
        <v>无变化</v>
      </c>
    </row>
    <row r="1983" spans="1:3">
      <c r="A1983" s="432" t="s">
        <v>2604</v>
      </c>
      <c r="B1983" s="432" t="str">
        <f t="shared" si="30"/>
        <v>无变化</v>
      </c>
      <c r="C1983" s="435" t="str">
        <f>注释!S34</f>
        <v>无变化</v>
      </c>
    </row>
    <row r="1984" spans="1:3">
      <c r="A1984" s="432" t="s">
        <v>2605</v>
      </c>
      <c r="B1984" s="432" t="str">
        <f t="shared" si="30"/>
        <v>无变化</v>
      </c>
      <c r="C1984" s="435" t="str">
        <f>注释!S35</f>
        <v>无变化</v>
      </c>
    </row>
    <row r="1985" spans="1:3">
      <c r="A1985" s="432" t="s">
        <v>2606</v>
      </c>
      <c r="B1985" s="432" t="str">
        <f t="shared" si="30"/>
        <v>无变化</v>
      </c>
      <c r="C1985" s="435" t="str">
        <f>注释!S36</f>
        <v>无变化</v>
      </c>
    </row>
    <row r="1986" spans="1:3">
      <c r="A1986" s="432" t="s">
        <v>2607</v>
      </c>
      <c r="B1986" s="432" t="str">
        <f t="shared" si="30"/>
        <v>无变化</v>
      </c>
      <c r="C1986" s="435" t="str">
        <f>注释!S38</f>
        <v>无变化</v>
      </c>
    </row>
    <row r="1987" spans="1:3">
      <c r="A1987" s="432" t="s">
        <v>2608</v>
      </c>
      <c r="B1987" s="432" t="str">
        <f t="shared" si="30"/>
        <v>无变化</v>
      </c>
      <c r="C1987" s="435" t="str">
        <f>注释!S39</f>
        <v>无变化</v>
      </c>
    </row>
    <row r="1988" spans="1:3">
      <c r="A1988" s="432" t="s">
        <v>2609</v>
      </c>
      <c r="B1988" s="432" t="str">
        <f t="shared" si="30"/>
        <v>无变化</v>
      </c>
      <c r="C1988" s="435" t="str">
        <f>注释!S40</f>
        <v>无变化</v>
      </c>
    </row>
    <row r="1989" spans="1:3">
      <c r="A1989" s="432" t="s">
        <v>2610</v>
      </c>
      <c r="B1989" s="432" t="str">
        <f t="shared" si="30"/>
        <v>无变化</v>
      </c>
      <c r="C1989" s="435" t="str">
        <f>注释!S41</f>
        <v>无变化</v>
      </c>
    </row>
    <row r="1990" spans="1:3">
      <c r="A1990" s="432" t="s">
        <v>2611</v>
      </c>
      <c r="B1990" s="432" t="str">
        <f t="shared" si="30"/>
        <v>无变化</v>
      </c>
      <c r="C1990" s="435" t="str">
        <f>注释!S42</f>
        <v>无变化</v>
      </c>
    </row>
    <row r="1991" spans="1:3">
      <c r="A1991" s="432" t="s">
        <v>2612</v>
      </c>
      <c r="B1991" s="432" t="str">
        <f t="shared" si="30"/>
        <v>无变化</v>
      </c>
      <c r="C1991" s="435" t="str">
        <f>注释!S43</f>
        <v>无变化</v>
      </c>
    </row>
    <row r="1992" spans="1:3">
      <c r="A1992" s="432" t="s">
        <v>2613</v>
      </c>
      <c r="B1992" s="432" t="str">
        <f t="shared" ref="B1992:B2055" si="31">TRIM(C1992)</f>
        <v>无变化</v>
      </c>
      <c r="C1992" s="435" t="str">
        <f>注释!S44</f>
        <v>无变化</v>
      </c>
    </row>
    <row r="1993" spans="1:3">
      <c r="A1993" s="432" t="s">
        <v>2614</v>
      </c>
      <c r="B1993" s="432" t="str">
        <f t="shared" si="31"/>
        <v>无变化</v>
      </c>
      <c r="C1993" s="435" t="str">
        <f>注释!S45</f>
        <v>无变化</v>
      </c>
    </row>
    <row r="1994" spans="1:3">
      <c r="A1994" s="432" t="s">
        <v>2615</v>
      </c>
      <c r="B1994" s="432" t="str">
        <f t="shared" si="31"/>
        <v>无变化</v>
      </c>
      <c r="C1994" s="435" t="str">
        <f>注释!S46</f>
        <v>无变化</v>
      </c>
    </row>
    <row r="1995" spans="1:3">
      <c r="A1995" s="432" t="s">
        <v>2616</v>
      </c>
      <c r="B1995" s="432" t="str">
        <f t="shared" si="31"/>
        <v>无变化</v>
      </c>
      <c r="C1995" s="435" t="str">
        <f>注释!S47</f>
        <v>无变化</v>
      </c>
    </row>
    <row r="1996" spans="1:3">
      <c r="A1996" s="432" t="s">
        <v>2617</v>
      </c>
      <c r="B1996" s="432" t="str">
        <f t="shared" si="31"/>
        <v>无变化</v>
      </c>
      <c r="C1996" s="435" t="str">
        <f>注释!S48</f>
        <v>无变化</v>
      </c>
    </row>
    <row r="1997" spans="1:3">
      <c r="A1997" s="432" t="s">
        <v>2618</v>
      </c>
      <c r="B1997" s="432" t="str">
        <f t="shared" si="31"/>
        <v>无变化</v>
      </c>
      <c r="C1997" s="435" t="str">
        <f>注释!S49</f>
        <v>无变化</v>
      </c>
    </row>
    <row r="1998" spans="1:3">
      <c r="A1998" s="432" t="s">
        <v>2619</v>
      </c>
      <c r="B1998" s="432" t="str">
        <f t="shared" si="31"/>
        <v>无变化</v>
      </c>
      <c r="C1998" s="435" t="str">
        <f>注释!S50</f>
        <v>无变化</v>
      </c>
    </row>
    <row r="1999" spans="1:3">
      <c r="A1999" s="432" t="s">
        <v>2620</v>
      </c>
      <c r="B1999" s="432" t="str">
        <f t="shared" si="31"/>
        <v>无变化</v>
      </c>
      <c r="C1999" s="435" t="str">
        <f>注释!S51</f>
        <v>无变化</v>
      </c>
    </row>
    <row r="2000" spans="1:3">
      <c r="A2000" s="432" t="s">
        <v>2621</v>
      </c>
      <c r="B2000" s="432" t="str">
        <f t="shared" si="31"/>
        <v>无变化</v>
      </c>
      <c r="C2000" s="435" t="str">
        <f>注释!S52</f>
        <v>无变化</v>
      </c>
    </row>
    <row r="2001" spans="1:5">
      <c r="A2001" s="432" t="s">
        <v>2622</v>
      </c>
      <c r="B2001" s="432" t="str">
        <f t="shared" si="31"/>
        <v>无变化</v>
      </c>
      <c r="C2001" s="435" t="str">
        <f>注释!S53</f>
        <v>无变化</v>
      </c>
    </row>
    <row r="2002" spans="1:5">
      <c r="A2002" s="432" t="s">
        <v>2623</v>
      </c>
      <c r="B2002" s="432" t="str">
        <f t="shared" si="31"/>
        <v>无变化</v>
      </c>
      <c r="C2002" s="435" t="str">
        <f>注释!S55</f>
        <v>无变化</v>
      </c>
    </row>
    <row r="2003" spans="1:5">
      <c r="A2003" s="432" t="s">
        <v>2624</v>
      </c>
      <c r="B2003" s="432" t="str">
        <f t="shared" si="31"/>
        <v>无变化</v>
      </c>
      <c r="C2003" s="435" t="str">
        <f>注释!S56</f>
        <v>无变化</v>
      </c>
    </row>
    <row r="2004" spans="1:5">
      <c r="A2004" s="432" t="s">
        <v>2625</v>
      </c>
      <c r="B2004" s="432" t="str">
        <f t="shared" si="31"/>
        <v>无变化</v>
      </c>
      <c r="C2004" s="435" t="str">
        <f>注释!S57</f>
        <v>无变化</v>
      </c>
    </row>
    <row r="2005" spans="1:5">
      <c r="A2005" s="432" t="s">
        <v>2626</v>
      </c>
      <c r="B2005" s="432" t="str">
        <f t="shared" si="31"/>
        <v>无变化</v>
      </c>
      <c r="C2005" s="435" t="str">
        <f>注释!S58</f>
        <v>无变化</v>
      </c>
    </row>
    <row r="2006" spans="1:5">
      <c r="A2006" s="432" t="s">
        <v>2627</v>
      </c>
      <c r="B2006" s="432" t="str">
        <f t="shared" si="31"/>
        <v>无变化</v>
      </c>
      <c r="C2006" s="435" t="str">
        <f>注释!S59</f>
        <v>无变化</v>
      </c>
    </row>
    <row r="2007" spans="1:5">
      <c r="A2007" s="432" t="s">
        <v>2628</v>
      </c>
      <c r="B2007" s="432" t="str">
        <f t="shared" si="31"/>
        <v>无变化</v>
      </c>
      <c r="C2007" s="435" t="str">
        <f>注释!S60</f>
        <v>无变化</v>
      </c>
    </row>
    <row r="2008" spans="1:5">
      <c r="A2008" s="432" t="s">
        <v>2629</v>
      </c>
      <c r="B2008" s="432" t="str">
        <f t="shared" si="31"/>
        <v>无变化</v>
      </c>
      <c r="C2008" s="435" t="str">
        <f>注释!S61</f>
        <v>无变化</v>
      </c>
    </row>
    <row r="2009" spans="1:5">
      <c r="A2009" s="432" t="s">
        <v>2630</v>
      </c>
      <c r="B2009" s="432" t="str">
        <f t="shared" si="31"/>
        <v>无变化</v>
      </c>
      <c r="C2009" s="435" t="str">
        <f>注释!S62</f>
        <v>无变化</v>
      </c>
    </row>
    <row r="2010" spans="1:5">
      <c r="A2010" s="432" t="s">
        <v>2631</v>
      </c>
      <c r="B2010" s="432" t="str">
        <f t="shared" si="31"/>
        <v>无变化</v>
      </c>
      <c r="C2010" s="435" t="str">
        <f>注释!S63</f>
        <v>无变化</v>
      </c>
    </row>
    <row r="2011" spans="1:5">
      <c r="A2011" s="432" t="s">
        <v>2632</v>
      </c>
      <c r="B2011" s="432" t="str">
        <f t="shared" si="31"/>
        <v>无变化</v>
      </c>
      <c r="C2011" s="435" t="str">
        <f>注释!S64</f>
        <v>无变化</v>
      </c>
    </row>
    <row r="2012" spans="1:5">
      <c r="A2012" s="432" t="s">
        <v>2633</v>
      </c>
      <c r="B2012" s="432" t="str">
        <f t="shared" si="31"/>
        <v>无变化</v>
      </c>
      <c r="C2012" s="435" t="str">
        <f>注释!S65</f>
        <v>无变化</v>
      </c>
    </row>
    <row r="2013" spans="1:5">
      <c r="A2013" s="432" t="s">
        <v>2634</v>
      </c>
      <c r="B2013" s="432" t="str">
        <f t="shared" si="31"/>
        <v>无变化</v>
      </c>
      <c r="C2013" s="435" t="str">
        <f>注释!S66</f>
        <v>无变化</v>
      </c>
    </row>
    <row r="2014" spans="1:5">
      <c r="A2014" s="432" t="s">
        <v>2635</v>
      </c>
      <c r="B2014" s="432" t="str">
        <f t="shared" si="31"/>
        <v>无变化</v>
      </c>
      <c r="C2014" s="435" t="str">
        <f>注释!S67</f>
        <v>无变化</v>
      </c>
    </row>
    <row r="2015" spans="1:5">
      <c r="A2015" s="432" t="s">
        <v>2636</v>
      </c>
      <c r="B2015" s="432" t="str">
        <f t="shared" si="31"/>
        <v>【】</v>
      </c>
      <c r="C2015" s="435" t="str">
        <f>IF('合并资产负债表 '!T5=0,"【】",TEXT(ABS('合并资产负债表 '!T5),"#,##0.00"))</f>
        <v>【】</v>
      </c>
      <c r="E2015" s="436" t="s">
        <v>77</v>
      </c>
    </row>
    <row r="2016" spans="1:5">
      <c r="A2016" s="432" t="s">
        <v>2637</v>
      </c>
      <c r="B2016" s="432" t="str">
        <f t="shared" si="31"/>
        <v>【】</v>
      </c>
      <c r="C2016" s="435" t="str">
        <f>IF('合并资产负债表 '!T6=0,"【】",TEXT(ABS('合并资产负债表 '!T6),"#,##0.00"))</f>
        <v>【】</v>
      </c>
    </row>
    <row r="2017" spans="1:3">
      <c r="A2017" s="432" t="s">
        <v>2638</v>
      </c>
      <c r="B2017" s="432" t="str">
        <f t="shared" si="31"/>
        <v>【】</v>
      </c>
      <c r="C2017" s="435" t="str">
        <f>IF('合并资产负债表 '!T7=0,"【】",TEXT(ABS('合并资产负债表 '!T7),"#,##0.00"))</f>
        <v>【】</v>
      </c>
    </row>
    <row r="2018" spans="1:3">
      <c r="A2018" s="432" t="s">
        <v>2639</v>
      </c>
      <c r="B2018" s="432" t="str">
        <f t="shared" si="31"/>
        <v>【】</v>
      </c>
      <c r="C2018" s="435" t="str">
        <f>IF('合并资产负债表 '!T8=0,"【】",TEXT(ABS('合并资产负债表 '!T8),"#,##0.00"))</f>
        <v>【】</v>
      </c>
    </row>
    <row r="2019" spans="1:3">
      <c r="A2019" s="432" t="s">
        <v>2640</v>
      </c>
      <c r="B2019" s="432" t="str">
        <f t="shared" si="31"/>
        <v>【】</v>
      </c>
      <c r="C2019" s="435" t="str">
        <f>IF('合并资产负债表 '!T9=0,"【】",TEXT(ABS('合并资产负债表 '!T9),"#,##0.00"))</f>
        <v>【】</v>
      </c>
    </row>
    <row r="2020" spans="1:3">
      <c r="A2020" s="432" t="s">
        <v>2641</v>
      </c>
      <c r="B2020" s="432" t="str">
        <f t="shared" si="31"/>
        <v>【】</v>
      </c>
      <c r="C2020" s="435" t="str">
        <f>IF('合并资产负债表 '!T10=0,"【】",TEXT(ABS('合并资产负债表 '!T10),"#,##0.00"))</f>
        <v>【】</v>
      </c>
    </row>
    <row r="2021" spans="1:3">
      <c r="A2021" s="432" t="s">
        <v>2642</v>
      </c>
      <c r="B2021" s="432" t="str">
        <f t="shared" si="31"/>
        <v>【】</v>
      </c>
      <c r="C2021" s="435" t="str">
        <f>IF('合并资产负债表 '!T11=0,"【】",TEXT(ABS('合并资产负债表 '!T11),"#,##0.00"))</f>
        <v>【】</v>
      </c>
    </row>
    <row r="2022" spans="1:3">
      <c r="A2022" s="432" t="s">
        <v>2643</v>
      </c>
      <c r="B2022" s="432" t="str">
        <f t="shared" si="31"/>
        <v>【】</v>
      </c>
      <c r="C2022" s="435" t="str">
        <f>IF('合并资产负债表 '!T12=0,"【】",TEXT(ABS('合并资产负债表 '!T12),"#,##0.00"))</f>
        <v>【】</v>
      </c>
    </row>
    <row r="2023" spans="1:3">
      <c r="A2023" s="432" t="s">
        <v>2644</v>
      </c>
      <c r="B2023" s="432" t="str">
        <f t="shared" si="31"/>
        <v>【】</v>
      </c>
      <c r="C2023" s="435" t="str">
        <f>IF('合并资产负债表 '!T13=0,"【】",TEXT(ABS('合并资产负债表 '!T13),"#,##0.00"))</f>
        <v>【】</v>
      </c>
    </row>
    <row r="2024" spans="1:3">
      <c r="A2024" s="432" t="s">
        <v>2645</v>
      </c>
      <c r="B2024" s="432" t="str">
        <f t="shared" si="31"/>
        <v>【】</v>
      </c>
      <c r="C2024" s="435" t="str">
        <f>IF('合并资产负债表 '!T14=0,"【】",TEXT(ABS('合并资产负债表 '!T14),"#,##0.00"))</f>
        <v>【】</v>
      </c>
    </row>
    <row r="2025" spans="1:3">
      <c r="A2025" s="432" t="s">
        <v>2646</v>
      </c>
      <c r="B2025" s="432" t="str">
        <f t="shared" si="31"/>
        <v>【】</v>
      </c>
      <c r="C2025" s="435" t="str">
        <f>IF('合并资产负债表 '!T15=0,"【】",TEXT(ABS('合并资产负债表 '!T15),"#,##0.00"))</f>
        <v>【】</v>
      </c>
    </row>
    <row r="2026" spans="1:3">
      <c r="A2026" s="432" t="s">
        <v>2647</v>
      </c>
      <c r="B2026" s="432" t="str">
        <f t="shared" si="31"/>
        <v>【】</v>
      </c>
      <c r="C2026" s="435" t="str">
        <f>IF('合并资产负债表 '!T16=0,"【】",TEXT(ABS('合并资产负债表 '!T16),"#,##0.00"))</f>
        <v>【】</v>
      </c>
    </row>
    <row r="2027" spans="1:3">
      <c r="A2027" s="432" t="s">
        <v>2648</v>
      </c>
      <c r="B2027" s="432" t="str">
        <f t="shared" si="31"/>
        <v>【】</v>
      </c>
      <c r="C2027" s="435" t="str">
        <f>IF('合并资产负债表 '!T17=0,"【】",TEXT(ABS('合并资产负债表 '!T17),"#,##0.00"))</f>
        <v>【】</v>
      </c>
    </row>
    <row r="2028" spans="1:3">
      <c r="A2028" s="432" t="s">
        <v>2649</v>
      </c>
      <c r="B2028" s="432" t="str">
        <f t="shared" si="31"/>
        <v>【】</v>
      </c>
      <c r="C2028" s="435" t="str">
        <f>IF('合并资产负债表 '!T18=0,"【】",TEXT(ABS('合并资产负债表 '!T18),"#,##0.00"))</f>
        <v>【】</v>
      </c>
    </row>
    <row r="2029" spans="1:3">
      <c r="A2029" s="432" t="s">
        <v>2650</v>
      </c>
      <c r="B2029" s="432" t="str">
        <f t="shared" si="31"/>
        <v>【】</v>
      </c>
      <c r="C2029" s="435" t="str">
        <f>IF('合并资产负债表 '!T19=0,"【】",TEXT(ABS('合并资产负债表 '!T19),"#,##0.00"))</f>
        <v>【】</v>
      </c>
    </row>
    <row r="2030" spans="1:3">
      <c r="A2030" s="432" t="s">
        <v>2651</v>
      </c>
      <c r="B2030" s="432" t="str">
        <f t="shared" si="31"/>
        <v>【】</v>
      </c>
      <c r="C2030" s="435" t="str">
        <f>IF('合并资产负债表 '!T21=0,"【】",TEXT(ABS('合并资产负债表 '!T21),"#,##0.00"))</f>
        <v>【】</v>
      </c>
    </row>
    <row r="2031" spans="1:3">
      <c r="A2031" s="432" t="s">
        <v>2652</v>
      </c>
      <c r="B2031" s="432" t="str">
        <f t="shared" si="31"/>
        <v>【】</v>
      </c>
      <c r="C2031" s="435" t="str">
        <f>IF('合并资产负债表 '!T22=0,"【】",TEXT(ABS('合并资产负债表 '!T22),"#,##0.00"))</f>
        <v>【】</v>
      </c>
    </row>
    <row r="2032" spans="1:3">
      <c r="A2032" s="432" t="s">
        <v>2653</v>
      </c>
      <c r="B2032" s="432" t="str">
        <f t="shared" si="31"/>
        <v>【】</v>
      </c>
      <c r="C2032" s="435" t="str">
        <f>IF('合并资产负债表 '!T23=0,"【】",TEXT(ABS('合并资产负债表 '!T23),"#,##0.00"))</f>
        <v>【】</v>
      </c>
    </row>
    <row r="2033" spans="1:3">
      <c r="A2033" s="432" t="s">
        <v>2654</v>
      </c>
      <c r="B2033" s="432" t="str">
        <f t="shared" si="31"/>
        <v>【】</v>
      </c>
      <c r="C2033" s="435" t="str">
        <f>IF('合并资产负债表 '!T24=0,"【】",TEXT(ABS('合并资产负债表 '!T24),"#,##0.00"))</f>
        <v>【】</v>
      </c>
    </row>
    <row r="2034" spans="1:3">
      <c r="A2034" s="432" t="s">
        <v>2655</v>
      </c>
      <c r="B2034" s="432" t="str">
        <f t="shared" si="31"/>
        <v>【】</v>
      </c>
      <c r="C2034" s="435" t="str">
        <f>IF('合并资产负债表 '!T25=0,"【】",TEXT(ABS('合并资产负债表 '!T25),"#,##0.00"))</f>
        <v>【】</v>
      </c>
    </row>
    <row r="2035" spans="1:3">
      <c r="A2035" s="432" t="s">
        <v>2656</v>
      </c>
      <c r="B2035" s="432" t="str">
        <f t="shared" si="31"/>
        <v>【】</v>
      </c>
      <c r="C2035" s="435" t="str">
        <f>IF('合并资产负债表 '!T26=0,"【】",TEXT(ABS('合并资产负债表 '!T26),"#,##0.00"))</f>
        <v>【】</v>
      </c>
    </row>
    <row r="2036" spans="1:3">
      <c r="A2036" s="432" t="s">
        <v>2657</v>
      </c>
      <c r="B2036" s="432" t="str">
        <f t="shared" si="31"/>
        <v>【】</v>
      </c>
      <c r="C2036" s="435" t="str">
        <f>IF('合并资产负债表 '!T27=0,"【】",TEXT(ABS('合并资产负债表 '!T27),"#,##0.00"))</f>
        <v>【】</v>
      </c>
    </row>
    <row r="2037" spans="1:3">
      <c r="A2037" s="432" t="s">
        <v>2658</v>
      </c>
      <c r="B2037" s="432" t="str">
        <f t="shared" si="31"/>
        <v>【】</v>
      </c>
      <c r="C2037" s="435" t="str">
        <f>IF('合并资产负债表 '!T28=0,"【】",TEXT(ABS('合并资产负债表 '!T28),"#,##0.00"))</f>
        <v>【】</v>
      </c>
    </row>
    <row r="2038" spans="1:3">
      <c r="A2038" s="432" t="s">
        <v>2659</v>
      </c>
      <c r="B2038" s="432" t="str">
        <f t="shared" si="31"/>
        <v>【】</v>
      </c>
      <c r="C2038" s="435" t="str">
        <f>IF('合并资产负债表 '!T29=0,"【】",TEXT(ABS('合并资产负债表 '!T29),"#,##0.00"))</f>
        <v>【】</v>
      </c>
    </row>
    <row r="2039" spans="1:3">
      <c r="A2039" s="432" t="s">
        <v>2660</v>
      </c>
      <c r="B2039" s="432" t="str">
        <f t="shared" si="31"/>
        <v>【】</v>
      </c>
      <c r="C2039" s="435" t="str">
        <f>IF('合并资产负债表 '!T30=0,"【】",TEXT(ABS('合并资产负债表 '!T30),"#,##0.00"))</f>
        <v>【】</v>
      </c>
    </row>
    <row r="2040" spans="1:3">
      <c r="A2040" s="432" t="s">
        <v>2661</v>
      </c>
      <c r="B2040" s="432" t="str">
        <f t="shared" si="31"/>
        <v>【】</v>
      </c>
      <c r="C2040" s="435" t="str">
        <f>IF('合并资产负债表 '!T31=0,"【】",TEXT(ABS('合并资产负债表 '!T31),"#,##0.00"))</f>
        <v>【】</v>
      </c>
    </row>
    <row r="2041" spans="1:3">
      <c r="A2041" s="432" t="s">
        <v>2662</v>
      </c>
      <c r="B2041" s="432" t="str">
        <f t="shared" si="31"/>
        <v>【】</v>
      </c>
      <c r="C2041" s="435" t="str">
        <f>IF('合并资产负债表 '!T32=0,"【】",TEXT(ABS('合并资产负债表 '!T32),"#,##0.00"))</f>
        <v>【】</v>
      </c>
    </row>
    <row r="2042" spans="1:3">
      <c r="A2042" s="432" t="s">
        <v>2663</v>
      </c>
      <c r="B2042" s="432" t="str">
        <f t="shared" si="31"/>
        <v>【】</v>
      </c>
      <c r="C2042" s="435" t="str">
        <f>IF('合并资产负债表 '!T33=0,"【】",TEXT(ABS('合并资产负债表 '!T33),"#,##0.00"))</f>
        <v>【】</v>
      </c>
    </row>
    <row r="2043" spans="1:3">
      <c r="A2043" s="432" t="s">
        <v>2664</v>
      </c>
      <c r="B2043" s="432" t="str">
        <f t="shared" si="31"/>
        <v>【】</v>
      </c>
      <c r="C2043" s="435" t="str">
        <f>IF('合并资产负债表 '!T34=0,"【】",TEXT(ABS('合并资产负债表 '!T34),"#,##0.00"))</f>
        <v>【】</v>
      </c>
    </row>
    <row r="2044" spans="1:3">
      <c r="A2044" s="432" t="s">
        <v>2665</v>
      </c>
      <c r="B2044" s="432" t="str">
        <f t="shared" si="31"/>
        <v>【】</v>
      </c>
      <c r="C2044" s="435" t="str">
        <f>IF('合并资产负债表 '!T35=0,"【】",TEXT(ABS('合并资产负债表 '!T35),"#,##0.00"))</f>
        <v>【】</v>
      </c>
    </row>
    <row r="2045" spans="1:3">
      <c r="A2045" s="432" t="s">
        <v>2666</v>
      </c>
      <c r="B2045" s="432" t="str">
        <f t="shared" si="31"/>
        <v>【】</v>
      </c>
      <c r="C2045" s="435" t="str">
        <f>IF('合并资产负债表 '!T36=0,"【】",TEXT(ABS('合并资产负债表 '!T36),"#,##0.00"))</f>
        <v>【】</v>
      </c>
    </row>
    <row r="2046" spans="1:3">
      <c r="A2046" s="432" t="s">
        <v>2667</v>
      </c>
      <c r="B2046" s="432" t="str">
        <f t="shared" si="31"/>
        <v>【】</v>
      </c>
      <c r="C2046" s="435" t="str">
        <f>IF('合并资产负债表 '!T37=0,"【】",TEXT(ABS('合并资产负债表 '!T37),"#,##0.00"))</f>
        <v>【】</v>
      </c>
    </row>
    <row r="2047" spans="1:3">
      <c r="A2047" s="432" t="s">
        <v>2668</v>
      </c>
      <c r="B2047" s="432" t="str">
        <f t="shared" si="31"/>
        <v>【】</v>
      </c>
      <c r="C2047" s="435" t="str">
        <f>IF('合并资产负债表 '!T39=0,"【】",TEXT(ABS('合并资产负债表 '!T39),"#,##0.00"))</f>
        <v>【】</v>
      </c>
    </row>
    <row r="2048" spans="1:3">
      <c r="A2048" s="432" t="s">
        <v>2669</v>
      </c>
      <c r="B2048" s="432" t="str">
        <f t="shared" si="31"/>
        <v>【】</v>
      </c>
      <c r="C2048" s="435" t="str">
        <f>IF('合并资产负债表 '!T40=0,"【】",TEXT(ABS('合并资产负债表 '!T40),"#,##0.00"))</f>
        <v>【】</v>
      </c>
    </row>
    <row r="2049" spans="1:3">
      <c r="A2049" s="432" t="s">
        <v>2670</v>
      </c>
      <c r="B2049" s="432" t="str">
        <f t="shared" si="31"/>
        <v>【】</v>
      </c>
      <c r="C2049" s="435" t="str">
        <f>IF('合并资产负债表 '!T41=0,"【】",TEXT(ABS('合并资产负债表 '!T41),"#,##0.00"))</f>
        <v>【】</v>
      </c>
    </row>
    <row r="2050" spans="1:3">
      <c r="A2050" s="432" t="s">
        <v>2671</v>
      </c>
      <c r="B2050" s="432" t="str">
        <f t="shared" si="31"/>
        <v>【】</v>
      </c>
      <c r="C2050" s="435" t="str">
        <f>IF('合并资产负债表 '!T42=0,"【】",TEXT(ABS('合并资产负债表 '!T42),"#,##0.00"))</f>
        <v>【】</v>
      </c>
    </row>
    <row r="2051" spans="1:3">
      <c r="A2051" s="432" t="s">
        <v>2672</v>
      </c>
      <c r="B2051" s="432" t="str">
        <f t="shared" si="31"/>
        <v>【】</v>
      </c>
      <c r="C2051" s="435" t="str">
        <f>IF('合并资产负债表 '!T43=0,"【】",TEXT(ABS('合并资产负债表 '!T43),"#,##0.00"))</f>
        <v>【】</v>
      </c>
    </row>
    <row r="2052" spans="1:3">
      <c r="A2052" s="432" t="s">
        <v>2673</v>
      </c>
      <c r="B2052" s="432" t="str">
        <f t="shared" si="31"/>
        <v>【】</v>
      </c>
      <c r="C2052" s="435" t="str">
        <f>IF('合并资产负债表 '!T44=0,"【】",TEXT(ABS('合并资产负债表 '!T44),"#,##0.00"))</f>
        <v>【】</v>
      </c>
    </row>
    <row r="2053" spans="1:3">
      <c r="A2053" s="432" t="s">
        <v>2674</v>
      </c>
      <c r="B2053" s="432" t="str">
        <f t="shared" si="31"/>
        <v>【】</v>
      </c>
      <c r="C2053" s="435" t="str">
        <f>IF('合并资产负债表 '!T45=0,"【】",TEXT(ABS('合并资产负债表 '!T45),"#,##0.00"))</f>
        <v>【】</v>
      </c>
    </row>
    <row r="2054" spans="1:3">
      <c r="A2054" s="432" t="s">
        <v>2675</v>
      </c>
      <c r="B2054" s="432" t="str">
        <f t="shared" si="31"/>
        <v>【】</v>
      </c>
      <c r="C2054" s="435" t="str">
        <f>IF('合并资产负债表 '!T46=0,"【】",TEXT(ABS('合并资产负债表 '!T46),"#,##0.00"))</f>
        <v>【】</v>
      </c>
    </row>
    <row r="2055" spans="1:3">
      <c r="A2055" s="432" t="s">
        <v>2676</v>
      </c>
      <c r="B2055" s="432" t="str">
        <f t="shared" si="31"/>
        <v>【】</v>
      </c>
      <c r="C2055" s="435" t="str">
        <f>IF('合并资产负债表 '!T47=0,"【】",TEXT(ABS('合并资产负债表 '!T47),"#,##0.00"))</f>
        <v>【】</v>
      </c>
    </row>
    <row r="2056" spans="1:3">
      <c r="A2056" s="432" t="s">
        <v>2677</v>
      </c>
      <c r="B2056" s="432" t="str">
        <f t="shared" ref="B2056:B2119" si="32">TRIM(C2056)</f>
        <v>【】</v>
      </c>
      <c r="C2056" s="435" t="str">
        <f>IF('合并资产负债表 '!T48=0,"【】",TEXT(ABS('合并资产负债表 '!T48),"#,##0.00"))</f>
        <v>【】</v>
      </c>
    </row>
    <row r="2057" spans="1:3">
      <c r="A2057" s="432" t="s">
        <v>2678</v>
      </c>
      <c r="B2057" s="432" t="str">
        <f t="shared" si="32"/>
        <v>【】</v>
      </c>
      <c r="C2057" s="435" t="str">
        <f>IF('合并资产负债表 '!T49=0,"【】",TEXT(ABS('合并资产负债表 '!T49),"#,##0.00"))</f>
        <v>【】</v>
      </c>
    </row>
    <row r="2058" spans="1:3">
      <c r="A2058" s="432" t="s">
        <v>2679</v>
      </c>
      <c r="B2058" s="432" t="str">
        <f t="shared" si="32"/>
        <v>【】</v>
      </c>
      <c r="C2058" s="435" t="str">
        <f>IF('合并资产负债表 '!T50=0,"【】",TEXT(ABS('合并资产负债表 '!T50),"#,##0.00"))</f>
        <v>【】</v>
      </c>
    </row>
    <row r="2059" spans="1:3">
      <c r="A2059" s="432" t="s">
        <v>2680</v>
      </c>
      <c r="B2059" s="432" t="str">
        <f t="shared" si="32"/>
        <v>【】</v>
      </c>
      <c r="C2059" s="435" t="str">
        <f>IF('合并资产负债表 '!T51=0,"【】",TEXT(ABS('合并资产负债表 '!T51),"#,##0.00"))</f>
        <v>【】</v>
      </c>
    </row>
    <row r="2060" spans="1:3">
      <c r="A2060" s="432" t="s">
        <v>2681</v>
      </c>
      <c r="B2060" s="432" t="str">
        <f t="shared" si="32"/>
        <v>【】</v>
      </c>
      <c r="C2060" s="435" t="str">
        <f>IF('合并资产负债表 '!T52=0,"【】",TEXT(ABS('合并资产负债表 '!T52),"#,##0.00"))</f>
        <v>【】</v>
      </c>
    </row>
    <row r="2061" spans="1:3">
      <c r="A2061" s="432" t="s">
        <v>2682</v>
      </c>
      <c r="B2061" s="432" t="str">
        <f t="shared" si="32"/>
        <v>【】</v>
      </c>
      <c r="C2061" s="435" t="str">
        <f>IF('合并资产负债表 '!T53=0,"【】",TEXT(ABS('合并资产负债表 '!T53),"#,##0.00"))</f>
        <v>【】</v>
      </c>
    </row>
    <row r="2062" spans="1:3">
      <c r="A2062" s="432" t="s">
        <v>2683</v>
      </c>
      <c r="B2062" s="432" t="str">
        <f t="shared" si="32"/>
        <v>【】</v>
      </c>
      <c r="C2062" s="435" t="str">
        <f>IF('合并资产负债表 '!T54=0,"【】",TEXT(ABS('合并资产负债表 '!T54),"#,##0.00"))</f>
        <v>【】</v>
      </c>
    </row>
    <row r="2063" spans="1:3">
      <c r="A2063" s="432" t="s">
        <v>2684</v>
      </c>
      <c r="B2063" s="432" t="str">
        <f t="shared" si="32"/>
        <v>【】</v>
      </c>
      <c r="C2063" s="435" t="str">
        <f>IF('合并资产负债表 '!T56=0,"【】",TEXT(ABS('合并资产负债表 '!T56),"#,##0.00"))</f>
        <v>【】</v>
      </c>
    </row>
    <row r="2064" spans="1:3">
      <c r="A2064" s="432" t="s">
        <v>2685</v>
      </c>
      <c r="B2064" s="432" t="str">
        <f t="shared" si="32"/>
        <v>【】</v>
      </c>
      <c r="C2064" s="435" t="str">
        <f>IF('合并资产负债表 '!T57=0,"【】",TEXT(ABS('合并资产负债表 '!T57),"#,##0.00"))</f>
        <v>【】</v>
      </c>
    </row>
    <row r="2065" spans="1:3">
      <c r="A2065" s="432" t="s">
        <v>2686</v>
      </c>
      <c r="B2065" s="432" t="str">
        <f t="shared" si="32"/>
        <v>【】</v>
      </c>
      <c r="C2065" s="435" t="str">
        <f>IF('合并资产负债表 '!T58=0,"【】",TEXT(ABS('合并资产负债表 '!T58),"#,##0.00"))</f>
        <v>【】</v>
      </c>
    </row>
    <row r="2066" spans="1:3">
      <c r="A2066" s="432" t="s">
        <v>2687</v>
      </c>
      <c r="B2066" s="432" t="str">
        <f t="shared" si="32"/>
        <v>【】</v>
      </c>
      <c r="C2066" s="435" t="str">
        <f>IF('合并资产负债表 '!T59=0,"【】",TEXT(ABS('合并资产负债表 '!T59),"#,##0.00"))</f>
        <v>【】</v>
      </c>
    </row>
    <row r="2067" spans="1:3">
      <c r="A2067" s="432" t="s">
        <v>2688</v>
      </c>
      <c r="B2067" s="432" t="str">
        <f t="shared" si="32"/>
        <v>【】</v>
      </c>
      <c r="C2067" s="435" t="str">
        <f>IF('合并资产负债表 '!T60=0,"【】",TEXT(ABS('合并资产负债表 '!T60),"#,##0.00"))</f>
        <v>【】</v>
      </c>
    </row>
    <row r="2068" spans="1:3">
      <c r="A2068" s="432" t="s">
        <v>2689</v>
      </c>
      <c r="B2068" s="432" t="str">
        <f t="shared" si="32"/>
        <v>【】</v>
      </c>
      <c r="C2068" s="435" t="str">
        <f>IF('合并资产负债表 '!T61=0,"【】",TEXT(ABS('合并资产负债表 '!T61),"#,##0.00"))</f>
        <v>【】</v>
      </c>
    </row>
    <row r="2069" spans="1:3">
      <c r="A2069" s="432" t="s">
        <v>2690</v>
      </c>
      <c r="B2069" s="432" t="str">
        <f t="shared" si="32"/>
        <v>【】</v>
      </c>
      <c r="C2069" s="435" t="str">
        <f>IF('合并资产负债表 '!T62=0,"【】",TEXT(ABS('合并资产负债表 '!T62),"#,##0.00"))</f>
        <v>【】</v>
      </c>
    </row>
    <row r="2070" spans="1:3">
      <c r="A2070" s="432" t="s">
        <v>2691</v>
      </c>
      <c r="B2070" s="432" t="str">
        <f t="shared" si="32"/>
        <v>【】</v>
      </c>
      <c r="C2070" s="435" t="str">
        <f>IF('合并资产负债表 '!T63=0,"【】",TEXT(ABS('合并资产负债表 '!T63),"#,##0.00"))</f>
        <v>【】</v>
      </c>
    </row>
    <row r="2071" spans="1:3">
      <c r="A2071" s="432" t="s">
        <v>2692</v>
      </c>
      <c r="B2071" s="432" t="str">
        <f t="shared" si="32"/>
        <v>【】</v>
      </c>
      <c r="C2071" s="435" t="str">
        <f>IF('合并资产负债表 '!T64=0,"【】",TEXT(ABS('合并资产负债表 '!T64),"#,##0.00"))</f>
        <v>【】</v>
      </c>
    </row>
    <row r="2072" spans="1:3">
      <c r="A2072" s="432" t="s">
        <v>2693</v>
      </c>
      <c r="B2072" s="432" t="str">
        <f t="shared" si="32"/>
        <v>【】</v>
      </c>
      <c r="C2072" s="435" t="str">
        <f>IF('合并资产负债表 '!T65=0,"【】",TEXT(ABS('合并资产负债表 '!T65),"#,##0.00"))</f>
        <v>【】</v>
      </c>
    </row>
    <row r="2073" spans="1:3">
      <c r="A2073" s="432" t="s">
        <v>2694</v>
      </c>
      <c r="B2073" s="432" t="str">
        <f t="shared" si="32"/>
        <v>【】</v>
      </c>
      <c r="C2073" s="435" t="str">
        <f>IF('合并资产负债表 '!T66=0,"【】",TEXT(ABS('合并资产负债表 '!T66),"#,##0.00"))</f>
        <v>【】</v>
      </c>
    </row>
    <row r="2074" spans="1:3">
      <c r="A2074" s="432" t="s">
        <v>2695</v>
      </c>
      <c r="B2074" s="432" t="str">
        <f t="shared" si="32"/>
        <v>【】</v>
      </c>
      <c r="C2074" s="435" t="str">
        <f>IF('合并资产负债表 '!T67=0,"【】",TEXT(ABS('合并资产负债表 '!T67),"#,##0.00"))</f>
        <v>【】</v>
      </c>
    </row>
    <row r="2075" spans="1:3">
      <c r="A2075" s="432" t="s">
        <v>2696</v>
      </c>
      <c r="B2075" s="432" t="str">
        <f t="shared" si="32"/>
        <v>【】</v>
      </c>
      <c r="C2075" s="435" t="str">
        <f>IF('合并资产负债表 '!T68=0,"【】",TEXT(ABS('合并资产负债表 '!T68),"#,##0.00"))</f>
        <v>【】</v>
      </c>
    </row>
    <row r="2076" spans="1:3">
      <c r="A2076" s="432" t="s">
        <v>2697</v>
      </c>
      <c r="B2076" s="432" t="str">
        <f t="shared" si="32"/>
        <v>无变化</v>
      </c>
      <c r="C2076" s="435" t="str">
        <f>注释!V4</f>
        <v>无变化</v>
      </c>
    </row>
    <row r="2077" spans="1:3">
      <c r="A2077" s="432" t="s">
        <v>2698</v>
      </c>
      <c r="B2077" s="432" t="str">
        <f t="shared" si="32"/>
        <v>无变化</v>
      </c>
      <c r="C2077" s="435" t="str">
        <f>注释!V5</f>
        <v>无变化</v>
      </c>
    </row>
    <row r="2078" spans="1:3">
      <c r="A2078" s="432" t="s">
        <v>2699</v>
      </c>
      <c r="B2078" s="432" t="str">
        <f t="shared" si="32"/>
        <v>无变化</v>
      </c>
      <c r="C2078" s="435" t="str">
        <f>注释!V6</f>
        <v>无变化</v>
      </c>
    </row>
    <row r="2079" spans="1:3">
      <c r="A2079" s="432" t="s">
        <v>2700</v>
      </c>
      <c r="B2079" s="432" t="str">
        <f t="shared" si="32"/>
        <v>无变化</v>
      </c>
      <c r="C2079" s="435" t="str">
        <f>注释!V7</f>
        <v>无变化</v>
      </c>
    </row>
    <row r="2080" spans="1:3">
      <c r="A2080" s="432" t="s">
        <v>2701</v>
      </c>
      <c r="B2080" s="432" t="str">
        <f t="shared" si="32"/>
        <v>无变化</v>
      </c>
      <c r="C2080" s="435" t="str">
        <f>注释!V8</f>
        <v>无变化</v>
      </c>
    </row>
    <row r="2081" spans="1:3">
      <c r="A2081" s="432" t="s">
        <v>2702</v>
      </c>
      <c r="B2081" s="432" t="str">
        <f t="shared" si="32"/>
        <v>无变化</v>
      </c>
      <c r="C2081" s="435" t="str">
        <f>注释!V9</f>
        <v>无变化</v>
      </c>
    </row>
    <row r="2082" spans="1:3">
      <c r="A2082" s="432" t="s">
        <v>2703</v>
      </c>
      <c r="B2082" s="432" t="str">
        <f t="shared" si="32"/>
        <v>无变化</v>
      </c>
      <c r="C2082" s="435" t="str">
        <f>注释!V10</f>
        <v>无变化</v>
      </c>
    </row>
    <row r="2083" spans="1:3">
      <c r="A2083" s="432" t="s">
        <v>2704</v>
      </c>
      <c r="B2083" s="432" t="str">
        <f t="shared" si="32"/>
        <v>无变化</v>
      </c>
      <c r="C2083" s="435" t="str">
        <f>注释!V11</f>
        <v>无变化</v>
      </c>
    </row>
    <row r="2084" spans="1:3">
      <c r="A2084" s="432" t="s">
        <v>2705</v>
      </c>
      <c r="B2084" s="432" t="str">
        <f t="shared" si="32"/>
        <v>无变化</v>
      </c>
      <c r="C2084" s="435" t="str">
        <f>注释!V12</f>
        <v>无变化</v>
      </c>
    </row>
    <row r="2085" spans="1:3">
      <c r="A2085" s="432" t="s">
        <v>2706</v>
      </c>
      <c r="B2085" s="432" t="str">
        <f t="shared" si="32"/>
        <v>无变化</v>
      </c>
      <c r="C2085" s="435" t="str">
        <f>注释!V13</f>
        <v>无变化</v>
      </c>
    </row>
    <row r="2086" spans="1:3">
      <c r="A2086" s="432" t="s">
        <v>2707</v>
      </c>
      <c r="B2086" s="432" t="str">
        <f t="shared" si="32"/>
        <v>无变化</v>
      </c>
      <c r="C2086" s="435" t="str">
        <f>注释!V14</f>
        <v>无变化</v>
      </c>
    </row>
    <row r="2087" spans="1:3">
      <c r="A2087" s="432" t="s">
        <v>2708</v>
      </c>
      <c r="B2087" s="432" t="str">
        <f t="shared" si="32"/>
        <v>无变化</v>
      </c>
      <c r="C2087" s="435" t="str">
        <f>注释!V15</f>
        <v>无变化</v>
      </c>
    </row>
    <row r="2088" spans="1:3">
      <c r="A2088" s="432" t="s">
        <v>2709</v>
      </c>
      <c r="B2088" s="432" t="str">
        <f t="shared" si="32"/>
        <v>无变化</v>
      </c>
      <c r="C2088" s="435" t="str">
        <f>注释!V16</f>
        <v>无变化</v>
      </c>
    </row>
    <row r="2089" spans="1:3">
      <c r="A2089" s="432" t="s">
        <v>2710</v>
      </c>
      <c r="B2089" s="432" t="str">
        <f t="shared" si="32"/>
        <v>无变化</v>
      </c>
      <c r="C2089" s="435" t="str">
        <f>注释!V17</f>
        <v>无变化</v>
      </c>
    </row>
    <row r="2090" spans="1:3">
      <c r="A2090" s="432" t="s">
        <v>2711</v>
      </c>
      <c r="B2090" s="432" t="str">
        <f t="shared" si="32"/>
        <v>无变化</v>
      </c>
      <c r="C2090" s="435" t="str">
        <f>注释!V18</f>
        <v>无变化</v>
      </c>
    </row>
    <row r="2091" spans="1:3">
      <c r="A2091" s="432" t="s">
        <v>2712</v>
      </c>
      <c r="B2091" s="432" t="str">
        <f t="shared" si="32"/>
        <v>无变化</v>
      </c>
      <c r="C2091" s="435" t="str">
        <f>注释!V20</f>
        <v>无变化</v>
      </c>
    </row>
    <row r="2092" spans="1:3">
      <c r="A2092" s="432" t="s">
        <v>2713</v>
      </c>
      <c r="B2092" s="432" t="str">
        <f t="shared" si="32"/>
        <v>无变化</v>
      </c>
      <c r="C2092" s="435" t="str">
        <f>注释!V21</f>
        <v>无变化</v>
      </c>
    </row>
    <row r="2093" spans="1:3">
      <c r="A2093" s="432" t="s">
        <v>2714</v>
      </c>
      <c r="B2093" s="432" t="str">
        <f t="shared" si="32"/>
        <v>无变化</v>
      </c>
      <c r="C2093" s="435" t="str">
        <f>注释!V22</f>
        <v>无变化</v>
      </c>
    </row>
    <row r="2094" spans="1:3">
      <c r="A2094" s="432" t="s">
        <v>2715</v>
      </c>
      <c r="B2094" s="432" t="str">
        <f t="shared" si="32"/>
        <v>无变化</v>
      </c>
      <c r="C2094" s="435" t="str">
        <f>注释!V23</f>
        <v>无变化</v>
      </c>
    </row>
    <row r="2095" spans="1:3">
      <c r="A2095" s="432" t="s">
        <v>2716</v>
      </c>
      <c r="B2095" s="432" t="str">
        <f t="shared" si="32"/>
        <v>无变化</v>
      </c>
      <c r="C2095" s="435" t="str">
        <f>注释!V24</f>
        <v>无变化</v>
      </c>
    </row>
    <row r="2096" spans="1:3">
      <c r="A2096" s="432" t="s">
        <v>2717</v>
      </c>
      <c r="B2096" s="432" t="str">
        <f t="shared" si="32"/>
        <v>无变化</v>
      </c>
      <c r="C2096" s="435" t="str">
        <f>注释!V25</f>
        <v>无变化</v>
      </c>
    </row>
    <row r="2097" spans="1:3">
      <c r="A2097" s="432" t="s">
        <v>2718</v>
      </c>
      <c r="B2097" s="432" t="str">
        <f t="shared" si="32"/>
        <v>无变化</v>
      </c>
      <c r="C2097" s="435" t="str">
        <f>注释!V26</f>
        <v>无变化</v>
      </c>
    </row>
    <row r="2098" spans="1:3">
      <c r="A2098" s="432" t="s">
        <v>2719</v>
      </c>
      <c r="B2098" s="432" t="str">
        <f t="shared" si="32"/>
        <v>无变化</v>
      </c>
      <c r="C2098" s="435" t="str">
        <f>注释!V27</f>
        <v>无变化</v>
      </c>
    </row>
    <row r="2099" spans="1:3">
      <c r="A2099" s="432" t="s">
        <v>2720</v>
      </c>
      <c r="B2099" s="432" t="str">
        <f t="shared" si="32"/>
        <v>无变化</v>
      </c>
      <c r="C2099" s="435" t="str">
        <f>注释!V28</f>
        <v>无变化</v>
      </c>
    </row>
    <row r="2100" spans="1:3">
      <c r="A2100" s="432" t="s">
        <v>2721</v>
      </c>
      <c r="B2100" s="432" t="str">
        <f t="shared" si="32"/>
        <v>无变化</v>
      </c>
      <c r="C2100" s="435" t="str">
        <f>注释!V29</f>
        <v>无变化</v>
      </c>
    </row>
    <row r="2101" spans="1:3">
      <c r="A2101" s="432" t="s">
        <v>2722</v>
      </c>
      <c r="B2101" s="432" t="str">
        <f t="shared" si="32"/>
        <v>无变化</v>
      </c>
      <c r="C2101" s="435" t="str">
        <f>注释!V30</f>
        <v>无变化</v>
      </c>
    </row>
    <row r="2102" spans="1:3">
      <c r="A2102" s="432" t="s">
        <v>2723</v>
      </c>
      <c r="B2102" s="432" t="str">
        <f t="shared" si="32"/>
        <v>无变化</v>
      </c>
      <c r="C2102" s="435" t="str">
        <f>注释!V31</f>
        <v>无变化</v>
      </c>
    </row>
    <row r="2103" spans="1:3">
      <c r="A2103" s="432" t="s">
        <v>2724</v>
      </c>
      <c r="B2103" s="432" t="str">
        <f t="shared" si="32"/>
        <v>无变化</v>
      </c>
      <c r="C2103" s="435" t="str">
        <f>注释!V32</f>
        <v>无变化</v>
      </c>
    </row>
    <row r="2104" spans="1:3">
      <c r="A2104" s="432" t="s">
        <v>2725</v>
      </c>
      <c r="B2104" s="432" t="str">
        <f t="shared" si="32"/>
        <v>无变化</v>
      </c>
      <c r="C2104" s="435" t="str">
        <f>注释!V33</f>
        <v>无变化</v>
      </c>
    </row>
    <row r="2105" spans="1:3">
      <c r="A2105" s="432" t="s">
        <v>2726</v>
      </c>
      <c r="B2105" s="432" t="str">
        <f t="shared" si="32"/>
        <v>无变化</v>
      </c>
      <c r="C2105" s="435" t="str">
        <f>注释!V34</f>
        <v>无变化</v>
      </c>
    </row>
    <row r="2106" spans="1:3">
      <c r="A2106" s="432" t="s">
        <v>2727</v>
      </c>
      <c r="B2106" s="432" t="str">
        <f t="shared" si="32"/>
        <v>无变化</v>
      </c>
      <c r="C2106" s="435" t="str">
        <f>注释!V35</f>
        <v>无变化</v>
      </c>
    </row>
    <row r="2107" spans="1:3">
      <c r="A2107" s="432" t="s">
        <v>2728</v>
      </c>
      <c r="B2107" s="432" t="str">
        <f t="shared" si="32"/>
        <v>无变化</v>
      </c>
      <c r="C2107" s="435" t="str">
        <f>注释!V36</f>
        <v>无变化</v>
      </c>
    </row>
    <row r="2108" spans="1:3">
      <c r="A2108" s="432" t="s">
        <v>2729</v>
      </c>
      <c r="B2108" s="432" t="str">
        <f t="shared" si="32"/>
        <v>无变化</v>
      </c>
      <c r="C2108" s="435" t="str">
        <f>注释!V38</f>
        <v>无变化</v>
      </c>
    </row>
    <row r="2109" spans="1:3">
      <c r="A2109" s="432" t="s">
        <v>2730</v>
      </c>
      <c r="B2109" s="432" t="str">
        <f t="shared" si="32"/>
        <v>无变化</v>
      </c>
      <c r="C2109" s="435" t="str">
        <f>注释!V39</f>
        <v>无变化</v>
      </c>
    </row>
    <row r="2110" spans="1:3">
      <c r="A2110" s="432" t="s">
        <v>2731</v>
      </c>
      <c r="B2110" s="432" t="str">
        <f t="shared" si="32"/>
        <v>无变化</v>
      </c>
      <c r="C2110" s="435" t="str">
        <f>注释!V40</f>
        <v>无变化</v>
      </c>
    </row>
    <row r="2111" spans="1:3">
      <c r="A2111" s="432" t="s">
        <v>2732</v>
      </c>
      <c r="B2111" s="432" t="str">
        <f t="shared" si="32"/>
        <v>无变化</v>
      </c>
      <c r="C2111" s="435" t="str">
        <f>注释!V41</f>
        <v>无变化</v>
      </c>
    </row>
    <row r="2112" spans="1:3">
      <c r="A2112" s="432" t="s">
        <v>2733</v>
      </c>
      <c r="B2112" s="432" t="str">
        <f t="shared" si="32"/>
        <v>无变化</v>
      </c>
      <c r="C2112" s="435" t="str">
        <f>注释!V42</f>
        <v>无变化</v>
      </c>
    </row>
    <row r="2113" spans="1:3">
      <c r="A2113" s="432" t="s">
        <v>2734</v>
      </c>
      <c r="B2113" s="432" t="str">
        <f t="shared" si="32"/>
        <v>无变化</v>
      </c>
      <c r="C2113" s="435" t="str">
        <f>注释!V43</f>
        <v>无变化</v>
      </c>
    </row>
    <row r="2114" spans="1:3">
      <c r="A2114" s="432" t="s">
        <v>2735</v>
      </c>
      <c r="B2114" s="432" t="str">
        <f t="shared" si="32"/>
        <v>无变化</v>
      </c>
      <c r="C2114" s="435" t="str">
        <f>注释!V44</f>
        <v>无变化</v>
      </c>
    </row>
    <row r="2115" spans="1:3">
      <c r="A2115" s="432" t="s">
        <v>2736</v>
      </c>
      <c r="B2115" s="432" t="str">
        <f t="shared" si="32"/>
        <v>无变化</v>
      </c>
      <c r="C2115" s="435" t="str">
        <f>注释!V45</f>
        <v>无变化</v>
      </c>
    </row>
    <row r="2116" spans="1:3">
      <c r="A2116" s="432" t="s">
        <v>2737</v>
      </c>
      <c r="B2116" s="432" t="str">
        <f t="shared" si="32"/>
        <v>无变化</v>
      </c>
      <c r="C2116" s="435" t="str">
        <f>注释!V46</f>
        <v>无变化</v>
      </c>
    </row>
    <row r="2117" spans="1:3">
      <c r="A2117" s="432" t="s">
        <v>2738</v>
      </c>
      <c r="B2117" s="432" t="str">
        <f t="shared" si="32"/>
        <v>无变化</v>
      </c>
      <c r="C2117" s="435" t="str">
        <f>注释!V47</f>
        <v>无变化</v>
      </c>
    </row>
    <row r="2118" spans="1:3">
      <c r="A2118" s="432" t="s">
        <v>2739</v>
      </c>
      <c r="B2118" s="432" t="str">
        <f t="shared" si="32"/>
        <v>无变化</v>
      </c>
      <c r="C2118" s="435" t="str">
        <f>注释!V48</f>
        <v>无变化</v>
      </c>
    </row>
    <row r="2119" spans="1:3">
      <c r="A2119" s="432" t="s">
        <v>2740</v>
      </c>
      <c r="B2119" s="432" t="str">
        <f t="shared" si="32"/>
        <v>无变化</v>
      </c>
      <c r="C2119" s="435" t="str">
        <f>注释!V49</f>
        <v>无变化</v>
      </c>
    </row>
    <row r="2120" spans="1:3">
      <c r="A2120" s="432" t="s">
        <v>2741</v>
      </c>
      <c r="B2120" s="432" t="str">
        <f t="shared" ref="B2120:B2183" si="33">TRIM(C2120)</f>
        <v>无变化</v>
      </c>
      <c r="C2120" s="435" t="str">
        <f>注释!V50</f>
        <v>无变化</v>
      </c>
    </row>
    <row r="2121" spans="1:3">
      <c r="A2121" s="432" t="s">
        <v>2742</v>
      </c>
      <c r="B2121" s="432" t="str">
        <f t="shared" si="33"/>
        <v>无变化</v>
      </c>
      <c r="C2121" s="435" t="str">
        <f>注释!V51</f>
        <v>无变化</v>
      </c>
    </row>
    <row r="2122" spans="1:3">
      <c r="A2122" s="432" t="s">
        <v>2743</v>
      </c>
      <c r="B2122" s="432" t="str">
        <f t="shared" si="33"/>
        <v>无变化</v>
      </c>
      <c r="C2122" s="435" t="str">
        <f>注释!V52</f>
        <v>无变化</v>
      </c>
    </row>
    <row r="2123" spans="1:3">
      <c r="A2123" s="432" t="s">
        <v>2744</v>
      </c>
      <c r="B2123" s="432" t="str">
        <f t="shared" si="33"/>
        <v>无变化</v>
      </c>
      <c r="C2123" s="435" t="str">
        <f>注释!V53</f>
        <v>无变化</v>
      </c>
    </row>
    <row r="2124" spans="1:3">
      <c r="A2124" s="432" t="s">
        <v>2745</v>
      </c>
      <c r="B2124" s="432" t="str">
        <f t="shared" si="33"/>
        <v>无变化</v>
      </c>
      <c r="C2124" s="435" t="str">
        <f>注释!V55</f>
        <v>无变化</v>
      </c>
    </row>
    <row r="2125" spans="1:3">
      <c r="A2125" s="432" t="s">
        <v>2746</v>
      </c>
      <c r="B2125" s="432" t="str">
        <f t="shared" si="33"/>
        <v>无变化</v>
      </c>
      <c r="C2125" s="435" t="str">
        <f>注释!V56</f>
        <v>无变化</v>
      </c>
    </row>
    <row r="2126" spans="1:3">
      <c r="A2126" s="432" t="s">
        <v>2747</v>
      </c>
      <c r="B2126" s="432" t="str">
        <f t="shared" si="33"/>
        <v>无变化</v>
      </c>
      <c r="C2126" s="435" t="str">
        <f>注释!V57</f>
        <v>无变化</v>
      </c>
    </row>
    <row r="2127" spans="1:3">
      <c r="A2127" s="432" t="s">
        <v>2748</v>
      </c>
      <c r="B2127" s="432" t="str">
        <f t="shared" si="33"/>
        <v>无变化</v>
      </c>
      <c r="C2127" s="435" t="str">
        <f>注释!V58</f>
        <v>无变化</v>
      </c>
    </row>
    <row r="2128" spans="1:3">
      <c r="A2128" s="432" t="s">
        <v>2749</v>
      </c>
      <c r="B2128" s="432" t="str">
        <f t="shared" si="33"/>
        <v>无变化</v>
      </c>
      <c r="C2128" s="435" t="str">
        <f>注释!V59</f>
        <v>无变化</v>
      </c>
    </row>
    <row r="2129" spans="1:3">
      <c r="A2129" s="432" t="s">
        <v>2750</v>
      </c>
      <c r="B2129" s="432" t="str">
        <f t="shared" si="33"/>
        <v>无变化</v>
      </c>
      <c r="C2129" s="435" t="str">
        <f>注释!V60</f>
        <v>无变化</v>
      </c>
    </row>
    <row r="2130" spans="1:3">
      <c r="A2130" s="432" t="s">
        <v>2751</v>
      </c>
      <c r="B2130" s="432" t="str">
        <f t="shared" si="33"/>
        <v>无变化</v>
      </c>
      <c r="C2130" s="435" t="str">
        <f>注释!V61</f>
        <v>无变化</v>
      </c>
    </row>
    <row r="2131" spans="1:3">
      <c r="A2131" s="432" t="s">
        <v>2752</v>
      </c>
      <c r="B2131" s="432" t="str">
        <f t="shared" si="33"/>
        <v>无变化</v>
      </c>
      <c r="C2131" s="435" t="str">
        <f>注释!V62</f>
        <v>无变化</v>
      </c>
    </row>
    <row r="2132" spans="1:3">
      <c r="A2132" s="432" t="s">
        <v>2753</v>
      </c>
      <c r="B2132" s="432" t="str">
        <f t="shared" si="33"/>
        <v>无变化</v>
      </c>
      <c r="C2132" s="435" t="str">
        <f>注释!V63</f>
        <v>无变化</v>
      </c>
    </row>
    <row r="2133" spans="1:3">
      <c r="A2133" s="432" t="s">
        <v>2754</v>
      </c>
      <c r="B2133" s="432" t="str">
        <f t="shared" si="33"/>
        <v>无变化</v>
      </c>
      <c r="C2133" s="435" t="str">
        <f>注释!V64</f>
        <v>无变化</v>
      </c>
    </row>
    <row r="2134" spans="1:3">
      <c r="A2134" s="432" t="s">
        <v>2755</v>
      </c>
      <c r="B2134" s="432" t="str">
        <f t="shared" si="33"/>
        <v>无变化</v>
      </c>
      <c r="C2134" s="435" t="str">
        <f>注释!V65</f>
        <v>无变化</v>
      </c>
    </row>
    <row r="2135" spans="1:3">
      <c r="A2135" s="432" t="s">
        <v>2756</v>
      </c>
      <c r="B2135" s="432" t="str">
        <f t="shared" si="33"/>
        <v>无变化</v>
      </c>
      <c r="C2135" s="435" t="str">
        <f>注释!V66</f>
        <v>无变化</v>
      </c>
    </row>
    <row r="2136" spans="1:3">
      <c r="A2136" s="432" t="s">
        <v>2757</v>
      </c>
      <c r="B2136" s="432" t="str">
        <f t="shared" si="33"/>
        <v>无变化</v>
      </c>
      <c r="C2136" s="435" t="str">
        <f>注释!V67</f>
        <v>无变化</v>
      </c>
    </row>
    <row r="2137" spans="1:3">
      <c r="A2137" s="432" t="s">
        <v>2758</v>
      </c>
      <c r="B2137" s="432" t="e">
        <f t="shared" si="33"/>
        <v>#DIV/0!</v>
      </c>
      <c r="C2137" s="435" t="e">
        <f>IF('合并资产负债表 '!U5=0,"【】",TEXT(ABS('合并资产负债表 '!U5),"#,##0.00"))</f>
        <v>#DIV/0!</v>
      </c>
    </row>
    <row r="2138" spans="1:3">
      <c r="A2138" s="432" t="s">
        <v>2759</v>
      </c>
      <c r="B2138" s="432" t="e">
        <f t="shared" si="33"/>
        <v>#DIV/0!</v>
      </c>
      <c r="C2138" s="435" t="e">
        <f>IF('合并资产负债表 '!U6=0,"【】",TEXT(ABS('合并资产负债表 '!U6),"#,##0.00"))</f>
        <v>#DIV/0!</v>
      </c>
    </row>
    <row r="2139" spans="1:3">
      <c r="A2139" s="432" t="s">
        <v>2760</v>
      </c>
      <c r="B2139" s="432" t="e">
        <f t="shared" si="33"/>
        <v>#DIV/0!</v>
      </c>
      <c r="C2139" s="435" t="e">
        <f>IF('合并资产负债表 '!U7=0,"【】",TEXT(ABS('合并资产负债表 '!U7),"#,##0.00"))</f>
        <v>#DIV/0!</v>
      </c>
    </row>
    <row r="2140" spans="1:3">
      <c r="A2140" s="432" t="s">
        <v>2761</v>
      </c>
      <c r="B2140" s="432" t="e">
        <f t="shared" si="33"/>
        <v>#DIV/0!</v>
      </c>
      <c r="C2140" s="435" t="e">
        <f>IF('合并资产负债表 '!U8=0,"【】",TEXT(ABS('合并资产负债表 '!U8),"#,##0.00"))</f>
        <v>#DIV/0!</v>
      </c>
    </row>
    <row r="2141" spans="1:3">
      <c r="A2141" s="432" t="s">
        <v>2762</v>
      </c>
      <c r="B2141" s="432" t="e">
        <f t="shared" si="33"/>
        <v>#DIV/0!</v>
      </c>
      <c r="C2141" s="435" t="e">
        <f>IF('合并资产负债表 '!U9=0,"【】",TEXT(ABS('合并资产负债表 '!U9),"#,##0.00"))</f>
        <v>#DIV/0!</v>
      </c>
    </row>
    <row r="2142" spans="1:3">
      <c r="A2142" s="432" t="s">
        <v>2763</v>
      </c>
      <c r="B2142" s="432" t="e">
        <f t="shared" si="33"/>
        <v>#DIV/0!</v>
      </c>
      <c r="C2142" s="435" t="e">
        <f>IF('合并资产负债表 '!U10=0,"【】",TEXT(ABS('合并资产负债表 '!U10),"#,##0.00"))</f>
        <v>#DIV/0!</v>
      </c>
    </row>
    <row r="2143" spans="1:3">
      <c r="A2143" s="432" t="s">
        <v>2764</v>
      </c>
      <c r="B2143" s="432" t="e">
        <f t="shared" si="33"/>
        <v>#DIV/0!</v>
      </c>
      <c r="C2143" s="435" t="e">
        <f>IF('合并资产负债表 '!U11=0,"【】",TEXT(ABS('合并资产负债表 '!U11),"#,##0.00"))</f>
        <v>#DIV/0!</v>
      </c>
    </row>
    <row r="2144" spans="1:3">
      <c r="A2144" s="432" t="s">
        <v>2765</v>
      </c>
      <c r="B2144" s="432" t="e">
        <f t="shared" si="33"/>
        <v>#DIV/0!</v>
      </c>
      <c r="C2144" s="435" t="e">
        <f>IF('合并资产负债表 '!U12=0,"【】",TEXT(ABS('合并资产负债表 '!U12),"#,##0.00"))</f>
        <v>#DIV/0!</v>
      </c>
    </row>
    <row r="2145" spans="1:3">
      <c r="A2145" s="432" t="s">
        <v>2766</v>
      </c>
      <c r="B2145" s="432" t="e">
        <f t="shared" si="33"/>
        <v>#DIV/0!</v>
      </c>
      <c r="C2145" s="435" t="e">
        <f>IF('合并资产负债表 '!U13=0,"【】",TEXT(ABS('合并资产负债表 '!U13),"#,##0.00"))</f>
        <v>#DIV/0!</v>
      </c>
    </row>
    <row r="2146" spans="1:3">
      <c r="A2146" s="432" t="s">
        <v>2767</v>
      </c>
      <c r="B2146" s="432" t="e">
        <f t="shared" si="33"/>
        <v>#DIV/0!</v>
      </c>
      <c r="C2146" s="435" t="e">
        <f>IF('合并资产负债表 '!U14=0,"【】",TEXT(ABS('合并资产负债表 '!U14),"#,##0.00"))</f>
        <v>#DIV/0!</v>
      </c>
    </row>
    <row r="2147" spans="1:3">
      <c r="A2147" s="432" t="s">
        <v>2768</v>
      </c>
      <c r="B2147" s="432" t="e">
        <f t="shared" si="33"/>
        <v>#DIV/0!</v>
      </c>
      <c r="C2147" s="435" t="e">
        <f>IF('合并资产负债表 '!U15=0,"【】",TEXT(ABS('合并资产负债表 '!U15),"#,##0.00"))</f>
        <v>#DIV/0!</v>
      </c>
    </row>
    <row r="2148" spans="1:3">
      <c r="A2148" s="432" t="s">
        <v>2769</v>
      </c>
      <c r="B2148" s="432" t="e">
        <f t="shared" si="33"/>
        <v>#DIV/0!</v>
      </c>
      <c r="C2148" s="435" t="e">
        <f>IF('合并资产负债表 '!U16=0,"【】",TEXT(ABS('合并资产负债表 '!U16),"#,##0.00"))</f>
        <v>#DIV/0!</v>
      </c>
    </row>
    <row r="2149" spans="1:3">
      <c r="A2149" s="432" t="s">
        <v>2770</v>
      </c>
      <c r="B2149" s="432" t="e">
        <f t="shared" si="33"/>
        <v>#DIV/0!</v>
      </c>
      <c r="C2149" s="435" t="e">
        <f>IF('合并资产负债表 '!U17=0,"【】",TEXT(ABS('合并资产负债表 '!U17),"#,##0.00"))</f>
        <v>#DIV/0!</v>
      </c>
    </row>
    <row r="2150" spans="1:3">
      <c r="A2150" s="432" t="s">
        <v>2771</v>
      </c>
      <c r="B2150" s="432" t="e">
        <f t="shared" si="33"/>
        <v>#DIV/0!</v>
      </c>
      <c r="C2150" s="435" t="e">
        <f>IF('合并资产负债表 '!U18=0,"【】",TEXT(ABS('合并资产负债表 '!U18),"#,##0.00"))</f>
        <v>#DIV/0!</v>
      </c>
    </row>
    <row r="2151" spans="1:3">
      <c r="A2151" s="432" t="s">
        <v>2772</v>
      </c>
      <c r="B2151" s="432" t="e">
        <f t="shared" si="33"/>
        <v>#DIV/0!</v>
      </c>
      <c r="C2151" s="435" t="e">
        <f>IF('合并资产负债表 '!U19=0,"【】",TEXT(ABS('合并资产负债表 '!U19),"#,##0.00"))</f>
        <v>#DIV/0!</v>
      </c>
    </row>
    <row r="2152" spans="1:3">
      <c r="A2152" s="432" t="s">
        <v>2773</v>
      </c>
      <c r="B2152" s="432" t="e">
        <f t="shared" si="33"/>
        <v>#DIV/0!</v>
      </c>
      <c r="C2152" s="435" t="e">
        <f>IF('合并资产负债表 '!U21=0,"【】",TEXT(ABS('合并资产负债表 '!U21),"#,##0.00"))</f>
        <v>#DIV/0!</v>
      </c>
    </row>
    <row r="2153" spans="1:3">
      <c r="A2153" s="432" t="s">
        <v>2774</v>
      </c>
      <c r="B2153" s="432" t="e">
        <f t="shared" si="33"/>
        <v>#DIV/0!</v>
      </c>
      <c r="C2153" s="435" t="e">
        <f>IF('合并资产负债表 '!U22=0,"【】",TEXT(ABS('合并资产负债表 '!U22),"#,##0.00"))</f>
        <v>#DIV/0!</v>
      </c>
    </row>
    <row r="2154" spans="1:3">
      <c r="A2154" s="432" t="s">
        <v>2775</v>
      </c>
      <c r="B2154" s="432" t="e">
        <f t="shared" si="33"/>
        <v>#DIV/0!</v>
      </c>
      <c r="C2154" s="435" t="e">
        <f>IF('合并资产负债表 '!U23=0,"【】",TEXT(ABS('合并资产负债表 '!U23),"#,##0.00"))</f>
        <v>#DIV/0!</v>
      </c>
    </row>
    <row r="2155" spans="1:3">
      <c r="A2155" s="432" t="s">
        <v>2776</v>
      </c>
      <c r="B2155" s="432" t="e">
        <f t="shared" si="33"/>
        <v>#DIV/0!</v>
      </c>
      <c r="C2155" s="435" t="e">
        <f>IF('合并资产负债表 '!U24=0,"【】",TEXT(ABS('合并资产负债表 '!U24),"#,##0.00"))</f>
        <v>#DIV/0!</v>
      </c>
    </row>
    <row r="2156" spans="1:3">
      <c r="A2156" s="432" t="s">
        <v>2777</v>
      </c>
      <c r="B2156" s="432" t="e">
        <f t="shared" si="33"/>
        <v>#DIV/0!</v>
      </c>
      <c r="C2156" s="435" t="e">
        <f>IF('合并资产负债表 '!U25=0,"【】",TEXT(ABS('合并资产负债表 '!U25),"#,##0.00"))</f>
        <v>#DIV/0!</v>
      </c>
    </row>
    <row r="2157" spans="1:3">
      <c r="A2157" s="432" t="s">
        <v>2778</v>
      </c>
      <c r="B2157" s="432" t="e">
        <f t="shared" si="33"/>
        <v>#DIV/0!</v>
      </c>
      <c r="C2157" s="435" t="e">
        <f>IF('合并资产负债表 '!U26=0,"【】",TEXT(ABS('合并资产负债表 '!U26),"#,##0.00"))</f>
        <v>#DIV/0!</v>
      </c>
    </row>
    <row r="2158" spans="1:3">
      <c r="A2158" s="432" t="s">
        <v>2779</v>
      </c>
      <c r="B2158" s="432" t="e">
        <f t="shared" si="33"/>
        <v>#DIV/0!</v>
      </c>
      <c r="C2158" s="435" t="e">
        <f>IF('合并资产负债表 '!U27=0,"【】",TEXT(ABS('合并资产负债表 '!U27),"#,##0.00"))</f>
        <v>#DIV/0!</v>
      </c>
    </row>
    <row r="2159" spans="1:3">
      <c r="A2159" s="432" t="s">
        <v>2780</v>
      </c>
      <c r="B2159" s="432" t="e">
        <f t="shared" si="33"/>
        <v>#DIV/0!</v>
      </c>
      <c r="C2159" s="435" t="e">
        <f>IF('合并资产负债表 '!U28=0,"【】",TEXT(ABS('合并资产负债表 '!U28),"#,##0.00"))</f>
        <v>#DIV/0!</v>
      </c>
    </row>
    <row r="2160" spans="1:3">
      <c r="A2160" s="432" t="s">
        <v>2781</v>
      </c>
      <c r="B2160" s="432" t="e">
        <f t="shared" si="33"/>
        <v>#DIV/0!</v>
      </c>
      <c r="C2160" s="435" t="e">
        <f>IF('合并资产负债表 '!U29=0,"【】",TEXT(ABS('合并资产负债表 '!U29),"#,##0.00"))</f>
        <v>#DIV/0!</v>
      </c>
    </row>
    <row r="2161" spans="1:3">
      <c r="A2161" s="432" t="s">
        <v>2782</v>
      </c>
      <c r="B2161" s="432" t="e">
        <f t="shared" si="33"/>
        <v>#DIV/0!</v>
      </c>
      <c r="C2161" s="435" t="e">
        <f>IF('合并资产负债表 '!U30=0,"【】",TEXT(ABS('合并资产负债表 '!U30),"#,##0.00"))</f>
        <v>#DIV/0!</v>
      </c>
    </row>
    <row r="2162" spans="1:3">
      <c r="A2162" s="432" t="s">
        <v>2783</v>
      </c>
      <c r="B2162" s="432" t="e">
        <f t="shared" si="33"/>
        <v>#DIV/0!</v>
      </c>
      <c r="C2162" s="435" t="e">
        <f>IF('合并资产负债表 '!U31=0,"【】",TEXT(ABS('合并资产负债表 '!U31),"#,##0.00"))</f>
        <v>#DIV/0!</v>
      </c>
    </row>
    <row r="2163" spans="1:3">
      <c r="A2163" s="432" t="s">
        <v>2784</v>
      </c>
      <c r="B2163" s="432" t="e">
        <f t="shared" si="33"/>
        <v>#DIV/0!</v>
      </c>
      <c r="C2163" s="435" t="e">
        <f>IF('合并资产负债表 '!U32=0,"【】",TEXT(ABS('合并资产负债表 '!U32),"#,##0.00"))</f>
        <v>#DIV/0!</v>
      </c>
    </row>
    <row r="2164" spans="1:3">
      <c r="A2164" s="432" t="s">
        <v>2785</v>
      </c>
      <c r="B2164" s="432" t="e">
        <f t="shared" si="33"/>
        <v>#DIV/0!</v>
      </c>
      <c r="C2164" s="435" t="e">
        <f>IF('合并资产负债表 '!U33=0,"【】",TEXT(ABS('合并资产负债表 '!U33),"#,##0.00"))</f>
        <v>#DIV/0!</v>
      </c>
    </row>
    <row r="2165" spans="1:3">
      <c r="A2165" s="432" t="s">
        <v>2786</v>
      </c>
      <c r="B2165" s="432" t="e">
        <f t="shared" si="33"/>
        <v>#DIV/0!</v>
      </c>
      <c r="C2165" s="435" t="e">
        <f>IF('合并资产负债表 '!U34=0,"【】",TEXT(ABS('合并资产负债表 '!U34),"#,##0.00"))</f>
        <v>#DIV/0!</v>
      </c>
    </row>
    <row r="2166" spans="1:3">
      <c r="A2166" s="432" t="s">
        <v>2787</v>
      </c>
      <c r="B2166" s="432" t="e">
        <f t="shared" si="33"/>
        <v>#DIV/0!</v>
      </c>
      <c r="C2166" s="435" t="e">
        <f>IF('合并资产负债表 '!U35=0,"【】",TEXT(ABS('合并资产负债表 '!U35),"#,##0.00"))</f>
        <v>#DIV/0!</v>
      </c>
    </row>
    <row r="2167" spans="1:3">
      <c r="A2167" s="432" t="s">
        <v>2788</v>
      </c>
      <c r="B2167" s="432" t="e">
        <f t="shared" si="33"/>
        <v>#DIV/0!</v>
      </c>
      <c r="C2167" s="435" t="e">
        <f>IF('合并资产负债表 '!U36=0,"【】",TEXT(ABS('合并资产负债表 '!U36),"#,##0.00"))</f>
        <v>#DIV/0!</v>
      </c>
    </row>
    <row r="2168" spans="1:3">
      <c r="A2168" s="432" t="s">
        <v>2789</v>
      </c>
      <c r="B2168" s="432" t="e">
        <f t="shared" si="33"/>
        <v>#DIV/0!</v>
      </c>
      <c r="C2168" s="435" t="e">
        <f>IF('合并资产负债表 '!U37=0,"【】",TEXT(ABS('合并资产负债表 '!U37),"#,##0.00"))</f>
        <v>#DIV/0!</v>
      </c>
    </row>
    <row r="2169" spans="1:3">
      <c r="A2169" s="432" t="s">
        <v>2790</v>
      </c>
      <c r="B2169" s="432" t="e">
        <f t="shared" si="33"/>
        <v>#DIV/0!</v>
      </c>
      <c r="C2169" s="435" t="e">
        <f>IF('合并资产负债表 '!U39=0,"【】",TEXT(ABS('合并资产负债表 '!U39),"#,##0.00"))</f>
        <v>#DIV/0!</v>
      </c>
    </row>
    <row r="2170" spans="1:3">
      <c r="A2170" s="432" t="s">
        <v>2791</v>
      </c>
      <c r="B2170" s="432" t="e">
        <f t="shared" si="33"/>
        <v>#DIV/0!</v>
      </c>
      <c r="C2170" s="435" t="e">
        <f>IF('合并资产负债表 '!U40=0,"【】",TEXT(ABS('合并资产负债表 '!U40),"#,##0.00"))</f>
        <v>#DIV/0!</v>
      </c>
    </row>
    <row r="2171" spans="1:3">
      <c r="A2171" s="432" t="s">
        <v>2792</v>
      </c>
      <c r="B2171" s="432" t="e">
        <f t="shared" si="33"/>
        <v>#DIV/0!</v>
      </c>
      <c r="C2171" s="435" t="e">
        <f>IF('合并资产负债表 '!U41=0,"【】",TEXT(ABS('合并资产负债表 '!U41),"#,##0.00"))</f>
        <v>#DIV/0!</v>
      </c>
    </row>
    <row r="2172" spans="1:3">
      <c r="A2172" s="432" t="s">
        <v>2793</v>
      </c>
      <c r="B2172" s="432" t="e">
        <f t="shared" si="33"/>
        <v>#DIV/0!</v>
      </c>
      <c r="C2172" s="435" t="e">
        <f>IF('合并资产负债表 '!U42=0,"【】",TEXT(ABS('合并资产负债表 '!U42),"#,##0.00"))</f>
        <v>#DIV/0!</v>
      </c>
    </row>
    <row r="2173" spans="1:3">
      <c r="A2173" s="432" t="s">
        <v>2794</v>
      </c>
      <c r="B2173" s="432" t="e">
        <f t="shared" si="33"/>
        <v>#DIV/0!</v>
      </c>
      <c r="C2173" s="435" t="e">
        <f>IF('合并资产负债表 '!U43=0,"【】",TEXT(ABS('合并资产负债表 '!U43),"#,##0.00"))</f>
        <v>#DIV/0!</v>
      </c>
    </row>
    <row r="2174" spans="1:3">
      <c r="A2174" s="432" t="s">
        <v>2795</v>
      </c>
      <c r="B2174" s="432" t="e">
        <f t="shared" si="33"/>
        <v>#DIV/0!</v>
      </c>
      <c r="C2174" s="435" t="e">
        <f>IF('合并资产负债表 '!U44=0,"【】",TEXT(ABS('合并资产负债表 '!U44),"#,##0.00"))</f>
        <v>#DIV/0!</v>
      </c>
    </row>
    <row r="2175" spans="1:3">
      <c r="A2175" s="432" t="s">
        <v>2796</v>
      </c>
      <c r="B2175" s="432" t="e">
        <f t="shared" si="33"/>
        <v>#DIV/0!</v>
      </c>
      <c r="C2175" s="435" t="e">
        <f>IF('合并资产负债表 '!U45=0,"【】",TEXT(ABS('合并资产负债表 '!U45),"#,##0.00"))</f>
        <v>#DIV/0!</v>
      </c>
    </row>
    <row r="2176" spans="1:3">
      <c r="A2176" s="432" t="s">
        <v>2797</v>
      </c>
      <c r="B2176" s="432" t="e">
        <f t="shared" si="33"/>
        <v>#DIV/0!</v>
      </c>
      <c r="C2176" s="435" t="e">
        <f>IF('合并资产负债表 '!U46=0,"【】",TEXT(ABS('合并资产负债表 '!U46),"#,##0.00"))</f>
        <v>#DIV/0!</v>
      </c>
    </row>
    <row r="2177" spans="1:3">
      <c r="A2177" s="432" t="s">
        <v>2798</v>
      </c>
      <c r="B2177" s="432" t="e">
        <f t="shared" si="33"/>
        <v>#DIV/0!</v>
      </c>
      <c r="C2177" s="435" t="e">
        <f>IF('合并资产负债表 '!U47=0,"【】",TEXT(ABS('合并资产负债表 '!U47),"#,##0.00"))</f>
        <v>#DIV/0!</v>
      </c>
    </row>
    <row r="2178" spans="1:3">
      <c r="A2178" s="432" t="s">
        <v>2799</v>
      </c>
      <c r="B2178" s="432" t="e">
        <f t="shared" si="33"/>
        <v>#DIV/0!</v>
      </c>
      <c r="C2178" s="435" t="e">
        <f>IF('合并资产负债表 '!U48=0,"【】",TEXT(ABS('合并资产负债表 '!U48),"#,##0.00"))</f>
        <v>#DIV/0!</v>
      </c>
    </row>
    <row r="2179" spans="1:3">
      <c r="A2179" s="432" t="s">
        <v>2800</v>
      </c>
      <c r="B2179" s="432" t="e">
        <f t="shared" si="33"/>
        <v>#DIV/0!</v>
      </c>
      <c r="C2179" s="435" t="e">
        <f>IF('合并资产负债表 '!U49=0,"【】",TEXT(ABS('合并资产负债表 '!U49),"#,##0.00"))</f>
        <v>#DIV/0!</v>
      </c>
    </row>
    <row r="2180" spans="1:3">
      <c r="A2180" s="432" t="s">
        <v>2801</v>
      </c>
      <c r="B2180" s="432" t="e">
        <f t="shared" si="33"/>
        <v>#DIV/0!</v>
      </c>
      <c r="C2180" s="435" t="e">
        <f>IF('合并资产负债表 '!U50=0,"【】",TEXT(ABS('合并资产负债表 '!U50),"#,##0.00"))</f>
        <v>#DIV/0!</v>
      </c>
    </row>
    <row r="2181" spans="1:3">
      <c r="A2181" s="432" t="s">
        <v>2802</v>
      </c>
      <c r="B2181" s="432" t="e">
        <f t="shared" si="33"/>
        <v>#DIV/0!</v>
      </c>
      <c r="C2181" s="435" t="e">
        <f>IF('合并资产负债表 '!U51=0,"【】",TEXT(ABS('合并资产负债表 '!U51),"#,##0.00"))</f>
        <v>#DIV/0!</v>
      </c>
    </row>
    <row r="2182" spans="1:3">
      <c r="A2182" s="432" t="s">
        <v>2803</v>
      </c>
      <c r="B2182" s="432" t="e">
        <f t="shared" si="33"/>
        <v>#DIV/0!</v>
      </c>
      <c r="C2182" s="435" t="e">
        <f>IF('合并资产负债表 '!U52=0,"【】",TEXT(ABS('合并资产负债表 '!U52),"#,##0.00"))</f>
        <v>#DIV/0!</v>
      </c>
    </row>
    <row r="2183" spans="1:3">
      <c r="A2183" s="432" t="s">
        <v>2804</v>
      </c>
      <c r="B2183" s="432" t="e">
        <f t="shared" si="33"/>
        <v>#DIV/0!</v>
      </c>
      <c r="C2183" s="435" t="e">
        <f>IF('合并资产负债表 '!U53=0,"【】",TEXT(ABS('合并资产负债表 '!U53),"#,##0.00"))</f>
        <v>#DIV/0!</v>
      </c>
    </row>
    <row r="2184" spans="1:3">
      <c r="A2184" s="432" t="s">
        <v>2805</v>
      </c>
      <c r="B2184" s="432" t="e">
        <f t="shared" ref="B2184:B2247" si="34">TRIM(C2184)</f>
        <v>#DIV/0!</v>
      </c>
      <c r="C2184" s="435" t="e">
        <f>IF('合并资产负债表 '!U54=0,"【】",TEXT(ABS('合并资产负债表 '!U54),"#,##0.00"))</f>
        <v>#DIV/0!</v>
      </c>
    </row>
    <row r="2185" spans="1:3">
      <c r="A2185" s="432" t="s">
        <v>2806</v>
      </c>
      <c r="B2185" s="432" t="e">
        <f t="shared" si="34"/>
        <v>#DIV/0!</v>
      </c>
      <c r="C2185" s="435" t="e">
        <f>IF('合并资产负债表 '!U56=0,"【】",TEXT(ABS('合并资产负债表 '!U56),"#,##0.00"))</f>
        <v>#DIV/0!</v>
      </c>
    </row>
    <row r="2186" spans="1:3">
      <c r="A2186" s="432" t="s">
        <v>2807</v>
      </c>
      <c r="B2186" s="432" t="e">
        <f t="shared" si="34"/>
        <v>#DIV/0!</v>
      </c>
      <c r="C2186" s="435" t="e">
        <f>IF('合并资产负债表 '!U57=0,"【】",TEXT(ABS('合并资产负债表 '!U57),"#,##0.00"))</f>
        <v>#DIV/0!</v>
      </c>
    </row>
    <row r="2187" spans="1:3">
      <c r="A2187" s="432" t="s">
        <v>2808</v>
      </c>
      <c r="B2187" s="432" t="e">
        <f t="shared" si="34"/>
        <v>#DIV/0!</v>
      </c>
      <c r="C2187" s="435" t="e">
        <f>IF('合并资产负债表 '!U58=0,"【】",TEXT(ABS('合并资产负债表 '!U58),"#,##0.00"))</f>
        <v>#DIV/0!</v>
      </c>
    </row>
    <row r="2188" spans="1:3">
      <c r="A2188" s="432" t="s">
        <v>2809</v>
      </c>
      <c r="B2188" s="432" t="e">
        <f t="shared" si="34"/>
        <v>#DIV/0!</v>
      </c>
      <c r="C2188" s="435" t="e">
        <f>IF('合并资产负债表 '!U59=0,"【】",TEXT(ABS('合并资产负债表 '!U59),"#,##0.00"))</f>
        <v>#DIV/0!</v>
      </c>
    </row>
    <row r="2189" spans="1:3">
      <c r="A2189" s="432" t="s">
        <v>2810</v>
      </c>
      <c r="B2189" s="432" t="e">
        <f t="shared" si="34"/>
        <v>#DIV/0!</v>
      </c>
      <c r="C2189" s="435" t="e">
        <f>IF('合并资产负债表 '!U60=0,"【】",TEXT(ABS('合并资产负债表 '!U60),"#,##0.00"))</f>
        <v>#DIV/0!</v>
      </c>
    </row>
    <row r="2190" spans="1:3">
      <c r="A2190" s="432" t="s">
        <v>2811</v>
      </c>
      <c r="B2190" s="432" t="e">
        <f t="shared" si="34"/>
        <v>#DIV/0!</v>
      </c>
      <c r="C2190" s="435" t="e">
        <f>IF('合并资产负债表 '!U61=0,"【】",TEXT(ABS('合并资产负债表 '!U61),"#,##0.00"))</f>
        <v>#DIV/0!</v>
      </c>
    </row>
    <row r="2191" spans="1:3">
      <c r="A2191" s="432" t="s">
        <v>2812</v>
      </c>
      <c r="B2191" s="432" t="e">
        <f t="shared" si="34"/>
        <v>#DIV/0!</v>
      </c>
      <c r="C2191" s="435" t="e">
        <f>IF('合并资产负债表 '!U62=0,"【】",TEXT(ABS('合并资产负债表 '!U62),"#,##0.00"))</f>
        <v>#DIV/0!</v>
      </c>
    </row>
    <row r="2192" spans="1:3">
      <c r="A2192" s="432" t="s">
        <v>2813</v>
      </c>
      <c r="B2192" s="432" t="e">
        <f t="shared" si="34"/>
        <v>#DIV/0!</v>
      </c>
      <c r="C2192" s="435" t="e">
        <f>IF('合并资产负债表 '!U63=0,"【】",TEXT(ABS('合并资产负债表 '!U63),"#,##0.00"))</f>
        <v>#DIV/0!</v>
      </c>
    </row>
    <row r="2193" spans="1:3">
      <c r="A2193" s="432" t="s">
        <v>2814</v>
      </c>
      <c r="B2193" s="432" t="e">
        <f t="shared" si="34"/>
        <v>#DIV/0!</v>
      </c>
      <c r="C2193" s="435" t="e">
        <f>IF('合并资产负债表 '!U64=0,"【】",TEXT(ABS('合并资产负债表 '!U64),"#,##0.00"))</f>
        <v>#DIV/0!</v>
      </c>
    </row>
    <row r="2194" spans="1:3">
      <c r="A2194" s="432" t="s">
        <v>2815</v>
      </c>
      <c r="B2194" s="432" t="e">
        <f t="shared" si="34"/>
        <v>#DIV/0!</v>
      </c>
      <c r="C2194" s="435" t="e">
        <f>IF('合并资产负债表 '!U65=0,"【】",TEXT(ABS('合并资产负债表 '!U65),"#,##0.00"))</f>
        <v>#DIV/0!</v>
      </c>
    </row>
    <row r="2195" spans="1:3">
      <c r="A2195" s="432" t="s">
        <v>2816</v>
      </c>
      <c r="B2195" s="432" t="e">
        <f t="shared" si="34"/>
        <v>#DIV/0!</v>
      </c>
      <c r="C2195" s="435" t="e">
        <f>IF('合并资产负债表 '!U66=0,"【】",TEXT(ABS('合并资产负债表 '!U66),"#,##0.00"))</f>
        <v>#DIV/0!</v>
      </c>
    </row>
    <row r="2196" spans="1:3">
      <c r="A2196" s="432" t="s">
        <v>2817</v>
      </c>
      <c r="B2196" s="432" t="e">
        <f t="shared" si="34"/>
        <v>#DIV/0!</v>
      </c>
      <c r="C2196" s="435" t="e">
        <f>IF('合并资产负债表 '!U67=0,"【】",TEXT(ABS('合并资产负债表 '!U67),"#,##0.00"))</f>
        <v>#DIV/0!</v>
      </c>
    </row>
    <row r="2197" spans="1:3">
      <c r="A2197" s="432" t="s">
        <v>2818</v>
      </c>
      <c r="B2197" s="432" t="e">
        <f t="shared" si="34"/>
        <v>#DIV/0!</v>
      </c>
      <c r="C2197" s="435" t="e">
        <f>IF('合并资产负债表 '!U68=0,"【】",TEXT(ABS('合并资产负债表 '!U68),"#,##0.00"))</f>
        <v>#DIV/0!</v>
      </c>
    </row>
    <row r="2198" spans="1:3">
      <c r="A2198" s="432" t="s">
        <v>2819</v>
      </c>
      <c r="B2198" s="432" t="str">
        <f t="shared" si="34"/>
        <v>无变化</v>
      </c>
      <c r="C2198" s="435" t="str">
        <f>注释!Y4</f>
        <v>无变化</v>
      </c>
    </row>
    <row r="2199" spans="1:3">
      <c r="A2199" s="432" t="s">
        <v>2820</v>
      </c>
      <c r="B2199" s="432" t="str">
        <f t="shared" si="34"/>
        <v>无变化</v>
      </c>
      <c r="C2199" s="435" t="str">
        <f>注释!Y5</f>
        <v>无变化</v>
      </c>
    </row>
    <row r="2200" spans="1:3">
      <c r="A2200" s="432" t="s">
        <v>2821</v>
      </c>
      <c r="B2200" s="432" t="str">
        <f t="shared" si="34"/>
        <v>无变化</v>
      </c>
      <c r="C2200" s="435" t="str">
        <f>注释!Y6</f>
        <v>无变化</v>
      </c>
    </row>
    <row r="2201" spans="1:3">
      <c r="A2201" s="432" t="s">
        <v>2822</v>
      </c>
      <c r="B2201" s="432" t="str">
        <f t="shared" si="34"/>
        <v>无变化</v>
      </c>
      <c r="C2201" s="435" t="str">
        <f>注释!Y7</f>
        <v>无变化</v>
      </c>
    </row>
    <row r="2202" spans="1:3">
      <c r="A2202" s="432" t="s">
        <v>2823</v>
      </c>
      <c r="B2202" s="432" t="str">
        <f t="shared" si="34"/>
        <v>无变化</v>
      </c>
      <c r="C2202" s="435" t="str">
        <f>注释!Y8</f>
        <v>无变化</v>
      </c>
    </row>
    <row r="2203" spans="1:3">
      <c r="A2203" s="432" t="s">
        <v>2824</v>
      </c>
      <c r="B2203" s="432" t="str">
        <f t="shared" si="34"/>
        <v>无变化</v>
      </c>
      <c r="C2203" s="435" t="str">
        <f>注释!Y9</f>
        <v>无变化</v>
      </c>
    </row>
    <row r="2204" spans="1:3">
      <c r="A2204" s="432" t="s">
        <v>2825</v>
      </c>
      <c r="B2204" s="432" t="str">
        <f t="shared" si="34"/>
        <v>无变化</v>
      </c>
      <c r="C2204" s="435" t="str">
        <f>注释!Y10</f>
        <v>无变化</v>
      </c>
    </row>
    <row r="2205" spans="1:3">
      <c r="A2205" s="432" t="s">
        <v>2826</v>
      </c>
      <c r="B2205" s="432" t="str">
        <f t="shared" si="34"/>
        <v>无变化</v>
      </c>
      <c r="C2205" s="435" t="str">
        <f>注释!Y11</f>
        <v>无变化</v>
      </c>
    </row>
    <row r="2206" spans="1:3">
      <c r="A2206" s="432" t="s">
        <v>2827</v>
      </c>
      <c r="B2206" s="432" t="str">
        <f t="shared" si="34"/>
        <v>无变化</v>
      </c>
      <c r="C2206" s="435" t="str">
        <f>注释!Y12</f>
        <v>无变化</v>
      </c>
    </row>
    <row r="2207" spans="1:3">
      <c r="A2207" s="432" t="s">
        <v>2828</v>
      </c>
      <c r="B2207" s="432" t="str">
        <f t="shared" si="34"/>
        <v>无变化</v>
      </c>
      <c r="C2207" s="435" t="str">
        <f>注释!Y13</f>
        <v>无变化</v>
      </c>
    </row>
    <row r="2208" spans="1:3">
      <c r="A2208" s="432" t="s">
        <v>2829</v>
      </c>
      <c r="B2208" s="432" t="str">
        <f t="shared" si="34"/>
        <v>无变化</v>
      </c>
      <c r="C2208" s="435" t="str">
        <f>注释!Y14</f>
        <v>无变化</v>
      </c>
    </row>
    <row r="2209" spans="1:3">
      <c r="A2209" s="432" t="s">
        <v>2830</v>
      </c>
      <c r="B2209" s="432" t="str">
        <f t="shared" si="34"/>
        <v>无变化</v>
      </c>
      <c r="C2209" s="435" t="str">
        <f>注释!Y15</f>
        <v>无变化</v>
      </c>
    </row>
    <row r="2210" spans="1:3">
      <c r="A2210" s="432" t="s">
        <v>2831</v>
      </c>
      <c r="B2210" s="432" t="str">
        <f t="shared" si="34"/>
        <v>无变化</v>
      </c>
      <c r="C2210" s="435" t="str">
        <f>注释!Y16</f>
        <v>无变化</v>
      </c>
    </row>
    <row r="2211" spans="1:3">
      <c r="A2211" s="432" t="s">
        <v>2832</v>
      </c>
      <c r="B2211" s="432" t="str">
        <f t="shared" si="34"/>
        <v>无变化</v>
      </c>
      <c r="C2211" s="435" t="str">
        <f>注释!Y17</f>
        <v>无变化</v>
      </c>
    </row>
    <row r="2212" spans="1:3">
      <c r="A2212" s="432" t="s">
        <v>2833</v>
      </c>
      <c r="B2212" s="432" t="str">
        <f t="shared" si="34"/>
        <v>无变化</v>
      </c>
      <c r="C2212" s="435" t="str">
        <f>注释!Y18</f>
        <v>无变化</v>
      </c>
    </row>
    <row r="2213" spans="1:3">
      <c r="A2213" s="432" t="s">
        <v>2834</v>
      </c>
      <c r="B2213" s="432" t="str">
        <f t="shared" si="34"/>
        <v>无变化</v>
      </c>
      <c r="C2213" s="435" t="str">
        <f>注释!Y20</f>
        <v>无变化</v>
      </c>
    </row>
    <row r="2214" spans="1:3">
      <c r="A2214" s="432" t="s">
        <v>2835</v>
      </c>
      <c r="B2214" s="432" t="str">
        <f t="shared" si="34"/>
        <v>无变化</v>
      </c>
      <c r="C2214" s="435" t="str">
        <f>注释!Y21</f>
        <v>无变化</v>
      </c>
    </row>
    <row r="2215" spans="1:3">
      <c r="A2215" s="432" t="s">
        <v>2836</v>
      </c>
      <c r="B2215" s="432" t="str">
        <f t="shared" si="34"/>
        <v>无变化</v>
      </c>
      <c r="C2215" s="435" t="str">
        <f>注释!Y22</f>
        <v>无变化</v>
      </c>
    </row>
    <row r="2216" spans="1:3">
      <c r="A2216" s="432" t="s">
        <v>2837</v>
      </c>
      <c r="B2216" s="432" t="str">
        <f t="shared" si="34"/>
        <v>无变化</v>
      </c>
      <c r="C2216" s="435" t="str">
        <f>注释!Y23</f>
        <v>无变化</v>
      </c>
    </row>
    <row r="2217" spans="1:3">
      <c r="A2217" s="432" t="s">
        <v>2838</v>
      </c>
      <c r="B2217" s="432" t="str">
        <f t="shared" si="34"/>
        <v>无变化</v>
      </c>
      <c r="C2217" s="435" t="str">
        <f>注释!Y24</f>
        <v>无变化</v>
      </c>
    </row>
    <row r="2218" spans="1:3">
      <c r="A2218" s="432" t="s">
        <v>2839</v>
      </c>
      <c r="B2218" s="432" t="str">
        <f t="shared" si="34"/>
        <v>无变化</v>
      </c>
      <c r="C2218" s="435" t="str">
        <f>注释!Y25</f>
        <v>无变化</v>
      </c>
    </row>
    <row r="2219" spans="1:3">
      <c r="A2219" s="432" t="s">
        <v>2840</v>
      </c>
      <c r="B2219" s="432" t="str">
        <f t="shared" si="34"/>
        <v>无变化</v>
      </c>
      <c r="C2219" s="435" t="str">
        <f>注释!Y26</f>
        <v>无变化</v>
      </c>
    </row>
    <row r="2220" spans="1:3">
      <c r="A2220" s="432" t="s">
        <v>2841</v>
      </c>
      <c r="B2220" s="432" t="str">
        <f t="shared" si="34"/>
        <v>无变化</v>
      </c>
      <c r="C2220" s="435" t="str">
        <f>注释!Y27</f>
        <v>无变化</v>
      </c>
    </row>
    <row r="2221" spans="1:3">
      <c r="A2221" s="432" t="s">
        <v>2842</v>
      </c>
      <c r="B2221" s="432" t="str">
        <f t="shared" si="34"/>
        <v>无变化</v>
      </c>
      <c r="C2221" s="435" t="str">
        <f>注释!Y28</f>
        <v>无变化</v>
      </c>
    </row>
    <row r="2222" spans="1:3">
      <c r="A2222" s="432" t="s">
        <v>2843</v>
      </c>
      <c r="B2222" s="432" t="str">
        <f t="shared" si="34"/>
        <v>无变化</v>
      </c>
      <c r="C2222" s="435" t="str">
        <f>注释!Y29</f>
        <v>无变化</v>
      </c>
    </row>
    <row r="2223" spans="1:3">
      <c r="A2223" s="432" t="s">
        <v>2844</v>
      </c>
      <c r="B2223" s="432" t="str">
        <f t="shared" si="34"/>
        <v>无变化</v>
      </c>
      <c r="C2223" s="435" t="str">
        <f>注释!Y30</f>
        <v>无变化</v>
      </c>
    </row>
    <row r="2224" spans="1:3">
      <c r="A2224" s="432" t="s">
        <v>2845</v>
      </c>
      <c r="B2224" s="432" t="str">
        <f t="shared" si="34"/>
        <v>无变化</v>
      </c>
      <c r="C2224" s="435" t="str">
        <f>注释!Y31</f>
        <v>无变化</v>
      </c>
    </row>
    <row r="2225" spans="1:3">
      <c r="A2225" s="432" t="s">
        <v>2846</v>
      </c>
      <c r="B2225" s="432" t="str">
        <f t="shared" si="34"/>
        <v>无变化</v>
      </c>
      <c r="C2225" s="435" t="str">
        <f>注释!Y32</f>
        <v>无变化</v>
      </c>
    </row>
    <row r="2226" spans="1:3">
      <c r="A2226" s="432" t="s">
        <v>2847</v>
      </c>
      <c r="B2226" s="432" t="str">
        <f t="shared" si="34"/>
        <v>无变化</v>
      </c>
      <c r="C2226" s="435" t="str">
        <f>注释!Y33</f>
        <v>无变化</v>
      </c>
    </row>
    <row r="2227" spans="1:3">
      <c r="A2227" s="432" t="s">
        <v>2848</v>
      </c>
      <c r="B2227" s="432" t="str">
        <f t="shared" si="34"/>
        <v>无变化</v>
      </c>
      <c r="C2227" s="435" t="str">
        <f>注释!Y34</f>
        <v>无变化</v>
      </c>
    </row>
    <row r="2228" spans="1:3">
      <c r="A2228" s="432" t="s">
        <v>2849</v>
      </c>
      <c r="B2228" s="432" t="str">
        <f t="shared" si="34"/>
        <v>无变化</v>
      </c>
      <c r="C2228" s="435" t="str">
        <f>注释!Y35</f>
        <v>无变化</v>
      </c>
    </row>
    <row r="2229" spans="1:3">
      <c r="A2229" s="432" t="s">
        <v>2850</v>
      </c>
      <c r="B2229" s="432" t="str">
        <f t="shared" si="34"/>
        <v>无变化</v>
      </c>
      <c r="C2229" s="435" t="str">
        <f>注释!Y36</f>
        <v>无变化</v>
      </c>
    </row>
    <row r="2230" spans="1:3">
      <c r="A2230" s="432" t="s">
        <v>2851</v>
      </c>
      <c r="B2230" s="432" t="str">
        <f t="shared" si="34"/>
        <v>无变化</v>
      </c>
      <c r="C2230" s="435" t="str">
        <f>注释!Y38</f>
        <v>无变化</v>
      </c>
    </row>
    <row r="2231" spans="1:3">
      <c r="A2231" s="432" t="s">
        <v>2852</v>
      </c>
      <c r="B2231" s="432" t="str">
        <f t="shared" si="34"/>
        <v>无变化</v>
      </c>
      <c r="C2231" s="435" t="str">
        <f>注释!Y39</f>
        <v>无变化</v>
      </c>
    </row>
    <row r="2232" spans="1:3">
      <c r="A2232" s="432" t="s">
        <v>2853</v>
      </c>
      <c r="B2232" s="432" t="str">
        <f t="shared" si="34"/>
        <v>无变化</v>
      </c>
      <c r="C2232" s="435" t="str">
        <f>注释!Y40</f>
        <v>无变化</v>
      </c>
    </row>
    <row r="2233" spans="1:3">
      <c r="A2233" s="432" t="s">
        <v>2854</v>
      </c>
      <c r="B2233" s="432" t="str">
        <f t="shared" si="34"/>
        <v>无变化</v>
      </c>
      <c r="C2233" s="435" t="str">
        <f>注释!Y41</f>
        <v>无变化</v>
      </c>
    </row>
    <row r="2234" spans="1:3">
      <c r="A2234" s="432" t="s">
        <v>2855</v>
      </c>
      <c r="B2234" s="432" t="str">
        <f t="shared" si="34"/>
        <v>无变化</v>
      </c>
      <c r="C2234" s="435" t="str">
        <f>注释!Y42</f>
        <v>无变化</v>
      </c>
    </row>
    <row r="2235" spans="1:3">
      <c r="A2235" s="432" t="s">
        <v>2856</v>
      </c>
      <c r="B2235" s="432" t="str">
        <f t="shared" si="34"/>
        <v>无变化</v>
      </c>
      <c r="C2235" s="435" t="str">
        <f>注释!Y43</f>
        <v>无变化</v>
      </c>
    </row>
    <row r="2236" spans="1:3">
      <c r="A2236" s="432" t="s">
        <v>2857</v>
      </c>
      <c r="B2236" s="432" t="str">
        <f t="shared" si="34"/>
        <v>无变化</v>
      </c>
      <c r="C2236" s="435" t="str">
        <f>注释!Y44</f>
        <v>无变化</v>
      </c>
    </row>
    <row r="2237" spans="1:3">
      <c r="A2237" s="432" t="s">
        <v>2858</v>
      </c>
      <c r="B2237" s="432" t="str">
        <f t="shared" si="34"/>
        <v>无变化</v>
      </c>
      <c r="C2237" s="435" t="str">
        <f>注释!Y45</f>
        <v>无变化</v>
      </c>
    </row>
    <row r="2238" spans="1:3">
      <c r="A2238" s="432" t="s">
        <v>2859</v>
      </c>
      <c r="B2238" s="432" t="str">
        <f t="shared" si="34"/>
        <v>无变化</v>
      </c>
      <c r="C2238" s="435" t="str">
        <f>注释!Y46</f>
        <v>无变化</v>
      </c>
    </row>
    <row r="2239" spans="1:3">
      <c r="A2239" s="432" t="s">
        <v>2860</v>
      </c>
      <c r="B2239" s="432" t="str">
        <f t="shared" si="34"/>
        <v>无变化</v>
      </c>
      <c r="C2239" s="435" t="str">
        <f>注释!Y47</f>
        <v>无变化</v>
      </c>
    </row>
    <row r="2240" spans="1:3">
      <c r="A2240" s="432" t="s">
        <v>2861</v>
      </c>
      <c r="B2240" s="432" t="str">
        <f t="shared" si="34"/>
        <v>无变化</v>
      </c>
      <c r="C2240" s="435" t="str">
        <f>注释!Y48</f>
        <v>无变化</v>
      </c>
    </row>
    <row r="2241" spans="1:3">
      <c r="A2241" s="432" t="s">
        <v>2862</v>
      </c>
      <c r="B2241" s="432" t="str">
        <f t="shared" si="34"/>
        <v>无变化</v>
      </c>
      <c r="C2241" s="435" t="str">
        <f>注释!Y49</f>
        <v>无变化</v>
      </c>
    </row>
    <row r="2242" spans="1:3">
      <c r="A2242" s="432" t="s">
        <v>2863</v>
      </c>
      <c r="B2242" s="432" t="str">
        <f t="shared" si="34"/>
        <v>无变化</v>
      </c>
      <c r="C2242" s="435" t="str">
        <f>注释!Y50</f>
        <v>无变化</v>
      </c>
    </row>
    <row r="2243" spans="1:3">
      <c r="A2243" s="432" t="s">
        <v>2864</v>
      </c>
      <c r="B2243" s="432" t="str">
        <f t="shared" si="34"/>
        <v>无变化</v>
      </c>
      <c r="C2243" s="435" t="str">
        <f>注释!Y51</f>
        <v>无变化</v>
      </c>
    </row>
    <row r="2244" spans="1:3">
      <c r="A2244" s="432" t="s">
        <v>2865</v>
      </c>
      <c r="B2244" s="432" t="str">
        <f t="shared" si="34"/>
        <v>无变化</v>
      </c>
      <c r="C2244" s="435" t="str">
        <f>注释!Y52</f>
        <v>无变化</v>
      </c>
    </row>
    <row r="2245" spans="1:3">
      <c r="A2245" s="432" t="s">
        <v>2866</v>
      </c>
      <c r="B2245" s="432" t="str">
        <f t="shared" si="34"/>
        <v>无变化</v>
      </c>
      <c r="C2245" s="435" t="str">
        <f>注释!Y53</f>
        <v>无变化</v>
      </c>
    </row>
    <row r="2246" spans="1:3">
      <c r="A2246" s="432" t="s">
        <v>2867</v>
      </c>
      <c r="B2246" s="432" t="str">
        <f t="shared" si="34"/>
        <v>无变化</v>
      </c>
      <c r="C2246" s="435" t="str">
        <f>注释!Y55</f>
        <v>无变化</v>
      </c>
    </row>
    <row r="2247" spans="1:3">
      <c r="A2247" s="432" t="s">
        <v>2868</v>
      </c>
      <c r="B2247" s="432" t="str">
        <f t="shared" si="34"/>
        <v>无变化</v>
      </c>
      <c r="C2247" s="435" t="str">
        <f>注释!Y56</f>
        <v>无变化</v>
      </c>
    </row>
    <row r="2248" spans="1:3">
      <c r="A2248" s="432" t="s">
        <v>2869</v>
      </c>
      <c r="B2248" s="432" t="str">
        <f t="shared" ref="B2248:B2311" si="35">TRIM(C2248)</f>
        <v>无变化</v>
      </c>
      <c r="C2248" s="435" t="str">
        <f>注释!Y57</f>
        <v>无变化</v>
      </c>
    </row>
    <row r="2249" spans="1:3">
      <c r="A2249" s="432" t="s">
        <v>2870</v>
      </c>
      <c r="B2249" s="432" t="str">
        <f t="shared" si="35"/>
        <v>无变化</v>
      </c>
      <c r="C2249" s="435" t="str">
        <f>注释!Y58</f>
        <v>无变化</v>
      </c>
    </row>
    <row r="2250" spans="1:3">
      <c r="A2250" s="432" t="s">
        <v>2871</v>
      </c>
      <c r="B2250" s="432" t="str">
        <f t="shared" si="35"/>
        <v>无变化</v>
      </c>
      <c r="C2250" s="435" t="str">
        <f>注释!Y59</f>
        <v>无变化</v>
      </c>
    </row>
    <row r="2251" spans="1:3">
      <c r="A2251" s="432" t="s">
        <v>2872</v>
      </c>
      <c r="B2251" s="432" t="str">
        <f t="shared" si="35"/>
        <v>无变化</v>
      </c>
      <c r="C2251" s="435" t="str">
        <f>注释!Y60</f>
        <v>无变化</v>
      </c>
    </row>
    <row r="2252" spans="1:3">
      <c r="A2252" s="432" t="s">
        <v>2873</v>
      </c>
      <c r="B2252" s="432" t="str">
        <f t="shared" si="35"/>
        <v>无变化</v>
      </c>
      <c r="C2252" s="435" t="str">
        <f>注释!Y61</f>
        <v>无变化</v>
      </c>
    </row>
    <row r="2253" spans="1:3">
      <c r="A2253" s="432" t="s">
        <v>2874</v>
      </c>
      <c r="B2253" s="432" t="str">
        <f t="shared" si="35"/>
        <v>无变化</v>
      </c>
      <c r="C2253" s="435" t="str">
        <f>注释!Y62</f>
        <v>无变化</v>
      </c>
    </row>
    <row r="2254" spans="1:3">
      <c r="A2254" s="432" t="s">
        <v>2875</v>
      </c>
      <c r="B2254" s="432" t="str">
        <f t="shared" si="35"/>
        <v>无变化</v>
      </c>
      <c r="C2254" s="435" t="str">
        <f>注释!Y63</f>
        <v>无变化</v>
      </c>
    </row>
    <row r="2255" spans="1:3">
      <c r="A2255" s="432" t="s">
        <v>2876</v>
      </c>
      <c r="B2255" s="432" t="str">
        <f t="shared" si="35"/>
        <v>无变化</v>
      </c>
      <c r="C2255" s="435" t="str">
        <f>注释!Y64</f>
        <v>无变化</v>
      </c>
    </row>
    <row r="2256" spans="1:3">
      <c r="A2256" s="432" t="s">
        <v>2877</v>
      </c>
      <c r="B2256" s="432" t="str">
        <f t="shared" si="35"/>
        <v>无变化</v>
      </c>
      <c r="C2256" s="435" t="str">
        <f>注释!Y65</f>
        <v>无变化</v>
      </c>
    </row>
    <row r="2257" spans="1:5">
      <c r="A2257" s="432" t="s">
        <v>2878</v>
      </c>
      <c r="B2257" s="432" t="str">
        <f t="shared" si="35"/>
        <v>无变化</v>
      </c>
      <c r="C2257" s="435" t="str">
        <f>注释!Y66</f>
        <v>无变化</v>
      </c>
    </row>
    <row r="2258" spans="1:5">
      <c r="A2258" s="432" t="s">
        <v>2879</v>
      </c>
      <c r="B2258" s="432" t="str">
        <f t="shared" si="35"/>
        <v>无变化</v>
      </c>
      <c r="C2258" s="435" t="str">
        <f>注释!Y67</f>
        <v>无变化</v>
      </c>
    </row>
    <row r="2259" spans="1:5">
      <c r="A2259" s="432" t="s">
        <v>2880</v>
      </c>
      <c r="B2259" s="432" t="str">
        <f t="shared" si="35"/>
        <v>【】</v>
      </c>
      <c r="C2259" s="435" t="str">
        <f>IF('合并资产负债表 '!V5=0,"【】",TEXT(ABS('合并资产负债表 '!V5),"#,##0.00"))</f>
        <v>【】</v>
      </c>
      <c r="E2259" s="436" t="s">
        <v>76</v>
      </c>
    </row>
    <row r="2260" spans="1:5">
      <c r="A2260" s="432" t="s">
        <v>2881</v>
      </c>
      <c r="B2260" s="432" t="str">
        <f t="shared" si="35"/>
        <v>【】</v>
      </c>
      <c r="C2260" s="435" t="str">
        <f>IF('合并资产负债表 '!V6=0,"【】",TEXT(ABS('合并资产负债表 '!V6),"#,##0.00"))</f>
        <v>【】</v>
      </c>
    </row>
    <row r="2261" spans="1:5">
      <c r="A2261" s="432" t="s">
        <v>2882</v>
      </c>
      <c r="B2261" s="432" t="str">
        <f t="shared" si="35"/>
        <v>【】</v>
      </c>
      <c r="C2261" s="435" t="str">
        <f>IF('合并资产负债表 '!V7=0,"【】",TEXT(ABS('合并资产负债表 '!V7),"#,##0.00"))</f>
        <v>【】</v>
      </c>
    </row>
    <row r="2262" spans="1:5">
      <c r="A2262" s="432" t="s">
        <v>2883</v>
      </c>
      <c r="B2262" s="432" t="str">
        <f t="shared" si="35"/>
        <v>【】</v>
      </c>
      <c r="C2262" s="435" t="str">
        <f>IF('合并资产负债表 '!V8=0,"【】",TEXT(ABS('合并资产负债表 '!V8),"#,##0.00"))</f>
        <v>【】</v>
      </c>
    </row>
    <row r="2263" spans="1:5">
      <c r="A2263" s="432" t="s">
        <v>2884</v>
      </c>
      <c r="B2263" s="432" t="str">
        <f t="shared" si="35"/>
        <v>【】</v>
      </c>
      <c r="C2263" s="435" t="str">
        <f>IF('合并资产负债表 '!V9=0,"【】",TEXT(ABS('合并资产负债表 '!V9),"#,##0.00"))</f>
        <v>【】</v>
      </c>
    </row>
    <row r="2264" spans="1:5">
      <c r="A2264" s="432" t="s">
        <v>2885</v>
      </c>
      <c r="B2264" s="432" t="str">
        <f t="shared" si="35"/>
        <v>【】</v>
      </c>
      <c r="C2264" s="435" t="str">
        <f>IF('合并资产负债表 '!V10=0,"【】",TEXT(ABS('合并资产负债表 '!V10),"#,##0.00"))</f>
        <v>【】</v>
      </c>
    </row>
    <row r="2265" spans="1:5">
      <c r="A2265" s="432" t="s">
        <v>2886</v>
      </c>
      <c r="B2265" s="432" t="str">
        <f t="shared" si="35"/>
        <v>【】</v>
      </c>
      <c r="C2265" s="435" t="str">
        <f>IF('合并资产负债表 '!V11=0,"【】",TEXT(ABS('合并资产负债表 '!V11),"#,##0.00"))</f>
        <v>【】</v>
      </c>
    </row>
    <row r="2266" spans="1:5">
      <c r="A2266" s="432" t="s">
        <v>2887</v>
      </c>
      <c r="B2266" s="432" t="str">
        <f t="shared" si="35"/>
        <v>【】</v>
      </c>
      <c r="C2266" s="435" t="str">
        <f>IF('合并资产负债表 '!V12=0,"【】",TEXT(ABS('合并资产负债表 '!V12),"#,##0.00"))</f>
        <v>【】</v>
      </c>
    </row>
    <row r="2267" spans="1:5">
      <c r="A2267" s="432" t="s">
        <v>2888</v>
      </c>
      <c r="B2267" s="432" t="str">
        <f t="shared" si="35"/>
        <v>【】</v>
      </c>
      <c r="C2267" s="435" t="str">
        <f>IF('合并资产负债表 '!V13=0,"【】",TEXT(ABS('合并资产负债表 '!V13),"#,##0.00"))</f>
        <v>【】</v>
      </c>
    </row>
    <row r="2268" spans="1:5">
      <c r="A2268" s="432" t="s">
        <v>2889</v>
      </c>
      <c r="B2268" s="432" t="str">
        <f t="shared" si="35"/>
        <v>【】</v>
      </c>
      <c r="C2268" s="435" t="str">
        <f>IF('合并资产负债表 '!V14=0,"【】",TEXT(ABS('合并资产负债表 '!V14),"#,##0.00"))</f>
        <v>【】</v>
      </c>
    </row>
    <row r="2269" spans="1:5">
      <c r="A2269" s="432" t="s">
        <v>2890</v>
      </c>
      <c r="B2269" s="432" t="str">
        <f t="shared" si="35"/>
        <v>【】</v>
      </c>
      <c r="C2269" s="435" t="str">
        <f>IF('合并资产负债表 '!V15=0,"【】",TEXT(ABS('合并资产负债表 '!V15),"#,##0.00"))</f>
        <v>【】</v>
      </c>
    </row>
    <row r="2270" spans="1:5">
      <c r="A2270" s="432" t="s">
        <v>2891</v>
      </c>
      <c r="B2270" s="432" t="str">
        <f t="shared" si="35"/>
        <v>【】</v>
      </c>
      <c r="C2270" s="435" t="str">
        <f>IF('合并资产负债表 '!V16=0,"【】",TEXT(ABS('合并资产负债表 '!V16),"#,##0.00"))</f>
        <v>【】</v>
      </c>
    </row>
    <row r="2271" spans="1:5">
      <c r="A2271" s="432" t="s">
        <v>2892</v>
      </c>
      <c r="B2271" s="432" t="str">
        <f t="shared" si="35"/>
        <v>【】</v>
      </c>
      <c r="C2271" s="435" t="str">
        <f>IF('合并资产负债表 '!V17=0,"【】",TEXT(ABS('合并资产负债表 '!V17),"#,##0.00"))</f>
        <v>【】</v>
      </c>
    </row>
    <row r="2272" spans="1:5">
      <c r="A2272" s="432" t="s">
        <v>2893</v>
      </c>
      <c r="B2272" s="432" t="str">
        <f t="shared" si="35"/>
        <v>【】</v>
      </c>
      <c r="C2272" s="435" t="str">
        <f>IF('合并资产负债表 '!V18=0,"【】",TEXT(ABS('合并资产负债表 '!V18),"#,##0.00"))</f>
        <v>【】</v>
      </c>
    </row>
    <row r="2273" spans="1:3">
      <c r="A2273" s="432" t="s">
        <v>2894</v>
      </c>
      <c r="B2273" s="432" t="str">
        <f t="shared" si="35"/>
        <v>【】</v>
      </c>
      <c r="C2273" s="435" t="str">
        <f>IF('合并资产负债表 '!V19=0,"【】",TEXT(ABS('合并资产负债表 '!V19),"#,##0.00"))</f>
        <v>【】</v>
      </c>
    </row>
    <row r="2274" spans="1:3">
      <c r="A2274" s="432" t="s">
        <v>2895</v>
      </c>
      <c r="B2274" s="432" t="str">
        <f t="shared" si="35"/>
        <v>【】</v>
      </c>
      <c r="C2274" s="435" t="str">
        <f>IF('合并资产负债表 '!V21=0,"【】",TEXT(ABS('合并资产负债表 '!V21),"#,##0.00"))</f>
        <v>【】</v>
      </c>
    </row>
    <row r="2275" spans="1:3">
      <c r="A2275" s="432" t="s">
        <v>2896</v>
      </c>
      <c r="B2275" s="432" t="str">
        <f t="shared" si="35"/>
        <v>【】</v>
      </c>
      <c r="C2275" s="435" t="str">
        <f>IF('合并资产负债表 '!V22=0,"【】",TEXT(ABS('合并资产负债表 '!V22),"#,##0.00"))</f>
        <v>【】</v>
      </c>
    </row>
    <row r="2276" spans="1:3">
      <c r="A2276" s="432" t="s">
        <v>2897</v>
      </c>
      <c r="B2276" s="432" t="str">
        <f t="shared" si="35"/>
        <v>【】</v>
      </c>
      <c r="C2276" s="435" t="str">
        <f>IF('合并资产负债表 '!V23=0,"【】",TEXT(ABS('合并资产负债表 '!V23),"#,##0.00"))</f>
        <v>【】</v>
      </c>
    </row>
    <row r="2277" spans="1:3">
      <c r="A2277" s="432" t="s">
        <v>2898</v>
      </c>
      <c r="B2277" s="432" t="str">
        <f t="shared" si="35"/>
        <v>【】</v>
      </c>
      <c r="C2277" s="435" t="str">
        <f>IF('合并资产负债表 '!V24=0,"【】",TEXT(ABS('合并资产负债表 '!V24),"#,##0.00"))</f>
        <v>【】</v>
      </c>
    </row>
    <row r="2278" spans="1:3">
      <c r="A2278" s="432" t="s">
        <v>2899</v>
      </c>
      <c r="B2278" s="432" t="str">
        <f t="shared" si="35"/>
        <v>【】</v>
      </c>
      <c r="C2278" s="435" t="str">
        <f>IF('合并资产负债表 '!V25=0,"【】",TEXT(ABS('合并资产负债表 '!V25),"#,##0.00"))</f>
        <v>【】</v>
      </c>
    </row>
    <row r="2279" spans="1:3">
      <c r="A2279" s="432" t="s">
        <v>2900</v>
      </c>
      <c r="B2279" s="432" t="str">
        <f t="shared" si="35"/>
        <v>【】</v>
      </c>
      <c r="C2279" s="435" t="str">
        <f>IF('合并资产负债表 '!V26=0,"【】",TEXT(ABS('合并资产负债表 '!V26),"#,##0.00"))</f>
        <v>【】</v>
      </c>
    </row>
    <row r="2280" spans="1:3">
      <c r="A2280" s="432" t="s">
        <v>2901</v>
      </c>
      <c r="B2280" s="432" t="str">
        <f t="shared" si="35"/>
        <v>【】</v>
      </c>
      <c r="C2280" s="435" t="str">
        <f>IF('合并资产负债表 '!V27=0,"【】",TEXT(ABS('合并资产负债表 '!V27),"#,##0.00"))</f>
        <v>【】</v>
      </c>
    </row>
    <row r="2281" spans="1:3">
      <c r="A2281" s="432" t="s">
        <v>2902</v>
      </c>
      <c r="B2281" s="432" t="str">
        <f t="shared" si="35"/>
        <v>【】</v>
      </c>
      <c r="C2281" s="435" t="str">
        <f>IF('合并资产负债表 '!V28=0,"【】",TEXT(ABS('合并资产负债表 '!V28),"#,##0.00"))</f>
        <v>【】</v>
      </c>
    </row>
    <row r="2282" spans="1:3">
      <c r="A2282" s="432" t="s">
        <v>2903</v>
      </c>
      <c r="B2282" s="432" t="str">
        <f t="shared" si="35"/>
        <v>【】</v>
      </c>
      <c r="C2282" s="435" t="str">
        <f>IF('合并资产负债表 '!V29=0,"【】",TEXT(ABS('合并资产负债表 '!V29),"#,##0.00"))</f>
        <v>【】</v>
      </c>
    </row>
    <row r="2283" spans="1:3">
      <c r="A2283" s="432" t="s">
        <v>2904</v>
      </c>
      <c r="B2283" s="432" t="str">
        <f t="shared" si="35"/>
        <v>【】</v>
      </c>
      <c r="C2283" s="435" t="str">
        <f>IF('合并资产负债表 '!V30=0,"【】",TEXT(ABS('合并资产负债表 '!V30),"#,##0.00"))</f>
        <v>【】</v>
      </c>
    </row>
    <row r="2284" spans="1:3">
      <c r="A2284" s="432" t="s">
        <v>2905</v>
      </c>
      <c r="B2284" s="432" t="str">
        <f t="shared" si="35"/>
        <v>【】</v>
      </c>
      <c r="C2284" s="435" t="str">
        <f>IF('合并资产负债表 '!V31=0,"【】",TEXT(ABS('合并资产负债表 '!V31),"#,##0.00"))</f>
        <v>【】</v>
      </c>
    </row>
    <row r="2285" spans="1:3">
      <c r="A2285" s="432" t="s">
        <v>2906</v>
      </c>
      <c r="B2285" s="432" t="str">
        <f t="shared" si="35"/>
        <v>【】</v>
      </c>
      <c r="C2285" s="435" t="str">
        <f>IF('合并资产负债表 '!V32=0,"【】",TEXT(ABS('合并资产负债表 '!V32),"#,##0.00"))</f>
        <v>【】</v>
      </c>
    </row>
    <row r="2286" spans="1:3">
      <c r="A2286" s="432" t="s">
        <v>2907</v>
      </c>
      <c r="B2286" s="432" t="str">
        <f t="shared" si="35"/>
        <v>【】</v>
      </c>
      <c r="C2286" s="435" t="str">
        <f>IF('合并资产负债表 '!V33=0,"【】",TEXT(ABS('合并资产负债表 '!V33),"#,##0.00"))</f>
        <v>【】</v>
      </c>
    </row>
    <row r="2287" spans="1:3">
      <c r="A2287" s="432" t="s">
        <v>2908</v>
      </c>
      <c r="B2287" s="432" t="str">
        <f t="shared" si="35"/>
        <v>【】</v>
      </c>
      <c r="C2287" s="435" t="str">
        <f>IF('合并资产负债表 '!V34=0,"【】",TEXT(ABS('合并资产负债表 '!V34),"#,##0.00"))</f>
        <v>【】</v>
      </c>
    </row>
    <row r="2288" spans="1:3">
      <c r="A2288" s="432" t="s">
        <v>2909</v>
      </c>
      <c r="B2288" s="432" t="str">
        <f t="shared" si="35"/>
        <v>【】</v>
      </c>
      <c r="C2288" s="435" t="str">
        <f>IF('合并资产负债表 '!V35=0,"【】",TEXT(ABS('合并资产负债表 '!V35),"#,##0.00"))</f>
        <v>【】</v>
      </c>
    </row>
    <row r="2289" spans="1:3">
      <c r="A2289" s="432" t="s">
        <v>2910</v>
      </c>
      <c r="B2289" s="432" t="str">
        <f t="shared" si="35"/>
        <v>【】</v>
      </c>
      <c r="C2289" s="435" t="str">
        <f>IF('合并资产负债表 '!V36=0,"【】",TEXT(ABS('合并资产负债表 '!V36),"#,##0.00"))</f>
        <v>【】</v>
      </c>
    </row>
    <row r="2290" spans="1:3">
      <c r="A2290" s="432" t="s">
        <v>2911</v>
      </c>
      <c r="B2290" s="432" t="str">
        <f t="shared" si="35"/>
        <v>【】</v>
      </c>
      <c r="C2290" s="435" t="str">
        <f>IF('合并资产负债表 '!V37=0,"【】",TEXT(ABS('合并资产负债表 '!V37),"#,##0.00"))</f>
        <v>【】</v>
      </c>
    </row>
    <row r="2291" spans="1:3">
      <c r="A2291" s="432" t="s">
        <v>2912</v>
      </c>
      <c r="B2291" s="432" t="str">
        <f t="shared" si="35"/>
        <v>【】</v>
      </c>
      <c r="C2291" s="435" t="str">
        <f>IF('合并资产负债表 '!V39=0,"【】",TEXT(ABS('合并资产负债表 '!V39),"#,##0.00"))</f>
        <v>【】</v>
      </c>
    </row>
    <row r="2292" spans="1:3">
      <c r="A2292" s="432" t="s">
        <v>2913</v>
      </c>
      <c r="B2292" s="432" t="str">
        <f t="shared" si="35"/>
        <v>【】</v>
      </c>
      <c r="C2292" s="435" t="str">
        <f>IF('合并资产负债表 '!V40=0,"【】",TEXT(ABS('合并资产负债表 '!V40),"#,##0.00"))</f>
        <v>【】</v>
      </c>
    </row>
    <row r="2293" spans="1:3">
      <c r="A2293" s="432" t="s">
        <v>2914</v>
      </c>
      <c r="B2293" s="432" t="str">
        <f t="shared" si="35"/>
        <v>【】</v>
      </c>
      <c r="C2293" s="435" t="str">
        <f>IF('合并资产负债表 '!V41=0,"【】",TEXT(ABS('合并资产负债表 '!V41),"#,##0.00"))</f>
        <v>【】</v>
      </c>
    </row>
    <row r="2294" spans="1:3">
      <c r="A2294" s="432" t="s">
        <v>2915</v>
      </c>
      <c r="B2294" s="432" t="str">
        <f t="shared" si="35"/>
        <v>【】</v>
      </c>
      <c r="C2294" s="435" t="str">
        <f>IF('合并资产负债表 '!V42=0,"【】",TEXT(ABS('合并资产负债表 '!V42),"#,##0.00"))</f>
        <v>【】</v>
      </c>
    </row>
    <row r="2295" spans="1:3">
      <c r="A2295" s="432" t="s">
        <v>2916</v>
      </c>
      <c r="B2295" s="432" t="str">
        <f t="shared" si="35"/>
        <v>【】</v>
      </c>
      <c r="C2295" s="435" t="str">
        <f>IF('合并资产负债表 '!V43=0,"【】",TEXT(ABS('合并资产负债表 '!V43),"#,##0.00"))</f>
        <v>【】</v>
      </c>
    </row>
    <row r="2296" spans="1:3">
      <c r="A2296" s="432" t="s">
        <v>2917</v>
      </c>
      <c r="B2296" s="432" t="str">
        <f t="shared" si="35"/>
        <v>【】</v>
      </c>
      <c r="C2296" s="435" t="str">
        <f>IF('合并资产负债表 '!V44=0,"【】",TEXT(ABS('合并资产负债表 '!V44),"#,##0.00"))</f>
        <v>【】</v>
      </c>
    </row>
    <row r="2297" spans="1:3">
      <c r="A2297" s="432" t="s">
        <v>2918</v>
      </c>
      <c r="B2297" s="432" t="str">
        <f t="shared" si="35"/>
        <v>【】</v>
      </c>
      <c r="C2297" s="435" t="str">
        <f>IF('合并资产负债表 '!V45=0,"【】",TEXT(ABS('合并资产负债表 '!V45),"#,##0.00"))</f>
        <v>【】</v>
      </c>
    </row>
    <row r="2298" spans="1:3">
      <c r="A2298" s="432" t="s">
        <v>2919</v>
      </c>
      <c r="B2298" s="432" t="str">
        <f t="shared" si="35"/>
        <v>【】</v>
      </c>
      <c r="C2298" s="435" t="str">
        <f>IF('合并资产负债表 '!V46=0,"【】",TEXT(ABS('合并资产负债表 '!V46),"#,##0.00"))</f>
        <v>【】</v>
      </c>
    </row>
    <row r="2299" spans="1:3">
      <c r="A2299" s="432" t="s">
        <v>2920</v>
      </c>
      <c r="B2299" s="432" t="str">
        <f t="shared" si="35"/>
        <v>【】</v>
      </c>
      <c r="C2299" s="435" t="str">
        <f>IF('合并资产负债表 '!V47=0,"【】",TEXT(ABS('合并资产负债表 '!V47),"#,##0.00"))</f>
        <v>【】</v>
      </c>
    </row>
    <row r="2300" spans="1:3">
      <c r="A2300" s="432" t="s">
        <v>2921</v>
      </c>
      <c r="B2300" s="432" t="str">
        <f t="shared" si="35"/>
        <v>【】</v>
      </c>
      <c r="C2300" s="435" t="str">
        <f>IF('合并资产负债表 '!V48=0,"【】",TEXT(ABS('合并资产负债表 '!V48),"#,##0.00"))</f>
        <v>【】</v>
      </c>
    </row>
    <row r="2301" spans="1:3">
      <c r="A2301" s="432" t="s">
        <v>2922</v>
      </c>
      <c r="B2301" s="432" t="str">
        <f t="shared" si="35"/>
        <v>【】</v>
      </c>
      <c r="C2301" s="435" t="str">
        <f>IF('合并资产负债表 '!V49=0,"【】",TEXT(ABS('合并资产负债表 '!V49),"#,##0.00"))</f>
        <v>【】</v>
      </c>
    </row>
    <row r="2302" spans="1:3">
      <c r="A2302" s="432" t="s">
        <v>2923</v>
      </c>
      <c r="B2302" s="432" t="str">
        <f t="shared" si="35"/>
        <v>【】</v>
      </c>
      <c r="C2302" s="435" t="str">
        <f>IF('合并资产负债表 '!V50=0,"【】",TEXT(ABS('合并资产负债表 '!V50),"#,##0.00"))</f>
        <v>【】</v>
      </c>
    </row>
    <row r="2303" spans="1:3">
      <c r="A2303" s="432" t="s">
        <v>2924</v>
      </c>
      <c r="B2303" s="432" t="str">
        <f t="shared" si="35"/>
        <v>【】</v>
      </c>
      <c r="C2303" s="435" t="str">
        <f>IF('合并资产负债表 '!V51=0,"【】",TEXT(ABS('合并资产负债表 '!V51),"#,##0.00"))</f>
        <v>【】</v>
      </c>
    </row>
    <row r="2304" spans="1:3">
      <c r="A2304" s="432" t="s">
        <v>2925</v>
      </c>
      <c r="B2304" s="432" t="str">
        <f t="shared" si="35"/>
        <v>【】</v>
      </c>
      <c r="C2304" s="435" t="str">
        <f>IF('合并资产负债表 '!V52=0,"【】",TEXT(ABS('合并资产负债表 '!V52),"#,##0.00"))</f>
        <v>【】</v>
      </c>
    </row>
    <row r="2305" spans="1:3">
      <c r="A2305" s="432" t="s">
        <v>2926</v>
      </c>
      <c r="B2305" s="432" t="str">
        <f t="shared" si="35"/>
        <v>【】</v>
      </c>
      <c r="C2305" s="435" t="str">
        <f>IF('合并资产负债表 '!V53=0,"【】",TEXT(ABS('合并资产负债表 '!V53),"#,##0.00"))</f>
        <v>【】</v>
      </c>
    </row>
    <row r="2306" spans="1:3">
      <c r="A2306" s="432" t="s">
        <v>2927</v>
      </c>
      <c r="B2306" s="432" t="str">
        <f t="shared" si="35"/>
        <v>【】</v>
      </c>
      <c r="C2306" s="435" t="str">
        <f>IF('合并资产负债表 '!V54=0,"【】",TEXT(ABS('合并资产负债表 '!V54),"#,##0.00"))</f>
        <v>【】</v>
      </c>
    </row>
    <row r="2307" spans="1:3">
      <c r="A2307" s="432" t="s">
        <v>2928</v>
      </c>
      <c r="B2307" s="432" t="str">
        <f t="shared" si="35"/>
        <v>【】</v>
      </c>
      <c r="C2307" s="435" t="str">
        <f>IF('合并资产负债表 '!V56=0,"【】",TEXT(ABS('合并资产负债表 '!V56),"#,##0.00"))</f>
        <v>【】</v>
      </c>
    </row>
    <row r="2308" spans="1:3">
      <c r="A2308" s="432" t="s">
        <v>2929</v>
      </c>
      <c r="B2308" s="432" t="str">
        <f t="shared" si="35"/>
        <v>【】</v>
      </c>
      <c r="C2308" s="435" t="str">
        <f>IF('合并资产负债表 '!V57=0,"【】",TEXT(ABS('合并资产负债表 '!V57),"#,##0.00"))</f>
        <v>【】</v>
      </c>
    </row>
    <row r="2309" spans="1:3">
      <c r="A2309" s="432" t="s">
        <v>2930</v>
      </c>
      <c r="B2309" s="432" t="str">
        <f t="shared" si="35"/>
        <v>【】</v>
      </c>
      <c r="C2309" s="435" t="str">
        <f>IF('合并资产负债表 '!V58=0,"【】",TEXT(ABS('合并资产负债表 '!V58),"#,##0.00"))</f>
        <v>【】</v>
      </c>
    </row>
    <row r="2310" spans="1:3">
      <c r="A2310" s="432" t="s">
        <v>2931</v>
      </c>
      <c r="B2310" s="432" t="str">
        <f t="shared" si="35"/>
        <v>【】</v>
      </c>
      <c r="C2310" s="435" t="str">
        <f>IF('合并资产负债表 '!V59=0,"【】",TEXT(ABS('合并资产负债表 '!V59),"#,##0.00"))</f>
        <v>【】</v>
      </c>
    </row>
    <row r="2311" spans="1:3">
      <c r="A2311" s="432" t="s">
        <v>2932</v>
      </c>
      <c r="B2311" s="432" t="str">
        <f t="shared" si="35"/>
        <v>【】</v>
      </c>
      <c r="C2311" s="435" t="str">
        <f>IF('合并资产负债表 '!V60=0,"【】",TEXT(ABS('合并资产负债表 '!V60),"#,##0.00"))</f>
        <v>【】</v>
      </c>
    </row>
    <row r="2312" spans="1:3">
      <c r="A2312" s="432" t="s">
        <v>2933</v>
      </c>
      <c r="B2312" s="432" t="str">
        <f t="shared" ref="B2312:B2375" si="36">TRIM(C2312)</f>
        <v>【】</v>
      </c>
      <c r="C2312" s="435" t="str">
        <f>IF('合并资产负债表 '!V61=0,"【】",TEXT(ABS('合并资产负债表 '!V61),"#,##0.00"))</f>
        <v>【】</v>
      </c>
    </row>
    <row r="2313" spans="1:3">
      <c r="A2313" s="432" t="s">
        <v>2934</v>
      </c>
      <c r="B2313" s="432" t="str">
        <f t="shared" si="36"/>
        <v>【】</v>
      </c>
      <c r="C2313" s="435" t="str">
        <f>IF('合并资产负债表 '!V62=0,"【】",TEXT(ABS('合并资产负债表 '!V62),"#,##0.00"))</f>
        <v>【】</v>
      </c>
    </row>
    <row r="2314" spans="1:3">
      <c r="A2314" s="432" t="s">
        <v>2935</v>
      </c>
      <c r="B2314" s="432" t="str">
        <f t="shared" si="36"/>
        <v>【】</v>
      </c>
      <c r="C2314" s="435" t="str">
        <f>IF('合并资产负债表 '!V63=0,"【】",TEXT(ABS('合并资产负债表 '!V63),"#,##0.00"))</f>
        <v>【】</v>
      </c>
    </row>
    <row r="2315" spans="1:3">
      <c r="A2315" s="432" t="s">
        <v>2936</v>
      </c>
      <c r="B2315" s="432" t="str">
        <f t="shared" si="36"/>
        <v>【】</v>
      </c>
      <c r="C2315" s="435" t="str">
        <f>IF('合并资产负债表 '!V64=0,"【】",TEXT(ABS('合并资产负债表 '!V64),"#,##0.00"))</f>
        <v>【】</v>
      </c>
    </row>
    <row r="2316" spans="1:3">
      <c r="A2316" s="432" t="s">
        <v>2937</v>
      </c>
      <c r="B2316" s="432" t="str">
        <f t="shared" si="36"/>
        <v>【】</v>
      </c>
      <c r="C2316" s="435" t="str">
        <f>IF('合并资产负债表 '!V65=0,"【】",TEXT(ABS('合并资产负债表 '!V65),"#,##0.00"))</f>
        <v>【】</v>
      </c>
    </row>
    <row r="2317" spans="1:3">
      <c r="A2317" s="432" t="s">
        <v>2938</v>
      </c>
      <c r="B2317" s="432" t="str">
        <f t="shared" si="36"/>
        <v>【】</v>
      </c>
      <c r="C2317" s="435" t="str">
        <f>IF('合并资产负债表 '!V66=0,"【】",TEXT(ABS('合并资产负债表 '!V66),"#,##0.00"))</f>
        <v>【】</v>
      </c>
    </row>
    <row r="2318" spans="1:3">
      <c r="A2318" s="432" t="s">
        <v>2939</v>
      </c>
      <c r="B2318" s="432" t="str">
        <f t="shared" si="36"/>
        <v>【】</v>
      </c>
      <c r="C2318" s="435" t="str">
        <f>IF('合并资产负债表 '!V67=0,"【】",TEXT(ABS('合并资产负债表 '!V67),"#,##0.00"))</f>
        <v>【】</v>
      </c>
    </row>
    <row r="2319" spans="1:3">
      <c r="A2319" s="432" t="s">
        <v>2940</v>
      </c>
      <c r="B2319" s="432" t="str">
        <f t="shared" si="36"/>
        <v>【】</v>
      </c>
      <c r="C2319" s="435" t="str">
        <f>IF('合并资产负债表 '!V68=0,"【】",TEXT(ABS('合并资产负债表 '!V68),"#,##0.00"))</f>
        <v>【】</v>
      </c>
    </row>
    <row r="2320" spans="1:3">
      <c r="A2320" s="432" t="s">
        <v>2941</v>
      </c>
      <c r="B2320" s="432" t="str">
        <f t="shared" si="36"/>
        <v>无变化</v>
      </c>
      <c r="C2320" s="435" t="str">
        <f>注释!AB4</f>
        <v>无变化</v>
      </c>
    </row>
    <row r="2321" spans="1:3">
      <c r="A2321" s="432" t="s">
        <v>2942</v>
      </c>
      <c r="B2321" s="432" t="str">
        <f t="shared" si="36"/>
        <v>无变化</v>
      </c>
      <c r="C2321" s="435" t="str">
        <f>注释!AB5</f>
        <v>无变化</v>
      </c>
    </row>
    <row r="2322" spans="1:3">
      <c r="A2322" s="432" t="s">
        <v>2943</v>
      </c>
      <c r="B2322" s="432" t="str">
        <f t="shared" si="36"/>
        <v>无变化</v>
      </c>
      <c r="C2322" s="435" t="str">
        <f>注释!AB6</f>
        <v>无变化</v>
      </c>
    </row>
    <row r="2323" spans="1:3">
      <c r="A2323" s="432" t="s">
        <v>2944</v>
      </c>
      <c r="B2323" s="432" t="str">
        <f t="shared" si="36"/>
        <v>无变化</v>
      </c>
      <c r="C2323" s="435" t="str">
        <f>注释!AB7</f>
        <v>无变化</v>
      </c>
    </row>
    <row r="2324" spans="1:3">
      <c r="A2324" s="432" t="s">
        <v>2945</v>
      </c>
      <c r="B2324" s="432" t="str">
        <f t="shared" si="36"/>
        <v>无变化</v>
      </c>
      <c r="C2324" s="435" t="str">
        <f>注释!AB8</f>
        <v>无变化</v>
      </c>
    </row>
    <row r="2325" spans="1:3">
      <c r="A2325" s="432" t="s">
        <v>2946</v>
      </c>
      <c r="B2325" s="432" t="str">
        <f t="shared" si="36"/>
        <v>无变化</v>
      </c>
      <c r="C2325" s="435" t="str">
        <f>注释!AB9</f>
        <v>无变化</v>
      </c>
    </row>
    <row r="2326" spans="1:3">
      <c r="A2326" s="432" t="s">
        <v>2947</v>
      </c>
      <c r="B2326" s="432" t="str">
        <f t="shared" si="36"/>
        <v>无变化</v>
      </c>
      <c r="C2326" s="435" t="str">
        <f>注释!AB10</f>
        <v>无变化</v>
      </c>
    </row>
    <row r="2327" spans="1:3">
      <c r="A2327" s="432" t="s">
        <v>2948</v>
      </c>
      <c r="B2327" s="432" t="str">
        <f t="shared" si="36"/>
        <v>无变化</v>
      </c>
      <c r="C2327" s="435" t="str">
        <f>注释!AB11</f>
        <v>无变化</v>
      </c>
    </row>
    <row r="2328" spans="1:3">
      <c r="A2328" s="432" t="s">
        <v>2949</v>
      </c>
      <c r="B2328" s="432" t="str">
        <f t="shared" si="36"/>
        <v>无变化</v>
      </c>
      <c r="C2328" s="435" t="str">
        <f>注释!AB12</f>
        <v>无变化</v>
      </c>
    </row>
    <row r="2329" spans="1:3">
      <c r="A2329" s="432" t="s">
        <v>2950</v>
      </c>
      <c r="B2329" s="432" t="str">
        <f t="shared" si="36"/>
        <v>无变化</v>
      </c>
      <c r="C2329" s="435" t="str">
        <f>注释!AB13</f>
        <v>无变化</v>
      </c>
    </row>
    <row r="2330" spans="1:3">
      <c r="A2330" s="432" t="s">
        <v>2951</v>
      </c>
      <c r="B2330" s="432" t="str">
        <f t="shared" si="36"/>
        <v>无变化</v>
      </c>
      <c r="C2330" s="435" t="str">
        <f>注释!AB14</f>
        <v>无变化</v>
      </c>
    </row>
    <row r="2331" spans="1:3">
      <c r="A2331" s="432" t="s">
        <v>2952</v>
      </c>
      <c r="B2331" s="432" t="str">
        <f t="shared" si="36"/>
        <v>无变化</v>
      </c>
      <c r="C2331" s="435" t="str">
        <f>注释!AB15</f>
        <v>无变化</v>
      </c>
    </row>
    <row r="2332" spans="1:3">
      <c r="A2332" s="432" t="s">
        <v>2953</v>
      </c>
      <c r="B2332" s="432" t="str">
        <f t="shared" si="36"/>
        <v>无变化</v>
      </c>
      <c r="C2332" s="435" t="str">
        <f>注释!AB16</f>
        <v>无变化</v>
      </c>
    </row>
    <row r="2333" spans="1:3">
      <c r="A2333" s="432" t="s">
        <v>2954</v>
      </c>
      <c r="B2333" s="432" t="str">
        <f t="shared" si="36"/>
        <v>无变化</v>
      </c>
      <c r="C2333" s="435" t="str">
        <f>注释!AB17</f>
        <v>无变化</v>
      </c>
    </row>
    <row r="2334" spans="1:3">
      <c r="A2334" s="432" t="s">
        <v>2955</v>
      </c>
      <c r="B2334" s="432" t="str">
        <f t="shared" si="36"/>
        <v>无变化</v>
      </c>
      <c r="C2334" s="435" t="str">
        <f>注释!AB18</f>
        <v>无变化</v>
      </c>
    </row>
    <row r="2335" spans="1:3">
      <c r="A2335" s="432" t="s">
        <v>2956</v>
      </c>
      <c r="B2335" s="432" t="str">
        <f t="shared" si="36"/>
        <v>无变化</v>
      </c>
      <c r="C2335" s="435" t="str">
        <f>注释!AB20</f>
        <v>无变化</v>
      </c>
    </row>
    <row r="2336" spans="1:3">
      <c r="A2336" s="432" t="s">
        <v>2957</v>
      </c>
      <c r="B2336" s="432" t="str">
        <f t="shared" si="36"/>
        <v>无变化</v>
      </c>
      <c r="C2336" s="435" t="str">
        <f>注释!AB21</f>
        <v>无变化</v>
      </c>
    </row>
    <row r="2337" spans="1:3">
      <c r="A2337" s="432" t="s">
        <v>2958</v>
      </c>
      <c r="B2337" s="432" t="str">
        <f t="shared" si="36"/>
        <v>无变化</v>
      </c>
      <c r="C2337" s="435" t="str">
        <f>注释!AB22</f>
        <v>无变化</v>
      </c>
    </row>
    <row r="2338" spans="1:3">
      <c r="A2338" s="432" t="s">
        <v>2959</v>
      </c>
      <c r="B2338" s="432" t="str">
        <f t="shared" si="36"/>
        <v>无变化</v>
      </c>
      <c r="C2338" s="435" t="str">
        <f>注释!AB23</f>
        <v>无变化</v>
      </c>
    </row>
    <row r="2339" spans="1:3">
      <c r="A2339" s="432" t="s">
        <v>2960</v>
      </c>
      <c r="B2339" s="432" t="str">
        <f t="shared" si="36"/>
        <v>无变化</v>
      </c>
      <c r="C2339" s="435" t="str">
        <f>注释!AB24</f>
        <v>无变化</v>
      </c>
    </row>
    <row r="2340" spans="1:3">
      <c r="A2340" s="432" t="s">
        <v>2961</v>
      </c>
      <c r="B2340" s="432" t="str">
        <f t="shared" si="36"/>
        <v>无变化</v>
      </c>
      <c r="C2340" s="435" t="str">
        <f>注释!AB25</f>
        <v>无变化</v>
      </c>
    </row>
    <row r="2341" spans="1:3">
      <c r="A2341" s="432" t="s">
        <v>2962</v>
      </c>
      <c r="B2341" s="432" t="str">
        <f t="shared" si="36"/>
        <v>无变化</v>
      </c>
      <c r="C2341" s="435" t="str">
        <f>注释!AB26</f>
        <v>无变化</v>
      </c>
    </row>
    <row r="2342" spans="1:3">
      <c r="A2342" s="432" t="s">
        <v>2963</v>
      </c>
      <c r="B2342" s="432" t="str">
        <f t="shared" si="36"/>
        <v>无变化</v>
      </c>
      <c r="C2342" s="435" t="str">
        <f>注释!AB27</f>
        <v>无变化</v>
      </c>
    </row>
    <row r="2343" spans="1:3">
      <c r="A2343" s="432" t="s">
        <v>2964</v>
      </c>
      <c r="B2343" s="432" t="str">
        <f t="shared" si="36"/>
        <v>无变化</v>
      </c>
      <c r="C2343" s="435" t="str">
        <f>注释!AB28</f>
        <v>无变化</v>
      </c>
    </row>
    <row r="2344" spans="1:3">
      <c r="A2344" s="432" t="s">
        <v>2965</v>
      </c>
      <c r="B2344" s="432" t="str">
        <f t="shared" si="36"/>
        <v>无变化</v>
      </c>
      <c r="C2344" s="435" t="str">
        <f>注释!AB29</f>
        <v>无变化</v>
      </c>
    </row>
    <row r="2345" spans="1:3">
      <c r="A2345" s="432" t="s">
        <v>2966</v>
      </c>
      <c r="B2345" s="432" t="str">
        <f t="shared" si="36"/>
        <v>无变化</v>
      </c>
      <c r="C2345" s="435" t="str">
        <f>注释!AB30</f>
        <v>无变化</v>
      </c>
    </row>
    <row r="2346" spans="1:3">
      <c r="A2346" s="432" t="s">
        <v>2967</v>
      </c>
      <c r="B2346" s="432" t="str">
        <f t="shared" si="36"/>
        <v>无变化</v>
      </c>
      <c r="C2346" s="435" t="str">
        <f>注释!AB31</f>
        <v>无变化</v>
      </c>
    </row>
    <row r="2347" spans="1:3">
      <c r="A2347" s="432" t="s">
        <v>2968</v>
      </c>
      <c r="B2347" s="432" t="str">
        <f t="shared" si="36"/>
        <v>无变化</v>
      </c>
      <c r="C2347" s="435" t="str">
        <f>注释!AB32</f>
        <v>无变化</v>
      </c>
    </row>
    <row r="2348" spans="1:3">
      <c r="A2348" s="432" t="s">
        <v>2969</v>
      </c>
      <c r="B2348" s="432" t="str">
        <f t="shared" si="36"/>
        <v>无变化</v>
      </c>
      <c r="C2348" s="435" t="str">
        <f>注释!AB33</f>
        <v>无变化</v>
      </c>
    </row>
    <row r="2349" spans="1:3">
      <c r="A2349" s="432" t="s">
        <v>2970</v>
      </c>
      <c r="B2349" s="432" t="str">
        <f t="shared" si="36"/>
        <v>无变化</v>
      </c>
      <c r="C2349" s="435" t="str">
        <f>注释!AB34</f>
        <v>无变化</v>
      </c>
    </row>
    <row r="2350" spans="1:3">
      <c r="A2350" s="432" t="s">
        <v>2971</v>
      </c>
      <c r="B2350" s="432" t="str">
        <f t="shared" si="36"/>
        <v>无变化</v>
      </c>
      <c r="C2350" s="435" t="str">
        <f>注释!AB35</f>
        <v>无变化</v>
      </c>
    </row>
    <row r="2351" spans="1:3">
      <c r="A2351" s="432" t="s">
        <v>2972</v>
      </c>
      <c r="B2351" s="432" t="str">
        <f t="shared" si="36"/>
        <v>无变化</v>
      </c>
      <c r="C2351" s="435" t="str">
        <f>注释!AB36</f>
        <v>无变化</v>
      </c>
    </row>
    <row r="2352" spans="1:3">
      <c r="A2352" s="432" t="s">
        <v>2973</v>
      </c>
      <c r="B2352" s="432" t="str">
        <f t="shared" si="36"/>
        <v>无变化</v>
      </c>
      <c r="C2352" s="435" t="str">
        <f>注释!AB38</f>
        <v>无变化</v>
      </c>
    </row>
    <row r="2353" spans="1:3">
      <c r="A2353" s="432" t="s">
        <v>2974</v>
      </c>
      <c r="B2353" s="432" t="str">
        <f t="shared" si="36"/>
        <v>无变化</v>
      </c>
      <c r="C2353" s="435" t="str">
        <f>注释!AB39</f>
        <v>无变化</v>
      </c>
    </row>
    <row r="2354" spans="1:3">
      <c r="A2354" s="432" t="s">
        <v>2975</v>
      </c>
      <c r="B2354" s="432" t="str">
        <f t="shared" si="36"/>
        <v>无变化</v>
      </c>
      <c r="C2354" s="435" t="str">
        <f>注释!AB40</f>
        <v>无变化</v>
      </c>
    </row>
    <row r="2355" spans="1:3">
      <c r="A2355" s="432" t="s">
        <v>2976</v>
      </c>
      <c r="B2355" s="432" t="str">
        <f t="shared" si="36"/>
        <v>无变化</v>
      </c>
      <c r="C2355" s="435" t="str">
        <f>注释!AB41</f>
        <v>无变化</v>
      </c>
    </row>
    <row r="2356" spans="1:3">
      <c r="A2356" s="432" t="s">
        <v>2977</v>
      </c>
      <c r="B2356" s="432" t="str">
        <f t="shared" si="36"/>
        <v>无变化</v>
      </c>
      <c r="C2356" s="435" t="str">
        <f>注释!AB42</f>
        <v>无变化</v>
      </c>
    </row>
    <row r="2357" spans="1:3">
      <c r="A2357" s="432" t="s">
        <v>2978</v>
      </c>
      <c r="B2357" s="432" t="str">
        <f t="shared" si="36"/>
        <v>无变化</v>
      </c>
      <c r="C2357" s="435" t="str">
        <f>注释!AB43</f>
        <v>无变化</v>
      </c>
    </row>
    <row r="2358" spans="1:3">
      <c r="A2358" s="432" t="s">
        <v>2979</v>
      </c>
      <c r="B2358" s="432" t="str">
        <f t="shared" si="36"/>
        <v>无变化</v>
      </c>
      <c r="C2358" s="435" t="str">
        <f>注释!AB44</f>
        <v>无变化</v>
      </c>
    </row>
    <row r="2359" spans="1:3">
      <c r="A2359" s="432" t="s">
        <v>2980</v>
      </c>
      <c r="B2359" s="432" t="str">
        <f t="shared" si="36"/>
        <v>无变化</v>
      </c>
      <c r="C2359" s="435" t="str">
        <f>注释!AB45</f>
        <v>无变化</v>
      </c>
    </row>
    <row r="2360" spans="1:3">
      <c r="A2360" s="432" t="s">
        <v>2981</v>
      </c>
      <c r="B2360" s="432" t="str">
        <f t="shared" si="36"/>
        <v>无变化</v>
      </c>
      <c r="C2360" s="435" t="str">
        <f>注释!AB46</f>
        <v>无变化</v>
      </c>
    </row>
    <row r="2361" spans="1:3">
      <c r="A2361" s="432" t="s">
        <v>2982</v>
      </c>
      <c r="B2361" s="432" t="str">
        <f t="shared" si="36"/>
        <v>无变化</v>
      </c>
      <c r="C2361" s="435" t="str">
        <f>注释!AB47</f>
        <v>无变化</v>
      </c>
    </row>
    <row r="2362" spans="1:3">
      <c r="A2362" s="432" t="s">
        <v>2983</v>
      </c>
      <c r="B2362" s="432" t="str">
        <f t="shared" si="36"/>
        <v>无变化</v>
      </c>
      <c r="C2362" s="435" t="str">
        <f>注释!AB48</f>
        <v>无变化</v>
      </c>
    </row>
    <row r="2363" spans="1:3">
      <c r="A2363" s="432" t="s">
        <v>2984</v>
      </c>
      <c r="B2363" s="432" t="str">
        <f t="shared" si="36"/>
        <v>无变化</v>
      </c>
      <c r="C2363" s="435" t="str">
        <f>注释!AB49</f>
        <v>无变化</v>
      </c>
    </row>
    <row r="2364" spans="1:3">
      <c r="A2364" s="432" t="s">
        <v>2985</v>
      </c>
      <c r="B2364" s="432" t="str">
        <f t="shared" si="36"/>
        <v>无变化</v>
      </c>
      <c r="C2364" s="435" t="str">
        <f>注释!AB50</f>
        <v>无变化</v>
      </c>
    </row>
    <row r="2365" spans="1:3">
      <c r="A2365" s="432" t="s">
        <v>2986</v>
      </c>
      <c r="B2365" s="432" t="str">
        <f t="shared" si="36"/>
        <v>无变化</v>
      </c>
      <c r="C2365" s="435" t="str">
        <f>注释!AB51</f>
        <v>无变化</v>
      </c>
    </row>
    <row r="2366" spans="1:3">
      <c r="A2366" s="432" t="s">
        <v>2987</v>
      </c>
      <c r="B2366" s="432" t="str">
        <f t="shared" si="36"/>
        <v>无变化</v>
      </c>
      <c r="C2366" s="435" t="str">
        <f>注释!AB52</f>
        <v>无变化</v>
      </c>
    </row>
    <row r="2367" spans="1:3">
      <c r="A2367" s="432" t="s">
        <v>2988</v>
      </c>
      <c r="B2367" s="432" t="str">
        <f t="shared" si="36"/>
        <v>无变化</v>
      </c>
      <c r="C2367" s="435" t="str">
        <f>注释!AB53</f>
        <v>无变化</v>
      </c>
    </row>
    <row r="2368" spans="1:3">
      <c r="A2368" s="432" t="s">
        <v>2989</v>
      </c>
      <c r="B2368" s="432" t="str">
        <f t="shared" si="36"/>
        <v>无变化</v>
      </c>
      <c r="C2368" s="435" t="str">
        <f>注释!AB55</f>
        <v>无变化</v>
      </c>
    </row>
    <row r="2369" spans="1:3">
      <c r="A2369" s="432" t="s">
        <v>2990</v>
      </c>
      <c r="B2369" s="432" t="str">
        <f t="shared" si="36"/>
        <v>无变化</v>
      </c>
      <c r="C2369" s="435" t="str">
        <f>注释!AB56</f>
        <v>无变化</v>
      </c>
    </row>
    <row r="2370" spans="1:3">
      <c r="A2370" s="432" t="s">
        <v>2991</v>
      </c>
      <c r="B2370" s="432" t="str">
        <f t="shared" si="36"/>
        <v>无变化</v>
      </c>
      <c r="C2370" s="435" t="str">
        <f>注释!AB57</f>
        <v>无变化</v>
      </c>
    </row>
    <row r="2371" spans="1:3">
      <c r="A2371" s="432" t="s">
        <v>2992</v>
      </c>
      <c r="B2371" s="432" t="str">
        <f t="shared" si="36"/>
        <v>无变化</v>
      </c>
      <c r="C2371" s="435" t="str">
        <f>注释!AB58</f>
        <v>无变化</v>
      </c>
    </row>
    <row r="2372" spans="1:3">
      <c r="A2372" s="432" t="s">
        <v>2993</v>
      </c>
      <c r="B2372" s="432" t="str">
        <f t="shared" si="36"/>
        <v>无变化</v>
      </c>
      <c r="C2372" s="435" t="str">
        <f>注释!AB59</f>
        <v>无变化</v>
      </c>
    </row>
    <row r="2373" spans="1:3">
      <c r="A2373" s="432" t="s">
        <v>2994</v>
      </c>
      <c r="B2373" s="432" t="str">
        <f t="shared" si="36"/>
        <v>无变化</v>
      </c>
      <c r="C2373" s="435" t="str">
        <f>注释!AB60</f>
        <v>无变化</v>
      </c>
    </row>
    <row r="2374" spans="1:3">
      <c r="A2374" s="432" t="s">
        <v>2995</v>
      </c>
      <c r="B2374" s="432" t="str">
        <f t="shared" si="36"/>
        <v>无变化</v>
      </c>
      <c r="C2374" s="435" t="str">
        <f>注释!AB61</f>
        <v>无变化</v>
      </c>
    </row>
    <row r="2375" spans="1:3">
      <c r="A2375" s="432" t="s">
        <v>2996</v>
      </c>
      <c r="B2375" s="432" t="str">
        <f t="shared" si="36"/>
        <v>无变化</v>
      </c>
      <c r="C2375" s="435" t="str">
        <f>注释!AB62</f>
        <v>无变化</v>
      </c>
    </row>
    <row r="2376" spans="1:3">
      <c r="A2376" s="432" t="s">
        <v>2997</v>
      </c>
      <c r="B2376" s="432" t="str">
        <f t="shared" ref="B2376:B2439" si="37">TRIM(C2376)</f>
        <v>无变化</v>
      </c>
      <c r="C2376" s="435" t="str">
        <f>注释!AB63</f>
        <v>无变化</v>
      </c>
    </row>
    <row r="2377" spans="1:3">
      <c r="A2377" s="432" t="s">
        <v>2998</v>
      </c>
      <c r="B2377" s="432" t="str">
        <f t="shared" si="37"/>
        <v>无变化</v>
      </c>
      <c r="C2377" s="435" t="str">
        <f>注释!AB64</f>
        <v>无变化</v>
      </c>
    </row>
    <row r="2378" spans="1:3">
      <c r="A2378" s="432" t="s">
        <v>2999</v>
      </c>
      <c r="B2378" s="432" t="str">
        <f t="shared" si="37"/>
        <v>无变化</v>
      </c>
      <c r="C2378" s="435" t="str">
        <f>注释!AB65</f>
        <v>无变化</v>
      </c>
    </row>
    <row r="2379" spans="1:3">
      <c r="A2379" s="432" t="s">
        <v>3000</v>
      </c>
      <c r="B2379" s="432" t="str">
        <f t="shared" si="37"/>
        <v>无变化</v>
      </c>
      <c r="C2379" s="435" t="str">
        <f>注释!AB66</f>
        <v>无变化</v>
      </c>
    </row>
    <row r="2380" spans="1:3">
      <c r="A2380" s="432" t="s">
        <v>3001</v>
      </c>
      <c r="B2380" s="432" t="str">
        <f t="shared" si="37"/>
        <v>无变化</v>
      </c>
      <c r="C2380" s="435" t="str">
        <f>注释!AB67</f>
        <v>无变化</v>
      </c>
    </row>
    <row r="2381" spans="1:3">
      <c r="A2381" s="432" t="s">
        <v>3002</v>
      </c>
      <c r="B2381" s="432" t="e">
        <f t="shared" si="37"/>
        <v>#DIV/0!</v>
      </c>
      <c r="C2381" s="435" t="e">
        <f>IF('合并资产负债表 '!W5=0,"【】",TEXT(ABS('合并资产负债表 '!W5),"#,##0.00"))</f>
        <v>#DIV/0!</v>
      </c>
    </row>
    <row r="2382" spans="1:3">
      <c r="A2382" s="432" t="s">
        <v>3003</v>
      </c>
      <c r="B2382" s="432" t="e">
        <f t="shared" si="37"/>
        <v>#DIV/0!</v>
      </c>
      <c r="C2382" s="435" t="e">
        <f>IF('合并资产负债表 '!W6=0,"【】",TEXT(ABS('合并资产负债表 '!W6),"#,##0.00"))</f>
        <v>#DIV/0!</v>
      </c>
    </row>
    <row r="2383" spans="1:3">
      <c r="A2383" s="432" t="s">
        <v>3004</v>
      </c>
      <c r="B2383" s="432" t="e">
        <f t="shared" si="37"/>
        <v>#DIV/0!</v>
      </c>
      <c r="C2383" s="435" t="e">
        <f>IF('合并资产负债表 '!W7=0,"【】",TEXT(ABS('合并资产负债表 '!W7),"#,##0.00"))</f>
        <v>#DIV/0!</v>
      </c>
    </row>
    <row r="2384" spans="1:3">
      <c r="A2384" s="432" t="s">
        <v>3005</v>
      </c>
      <c r="B2384" s="432" t="e">
        <f t="shared" si="37"/>
        <v>#DIV/0!</v>
      </c>
      <c r="C2384" s="435" t="e">
        <f>IF('合并资产负债表 '!W8=0,"【】",TEXT(ABS('合并资产负债表 '!W8),"#,##0.00"))</f>
        <v>#DIV/0!</v>
      </c>
    </row>
    <row r="2385" spans="1:3">
      <c r="A2385" s="432" t="s">
        <v>3006</v>
      </c>
      <c r="B2385" s="432" t="e">
        <f t="shared" si="37"/>
        <v>#DIV/0!</v>
      </c>
      <c r="C2385" s="435" t="e">
        <f>IF('合并资产负债表 '!W9=0,"【】",TEXT(ABS('合并资产负债表 '!W9),"#,##0.00"))</f>
        <v>#DIV/0!</v>
      </c>
    </row>
    <row r="2386" spans="1:3">
      <c r="A2386" s="432" t="s">
        <v>3007</v>
      </c>
      <c r="B2386" s="432" t="e">
        <f t="shared" si="37"/>
        <v>#DIV/0!</v>
      </c>
      <c r="C2386" s="435" t="e">
        <f>IF('合并资产负债表 '!W10=0,"【】",TEXT(ABS('合并资产负债表 '!W10),"#,##0.00"))</f>
        <v>#DIV/0!</v>
      </c>
    </row>
    <row r="2387" spans="1:3">
      <c r="A2387" s="432" t="s">
        <v>3008</v>
      </c>
      <c r="B2387" s="432" t="e">
        <f t="shared" si="37"/>
        <v>#DIV/0!</v>
      </c>
      <c r="C2387" s="435" t="e">
        <f>IF('合并资产负债表 '!W11=0,"【】",TEXT(ABS('合并资产负债表 '!W11),"#,##0.00"))</f>
        <v>#DIV/0!</v>
      </c>
    </row>
    <row r="2388" spans="1:3">
      <c r="A2388" s="432" t="s">
        <v>3009</v>
      </c>
      <c r="B2388" s="432" t="e">
        <f t="shared" si="37"/>
        <v>#DIV/0!</v>
      </c>
      <c r="C2388" s="435" t="e">
        <f>IF('合并资产负债表 '!W12=0,"【】",TEXT(ABS('合并资产负债表 '!W12),"#,##0.00"))</f>
        <v>#DIV/0!</v>
      </c>
    </row>
    <row r="2389" spans="1:3">
      <c r="A2389" s="432" t="s">
        <v>3010</v>
      </c>
      <c r="B2389" s="432" t="e">
        <f t="shared" si="37"/>
        <v>#DIV/0!</v>
      </c>
      <c r="C2389" s="435" t="e">
        <f>IF('合并资产负债表 '!W13=0,"【】",TEXT(ABS('合并资产负债表 '!W13),"#,##0.00"))</f>
        <v>#DIV/0!</v>
      </c>
    </row>
    <row r="2390" spans="1:3">
      <c r="A2390" s="432" t="s">
        <v>3011</v>
      </c>
      <c r="B2390" s="432" t="e">
        <f t="shared" si="37"/>
        <v>#DIV/0!</v>
      </c>
      <c r="C2390" s="435" t="e">
        <f>IF('合并资产负债表 '!W14=0,"【】",TEXT(ABS('合并资产负债表 '!W14),"#,##0.00"))</f>
        <v>#DIV/0!</v>
      </c>
    </row>
    <row r="2391" spans="1:3">
      <c r="A2391" s="432" t="s">
        <v>3012</v>
      </c>
      <c r="B2391" s="432" t="e">
        <f t="shared" si="37"/>
        <v>#DIV/0!</v>
      </c>
      <c r="C2391" s="435" t="e">
        <f>IF('合并资产负债表 '!W15=0,"【】",TEXT(ABS('合并资产负债表 '!W15),"#,##0.00"))</f>
        <v>#DIV/0!</v>
      </c>
    </row>
    <row r="2392" spans="1:3">
      <c r="A2392" s="432" t="s">
        <v>3013</v>
      </c>
      <c r="B2392" s="432" t="e">
        <f t="shared" si="37"/>
        <v>#DIV/0!</v>
      </c>
      <c r="C2392" s="435" t="e">
        <f>IF('合并资产负债表 '!W16=0,"【】",TEXT(ABS('合并资产负债表 '!W16),"#,##0.00"))</f>
        <v>#DIV/0!</v>
      </c>
    </row>
    <row r="2393" spans="1:3">
      <c r="A2393" s="432" t="s">
        <v>3014</v>
      </c>
      <c r="B2393" s="432" t="e">
        <f t="shared" si="37"/>
        <v>#DIV/0!</v>
      </c>
      <c r="C2393" s="435" t="e">
        <f>IF('合并资产负债表 '!W17=0,"【】",TEXT(ABS('合并资产负债表 '!W17),"#,##0.00"))</f>
        <v>#DIV/0!</v>
      </c>
    </row>
    <row r="2394" spans="1:3">
      <c r="A2394" s="432" t="s">
        <v>3015</v>
      </c>
      <c r="B2394" s="432" t="e">
        <f t="shared" si="37"/>
        <v>#DIV/0!</v>
      </c>
      <c r="C2394" s="435" t="e">
        <f>IF('合并资产负债表 '!W18=0,"【】",TEXT(ABS('合并资产负债表 '!W18),"#,##0.00"))</f>
        <v>#DIV/0!</v>
      </c>
    </row>
    <row r="2395" spans="1:3">
      <c r="A2395" s="432" t="s">
        <v>3016</v>
      </c>
      <c r="B2395" s="432" t="e">
        <f t="shared" si="37"/>
        <v>#DIV/0!</v>
      </c>
      <c r="C2395" s="435" t="e">
        <f>IF('合并资产负债表 '!W19=0,"【】",TEXT(ABS('合并资产负债表 '!W19),"#,##0.00"))</f>
        <v>#DIV/0!</v>
      </c>
    </row>
    <row r="2396" spans="1:3">
      <c r="A2396" s="432" t="s">
        <v>3017</v>
      </c>
      <c r="B2396" s="432" t="e">
        <f t="shared" si="37"/>
        <v>#DIV/0!</v>
      </c>
      <c r="C2396" s="435" t="e">
        <f>IF('合并资产负债表 '!W21=0,"【】",TEXT(ABS('合并资产负债表 '!W21),"#,##0.00"))</f>
        <v>#DIV/0!</v>
      </c>
    </row>
    <row r="2397" spans="1:3">
      <c r="A2397" s="432" t="s">
        <v>3018</v>
      </c>
      <c r="B2397" s="432" t="e">
        <f t="shared" si="37"/>
        <v>#DIV/0!</v>
      </c>
      <c r="C2397" s="435" t="e">
        <f>IF('合并资产负债表 '!W22=0,"【】",TEXT(ABS('合并资产负债表 '!W22),"#,##0.00"))</f>
        <v>#DIV/0!</v>
      </c>
    </row>
    <row r="2398" spans="1:3">
      <c r="A2398" s="432" t="s">
        <v>3019</v>
      </c>
      <c r="B2398" s="432" t="e">
        <f t="shared" si="37"/>
        <v>#DIV/0!</v>
      </c>
      <c r="C2398" s="435" t="e">
        <f>IF('合并资产负债表 '!W23=0,"【】",TEXT(ABS('合并资产负债表 '!W23),"#,##0.00"))</f>
        <v>#DIV/0!</v>
      </c>
    </row>
    <row r="2399" spans="1:3">
      <c r="A2399" s="432" t="s">
        <v>3020</v>
      </c>
      <c r="B2399" s="432" t="e">
        <f t="shared" si="37"/>
        <v>#DIV/0!</v>
      </c>
      <c r="C2399" s="435" t="e">
        <f>IF('合并资产负债表 '!W24=0,"【】",TEXT(ABS('合并资产负债表 '!W24),"#,##0.00"))</f>
        <v>#DIV/0!</v>
      </c>
    </row>
    <row r="2400" spans="1:3">
      <c r="A2400" s="432" t="s">
        <v>3021</v>
      </c>
      <c r="B2400" s="432" t="e">
        <f t="shared" si="37"/>
        <v>#DIV/0!</v>
      </c>
      <c r="C2400" s="435" t="e">
        <f>IF('合并资产负债表 '!W25=0,"【】",TEXT(ABS('合并资产负债表 '!W25),"#,##0.00"))</f>
        <v>#DIV/0!</v>
      </c>
    </row>
    <row r="2401" spans="1:3">
      <c r="A2401" s="432" t="s">
        <v>3022</v>
      </c>
      <c r="B2401" s="432" t="e">
        <f t="shared" si="37"/>
        <v>#DIV/0!</v>
      </c>
      <c r="C2401" s="435" t="e">
        <f>IF('合并资产负债表 '!W26=0,"【】",TEXT(ABS('合并资产负债表 '!W26),"#,##0.00"))</f>
        <v>#DIV/0!</v>
      </c>
    </row>
    <row r="2402" spans="1:3">
      <c r="A2402" s="432" t="s">
        <v>3023</v>
      </c>
      <c r="B2402" s="432" t="e">
        <f t="shared" si="37"/>
        <v>#DIV/0!</v>
      </c>
      <c r="C2402" s="435" t="e">
        <f>IF('合并资产负债表 '!W27=0,"【】",TEXT(ABS('合并资产负债表 '!W27),"#,##0.00"))</f>
        <v>#DIV/0!</v>
      </c>
    </row>
    <row r="2403" spans="1:3">
      <c r="A2403" s="432" t="s">
        <v>3024</v>
      </c>
      <c r="B2403" s="432" t="e">
        <f t="shared" si="37"/>
        <v>#DIV/0!</v>
      </c>
      <c r="C2403" s="435" t="e">
        <f>IF('合并资产负债表 '!W28=0,"【】",TEXT(ABS('合并资产负债表 '!W28),"#,##0.00"))</f>
        <v>#DIV/0!</v>
      </c>
    </row>
    <row r="2404" spans="1:3">
      <c r="A2404" s="432" t="s">
        <v>3025</v>
      </c>
      <c r="B2404" s="432" t="e">
        <f t="shared" si="37"/>
        <v>#DIV/0!</v>
      </c>
      <c r="C2404" s="435" t="e">
        <f>IF('合并资产负债表 '!W29=0,"【】",TEXT(ABS('合并资产负债表 '!W29),"#,##0.00"))</f>
        <v>#DIV/0!</v>
      </c>
    </row>
    <row r="2405" spans="1:3">
      <c r="A2405" s="432" t="s">
        <v>3026</v>
      </c>
      <c r="B2405" s="432" t="e">
        <f t="shared" si="37"/>
        <v>#DIV/0!</v>
      </c>
      <c r="C2405" s="435" t="e">
        <f>IF('合并资产负债表 '!W30=0,"【】",TEXT(ABS('合并资产负债表 '!W30),"#,##0.00"))</f>
        <v>#DIV/0!</v>
      </c>
    </row>
    <row r="2406" spans="1:3">
      <c r="A2406" s="432" t="s">
        <v>3027</v>
      </c>
      <c r="B2406" s="432" t="e">
        <f t="shared" si="37"/>
        <v>#DIV/0!</v>
      </c>
      <c r="C2406" s="435" t="e">
        <f>IF('合并资产负债表 '!W31=0,"【】",TEXT(ABS('合并资产负债表 '!W31),"#,##0.00"))</f>
        <v>#DIV/0!</v>
      </c>
    </row>
    <row r="2407" spans="1:3">
      <c r="A2407" s="432" t="s">
        <v>3028</v>
      </c>
      <c r="B2407" s="432" t="e">
        <f t="shared" si="37"/>
        <v>#DIV/0!</v>
      </c>
      <c r="C2407" s="435" t="e">
        <f>IF('合并资产负债表 '!W32=0,"【】",TEXT(ABS('合并资产负债表 '!W32),"#,##0.00"))</f>
        <v>#DIV/0!</v>
      </c>
    </row>
    <row r="2408" spans="1:3">
      <c r="A2408" s="432" t="s">
        <v>3029</v>
      </c>
      <c r="B2408" s="432" t="e">
        <f t="shared" si="37"/>
        <v>#DIV/0!</v>
      </c>
      <c r="C2408" s="435" t="e">
        <f>IF('合并资产负债表 '!W33=0,"【】",TEXT(ABS('合并资产负债表 '!W33),"#,##0.00"))</f>
        <v>#DIV/0!</v>
      </c>
    </row>
    <row r="2409" spans="1:3">
      <c r="A2409" s="432" t="s">
        <v>3030</v>
      </c>
      <c r="B2409" s="432" t="e">
        <f t="shared" si="37"/>
        <v>#DIV/0!</v>
      </c>
      <c r="C2409" s="435" t="e">
        <f>IF('合并资产负债表 '!W34=0,"【】",TEXT(ABS('合并资产负债表 '!W34),"#,##0.00"))</f>
        <v>#DIV/0!</v>
      </c>
    </row>
    <row r="2410" spans="1:3">
      <c r="A2410" s="432" t="s">
        <v>3031</v>
      </c>
      <c r="B2410" s="432" t="e">
        <f t="shared" si="37"/>
        <v>#DIV/0!</v>
      </c>
      <c r="C2410" s="435" t="e">
        <f>IF('合并资产负债表 '!W35=0,"【】",TEXT(ABS('合并资产负债表 '!W35),"#,##0.00"))</f>
        <v>#DIV/0!</v>
      </c>
    </row>
    <row r="2411" spans="1:3">
      <c r="A2411" s="432" t="s">
        <v>3032</v>
      </c>
      <c r="B2411" s="432" t="e">
        <f t="shared" si="37"/>
        <v>#DIV/0!</v>
      </c>
      <c r="C2411" s="435" t="e">
        <f>IF('合并资产负债表 '!W36=0,"【】",TEXT(ABS('合并资产负债表 '!W36),"#,##0.00"))</f>
        <v>#DIV/0!</v>
      </c>
    </row>
    <row r="2412" spans="1:3">
      <c r="A2412" s="432" t="s">
        <v>3033</v>
      </c>
      <c r="B2412" s="432" t="e">
        <f t="shared" si="37"/>
        <v>#DIV/0!</v>
      </c>
      <c r="C2412" s="435" t="e">
        <f>IF('合并资产负债表 '!W37=0,"【】",TEXT(ABS('合并资产负债表 '!W37),"#,##0.00"))</f>
        <v>#DIV/0!</v>
      </c>
    </row>
    <row r="2413" spans="1:3">
      <c r="A2413" s="432" t="s">
        <v>3034</v>
      </c>
      <c r="B2413" s="432" t="e">
        <f t="shared" si="37"/>
        <v>#DIV/0!</v>
      </c>
      <c r="C2413" s="435" t="e">
        <f>IF('合并资产负债表 '!W39=0,"【】",TEXT(ABS('合并资产负债表 '!W39),"#,##0.00"))</f>
        <v>#DIV/0!</v>
      </c>
    </row>
    <row r="2414" spans="1:3">
      <c r="A2414" s="432" t="s">
        <v>3035</v>
      </c>
      <c r="B2414" s="432" t="e">
        <f t="shared" si="37"/>
        <v>#DIV/0!</v>
      </c>
      <c r="C2414" s="435" t="e">
        <f>IF('合并资产负债表 '!W40=0,"【】",TEXT(ABS('合并资产负债表 '!W40),"#,##0.00"))</f>
        <v>#DIV/0!</v>
      </c>
    </row>
    <row r="2415" spans="1:3">
      <c r="A2415" s="432" t="s">
        <v>3036</v>
      </c>
      <c r="B2415" s="432" t="e">
        <f t="shared" si="37"/>
        <v>#DIV/0!</v>
      </c>
      <c r="C2415" s="435" t="e">
        <f>IF('合并资产负债表 '!W41=0,"【】",TEXT(ABS('合并资产负债表 '!W41),"#,##0.00"))</f>
        <v>#DIV/0!</v>
      </c>
    </row>
    <row r="2416" spans="1:3">
      <c r="A2416" s="432" t="s">
        <v>3037</v>
      </c>
      <c r="B2416" s="432" t="e">
        <f t="shared" si="37"/>
        <v>#DIV/0!</v>
      </c>
      <c r="C2416" s="435" t="e">
        <f>IF('合并资产负债表 '!W42=0,"【】",TEXT(ABS('合并资产负债表 '!W42),"#,##0.00"))</f>
        <v>#DIV/0!</v>
      </c>
    </row>
    <row r="2417" spans="1:3">
      <c r="A2417" s="432" t="s">
        <v>3038</v>
      </c>
      <c r="B2417" s="432" t="e">
        <f t="shared" si="37"/>
        <v>#DIV/0!</v>
      </c>
      <c r="C2417" s="435" t="e">
        <f>IF('合并资产负债表 '!W43=0,"【】",TEXT(ABS('合并资产负债表 '!W43),"#,##0.00"))</f>
        <v>#DIV/0!</v>
      </c>
    </row>
    <row r="2418" spans="1:3">
      <c r="A2418" s="432" t="s">
        <v>3039</v>
      </c>
      <c r="B2418" s="432" t="e">
        <f t="shared" si="37"/>
        <v>#DIV/0!</v>
      </c>
      <c r="C2418" s="435" t="e">
        <f>IF('合并资产负债表 '!W44=0,"【】",TEXT(ABS('合并资产负债表 '!W44),"#,##0.00"))</f>
        <v>#DIV/0!</v>
      </c>
    </row>
    <row r="2419" spans="1:3">
      <c r="A2419" s="432" t="s">
        <v>3040</v>
      </c>
      <c r="B2419" s="432" t="e">
        <f t="shared" si="37"/>
        <v>#DIV/0!</v>
      </c>
      <c r="C2419" s="435" t="e">
        <f>IF('合并资产负债表 '!W45=0,"【】",TEXT(ABS('合并资产负债表 '!W45),"#,##0.00"))</f>
        <v>#DIV/0!</v>
      </c>
    </row>
    <row r="2420" spans="1:3">
      <c r="A2420" s="432" t="s">
        <v>3041</v>
      </c>
      <c r="B2420" s="432" t="e">
        <f t="shared" si="37"/>
        <v>#DIV/0!</v>
      </c>
      <c r="C2420" s="435" t="e">
        <f>IF('合并资产负债表 '!W46=0,"【】",TEXT(ABS('合并资产负债表 '!W46),"#,##0.00"))</f>
        <v>#DIV/0!</v>
      </c>
    </row>
    <row r="2421" spans="1:3">
      <c r="A2421" s="432" t="s">
        <v>3042</v>
      </c>
      <c r="B2421" s="432" t="e">
        <f t="shared" si="37"/>
        <v>#DIV/0!</v>
      </c>
      <c r="C2421" s="435" t="e">
        <f>IF('合并资产负债表 '!W47=0,"【】",TEXT(ABS('合并资产负债表 '!W47),"#,##0.00"))</f>
        <v>#DIV/0!</v>
      </c>
    </row>
    <row r="2422" spans="1:3">
      <c r="A2422" s="432" t="s">
        <v>3043</v>
      </c>
      <c r="B2422" s="432" t="e">
        <f t="shared" si="37"/>
        <v>#DIV/0!</v>
      </c>
      <c r="C2422" s="435" t="e">
        <f>IF('合并资产负债表 '!W48=0,"【】",TEXT(ABS('合并资产负债表 '!W48),"#,##0.00"))</f>
        <v>#DIV/0!</v>
      </c>
    </row>
    <row r="2423" spans="1:3">
      <c r="A2423" s="432" t="s">
        <v>3044</v>
      </c>
      <c r="B2423" s="432" t="e">
        <f t="shared" si="37"/>
        <v>#DIV/0!</v>
      </c>
      <c r="C2423" s="435" t="e">
        <f>IF('合并资产负债表 '!W49=0,"【】",TEXT(ABS('合并资产负债表 '!W49),"#,##0.00"))</f>
        <v>#DIV/0!</v>
      </c>
    </row>
    <row r="2424" spans="1:3">
      <c r="A2424" s="432" t="s">
        <v>3045</v>
      </c>
      <c r="B2424" s="432" t="e">
        <f t="shared" si="37"/>
        <v>#DIV/0!</v>
      </c>
      <c r="C2424" s="435" t="e">
        <f>IF('合并资产负债表 '!W50=0,"【】",TEXT(ABS('合并资产负债表 '!W50),"#,##0.00"))</f>
        <v>#DIV/0!</v>
      </c>
    </row>
    <row r="2425" spans="1:3">
      <c r="A2425" s="432" t="s">
        <v>3046</v>
      </c>
      <c r="B2425" s="432" t="e">
        <f t="shared" si="37"/>
        <v>#DIV/0!</v>
      </c>
      <c r="C2425" s="435" t="e">
        <f>IF('合并资产负债表 '!W51=0,"【】",TEXT(ABS('合并资产负债表 '!W51),"#,##0.00"))</f>
        <v>#DIV/0!</v>
      </c>
    </row>
    <row r="2426" spans="1:3">
      <c r="A2426" s="432" t="s">
        <v>3047</v>
      </c>
      <c r="B2426" s="432" t="e">
        <f t="shared" si="37"/>
        <v>#DIV/0!</v>
      </c>
      <c r="C2426" s="435" t="e">
        <f>IF('合并资产负债表 '!W52=0,"【】",TEXT(ABS('合并资产负债表 '!W52),"#,##0.00"))</f>
        <v>#DIV/0!</v>
      </c>
    </row>
    <row r="2427" spans="1:3">
      <c r="A2427" s="432" t="s">
        <v>3048</v>
      </c>
      <c r="B2427" s="432" t="e">
        <f t="shared" si="37"/>
        <v>#DIV/0!</v>
      </c>
      <c r="C2427" s="435" t="e">
        <f>IF('合并资产负债表 '!W53=0,"【】",TEXT(ABS('合并资产负债表 '!W53),"#,##0.00"))</f>
        <v>#DIV/0!</v>
      </c>
    </row>
    <row r="2428" spans="1:3">
      <c r="A2428" s="432" t="s">
        <v>3049</v>
      </c>
      <c r="B2428" s="432" t="e">
        <f t="shared" si="37"/>
        <v>#DIV/0!</v>
      </c>
      <c r="C2428" s="435" t="e">
        <f>IF('合并资产负债表 '!W54=0,"【】",TEXT(ABS('合并资产负债表 '!W54),"#,##0.00"))</f>
        <v>#DIV/0!</v>
      </c>
    </row>
    <row r="2429" spans="1:3">
      <c r="A2429" s="432" t="s">
        <v>3050</v>
      </c>
      <c r="B2429" s="432" t="e">
        <f t="shared" si="37"/>
        <v>#DIV/0!</v>
      </c>
      <c r="C2429" s="435" t="e">
        <f>IF('合并资产负债表 '!W56=0,"【】",TEXT(ABS('合并资产负债表 '!W56),"#,##0.00"))</f>
        <v>#DIV/0!</v>
      </c>
    </row>
    <row r="2430" spans="1:3">
      <c r="A2430" s="432" t="s">
        <v>3051</v>
      </c>
      <c r="B2430" s="432" t="e">
        <f t="shared" si="37"/>
        <v>#DIV/0!</v>
      </c>
      <c r="C2430" s="435" t="e">
        <f>IF('合并资产负债表 '!W57=0,"【】",TEXT(ABS('合并资产负债表 '!W57),"#,##0.00"))</f>
        <v>#DIV/0!</v>
      </c>
    </row>
    <row r="2431" spans="1:3">
      <c r="A2431" s="432" t="s">
        <v>3052</v>
      </c>
      <c r="B2431" s="432" t="e">
        <f t="shared" si="37"/>
        <v>#DIV/0!</v>
      </c>
      <c r="C2431" s="435" t="e">
        <f>IF('合并资产负债表 '!W58=0,"【】",TEXT(ABS('合并资产负债表 '!W58),"#,##0.00"))</f>
        <v>#DIV/0!</v>
      </c>
    </row>
    <row r="2432" spans="1:3">
      <c r="A2432" s="432" t="s">
        <v>3053</v>
      </c>
      <c r="B2432" s="432" t="e">
        <f t="shared" si="37"/>
        <v>#DIV/0!</v>
      </c>
      <c r="C2432" s="435" t="e">
        <f>IF('合并资产负债表 '!W59=0,"【】",TEXT(ABS('合并资产负债表 '!W59),"#,##0.00"))</f>
        <v>#DIV/0!</v>
      </c>
    </row>
    <row r="2433" spans="1:3">
      <c r="A2433" s="432" t="s">
        <v>3054</v>
      </c>
      <c r="B2433" s="432" t="e">
        <f t="shared" si="37"/>
        <v>#DIV/0!</v>
      </c>
      <c r="C2433" s="435" t="e">
        <f>IF('合并资产负债表 '!W60=0,"【】",TEXT(ABS('合并资产负债表 '!W60),"#,##0.00"))</f>
        <v>#DIV/0!</v>
      </c>
    </row>
    <row r="2434" spans="1:3">
      <c r="A2434" s="432" t="s">
        <v>3055</v>
      </c>
      <c r="B2434" s="432" t="e">
        <f t="shared" si="37"/>
        <v>#DIV/0!</v>
      </c>
      <c r="C2434" s="435" t="e">
        <f>IF('合并资产负债表 '!W61=0,"【】",TEXT(ABS('合并资产负债表 '!W61),"#,##0.00"))</f>
        <v>#DIV/0!</v>
      </c>
    </row>
    <row r="2435" spans="1:3">
      <c r="A2435" s="432" t="s">
        <v>3056</v>
      </c>
      <c r="B2435" s="432" t="e">
        <f t="shared" si="37"/>
        <v>#DIV/0!</v>
      </c>
      <c r="C2435" s="435" t="e">
        <f>IF('合并资产负债表 '!W62=0,"【】",TEXT(ABS('合并资产负债表 '!W62),"#,##0.00"))</f>
        <v>#DIV/0!</v>
      </c>
    </row>
    <row r="2436" spans="1:3">
      <c r="A2436" s="432" t="s">
        <v>3057</v>
      </c>
      <c r="B2436" s="432" t="e">
        <f t="shared" si="37"/>
        <v>#DIV/0!</v>
      </c>
      <c r="C2436" s="435" t="e">
        <f>IF('合并资产负债表 '!W63=0,"【】",TEXT(ABS('合并资产负债表 '!W63),"#,##0.00"))</f>
        <v>#DIV/0!</v>
      </c>
    </row>
    <row r="2437" spans="1:3">
      <c r="A2437" s="432" t="s">
        <v>3058</v>
      </c>
      <c r="B2437" s="432" t="e">
        <f t="shared" si="37"/>
        <v>#DIV/0!</v>
      </c>
      <c r="C2437" s="435" t="e">
        <f>IF('合并资产负债表 '!W64=0,"【】",TEXT(ABS('合并资产负债表 '!W64),"#,##0.00"))</f>
        <v>#DIV/0!</v>
      </c>
    </row>
    <row r="2438" spans="1:3">
      <c r="A2438" s="432" t="s">
        <v>3059</v>
      </c>
      <c r="B2438" s="432" t="e">
        <f t="shared" si="37"/>
        <v>#DIV/0!</v>
      </c>
      <c r="C2438" s="435" t="e">
        <f>IF('合并资产负债表 '!W65=0,"【】",TEXT(ABS('合并资产负债表 '!W65),"#,##0.00"))</f>
        <v>#DIV/0!</v>
      </c>
    </row>
    <row r="2439" spans="1:3">
      <c r="A2439" s="432" t="s">
        <v>3060</v>
      </c>
      <c r="B2439" s="432" t="e">
        <f t="shared" si="37"/>
        <v>#DIV/0!</v>
      </c>
      <c r="C2439" s="435" t="e">
        <f>IF('合并资产负债表 '!W66=0,"【】",TEXT(ABS('合并资产负债表 '!W66),"#,##0.00"))</f>
        <v>#DIV/0!</v>
      </c>
    </row>
    <row r="2440" spans="1:3">
      <c r="A2440" s="432" t="s">
        <v>3061</v>
      </c>
      <c r="B2440" s="432" t="e">
        <f t="shared" ref="B2440:B2503" si="38">TRIM(C2440)</f>
        <v>#DIV/0!</v>
      </c>
      <c r="C2440" s="435" t="e">
        <f>IF('合并资产负债表 '!W67=0,"【】",TEXT(ABS('合并资产负债表 '!W67),"#,##0.00"))</f>
        <v>#DIV/0!</v>
      </c>
    </row>
    <row r="2441" spans="1:3">
      <c r="A2441" s="432" t="s">
        <v>3062</v>
      </c>
      <c r="B2441" s="432" t="e">
        <f t="shared" si="38"/>
        <v>#DIV/0!</v>
      </c>
      <c r="C2441" s="435" t="e">
        <f>IF('合并资产负债表 '!W68=0,"【】",TEXT(ABS('合并资产负债表 '!W68),"#,##0.00"))</f>
        <v>#DIV/0!</v>
      </c>
    </row>
    <row r="2442" spans="1:3">
      <c r="A2442" s="432" t="s">
        <v>3063</v>
      </c>
      <c r="B2442" s="432" t="str">
        <f t="shared" si="38"/>
        <v>无变化</v>
      </c>
      <c r="C2442" s="435" t="str">
        <f>注释!AE4</f>
        <v>无变化</v>
      </c>
    </row>
    <row r="2443" spans="1:3">
      <c r="A2443" s="432" t="s">
        <v>3064</v>
      </c>
      <c r="B2443" s="432" t="str">
        <f t="shared" si="38"/>
        <v>无变化</v>
      </c>
      <c r="C2443" s="435" t="str">
        <f>注释!AE5</f>
        <v>无变化</v>
      </c>
    </row>
    <row r="2444" spans="1:3">
      <c r="A2444" s="432" t="s">
        <v>3065</v>
      </c>
      <c r="B2444" s="432" t="str">
        <f t="shared" si="38"/>
        <v>无变化</v>
      </c>
      <c r="C2444" s="435" t="str">
        <f>注释!AE6</f>
        <v>无变化</v>
      </c>
    </row>
    <row r="2445" spans="1:3">
      <c r="A2445" s="432" t="s">
        <v>3066</v>
      </c>
      <c r="B2445" s="432" t="str">
        <f t="shared" si="38"/>
        <v>无变化</v>
      </c>
      <c r="C2445" s="435" t="str">
        <f>注释!AE7</f>
        <v>无变化</v>
      </c>
    </row>
    <row r="2446" spans="1:3">
      <c r="A2446" s="432" t="s">
        <v>3067</v>
      </c>
      <c r="B2446" s="432" t="str">
        <f t="shared" si="38"/>
        <v>无变化</v>
      </c>
      <c r="C2446" s="435" t="str">
        <f>注释!AE8</f>
        <v>无变化</v>
      </c>
    </row>
    <row r="2447" spans="1:3">
      <c r="A2447" s="432" t="s">
        <v>3068</v>
      </c>
      <c r="B2447" s="432" t="str">
        <f t="shared" si="38"/>
        <v>无变化</v>
      </c>
      <c r="C2447" s="435" t="str">
        <f>注释!AE9</f>
        <v>无变化</v>
      </c>
    </row>
    <row r="2448" spans="1:3">
      <c r="A2448" s="432" t="s">
        <v>3069</v>
      </c>
      <c r="B2448" s="432" t="str">
        <f t="shared" si="38"/>
        <v>无变化</v>
      </c>
      <c r="C2448" s="435" t="str">
        <f>注释!AE10</f>
        <v>无变化</v>
      </c>
    </row>
    <row r="2449" spans="1:3">
      <c r="A2449" s="432" t="s">
        <v>3070</v>
      </c>
      <c r="B2449" s="432" t="str">
        <f t="shared" si="38"/>
        <v>无变化</v>
      </c>
      <c r="C2449" s="435" t="str">
        <f>注释!AE11</f>
        <v>无变化</v>
      </c>
    </row>
    <row r="2450" spans="1:3">
      <c r="A2450" s="432" t="s">
        <v>3071</v>
      </c>
      <c r="B2450" s="432" t="str">
        <f t="shared" si="38"/>
        <v>无变化</v>
      </c>
      <c r="C2450" s="435" t="str">
        <f>注释!AE12</f>
        <v>无变化</v>
      </c>
    </row>
    <row r="2451" spans="1:3">
      <c r="A2451" s="432" t="s">
        <v>3072</v>
      </c>
      <c r="B2451" s="432" t="str">
        <f t="shared" si="38"/>
        <v>无变化</v>
      </c>
      <c r="C2451" s="435" t="str">
        <f>注释!AE13</f>
        <v>无变化</v>
      </c>
    </row>
    <row r="2452" spans="1:3">
      <c r="A2452" s="432" t="s">
        <v>3073</v>
      </c>
      <c r="B2452" s="432" t="str">
        <f t="shared" si="38"/>
        <v>无变化</v>
      </c>
      <c r="C2452" s="435" t="str">
        <f>注释!AE14</f>
        <v>无变化</v>
      </c>
    </row>
    <row r="2453" spans="1:3">
      <c r="A2453" s="432" t="s">
        <v>3074</v>
      </c>
      <c r="B2453" s="432" t="str">
        <f t="shared" si="38"/>
        <v>无变化</v>
      </c>
      <c r="C2453" s="435" t="str">
        <f>注释!AE15</f>
        <v>无变化</v>
      </c>
    </row>
    <row r="2454" spans="1:3">
      <c r="A2454" s="432" t="s">
        <v>3075</v>
      </c>
      <c r="B2454" s="432" t="str">
        <f t="shared" si="38"/>
        <v>无变化</v>
      </c>
      <c r="C2454" s="435" t="str">
        <f>注释!AE16</f>
        <v>无变化</v>
      </c>
    </row>
    <row r="2455" spans="1:3">
      <c r="A2455" s="432" t="s">
        <v>3076</v>
      </c>
      <c r="B2455" s="432" t="str">
        <f t="shared" si="38"/>
        <v>无变化</v>
      </c>
      <c r="C2455" s="435" t="str">
        <f>注释!AE17</f>
        <v>无变化</v>
      </c>
    </row>
    <row r="2456" spans="1:3">
      <c r="A2456" s="432" t="s">
        <v>3077</v>
      </c>
      <c r="B2456" s="432" t="str">
        <f t="shared" si="38"/>
        <v>无变化</v>
      </c>
      <c r="C2456" s="435" t="str">
        <f>注释!AE18</f>
        <v>无变化</v>
      </c>
    </row>
    <row r="2457" spans="1:3">
      <c r="A2457" s="432" t="s">
        <v>3078</v>
      </c>
      <c r="B2457" s="432" t="str">
        <f t="shared" si="38"/>
        <v>无变化</v>
      </c>
      <c r="C2457" s="435" t="str">
        <f>注释!AE20</f>
        <v>无变化</v>
      </c>
    </row>
    <row r="2458" spans="1:3">
      <c r="A2458" s="432" t="s">
        <v>3079</v>
      </c>
      <c r="B2458" s="432" t="str">
        <f t="shared" si="38"/>
        <v>无变化</v>
      </c>
      <c r="C2458" s="435" t="str">
        <f>注释!AE21</f>
        <v>无变化</v>
      </c>
    </row>
    <row r="2459" spans="1:3">
      <c r="A2459" s="432" t="s">
        <v>3080</v>
      </c>
      <c r="B2459" s="432" t="str">
        <f t="shared" si="38"/>
        <v>无变化</v>
      </c>
      <c r="C2459" s="435" t="str">
        <f>注释!AE22</f>
        <v>无变化</v>
      </c>
    </row>
    <row r="2460" spans="1:3">
      <c r="A2460" s="432" t="s">
        <v>3081</v>
      </c>
      <c r="B2460" s="432" t="str">
        <f t="shared" si="38"/>
        <v>无变化</v>
      </c>
      <c r="C2460" s="435" t="str">
        <f>注释!AE23</f>
        <v>无变化</v>
      </c>
    </row>
    <row r="2461" spans="1:3">
      <c r="A2461" s="432" t="s">
        <v>3082</v>
      </c>
      <c r="B2461" s="432" t="str">
        <f t="shared" si="38"/>
        <v>无变化</v>
      </c>
      <c r="C2461" s="435" t="str">
        <f>注释!AE24</f>
        <v>无变化</v>
      </c>
    </row>
    <row r="2462" spans="1:3">
      <c r="A2462" s="432" t="s">
        <v>3083</v>
      </c>
      <c r="B2462" s="432" t="str">
        <f t="shared" si="38"/>
        <v>无变化</v>
      </c>
      <c r="C2462" s="435" t="str">
        <f>注释!AE25</f>
        <v>无变化</v>
      </c>
    </row>
    <row r="2463" spans="1:3">
      <c r="A2463" s="432" t="s">
        <v>3084</v>
      </c>
      <c r="B2463" s="432" t="str">
        <f t="shared" si="38"/>
        <v>无变化</v>
      </c>
      <c r="C2463" s="435" t="str">
        <f>注释!AE26</f>
        <v>无变化</v>
      </c>
    </row>
    <row r="2464" spans="1:3">
      <c r="A2464" s="432" t="s">
        <v>3085</v>
      </c>
      <c r="B2464" s="432" t="str">
        <f t="shared" si="38"/>
        <v>无变化</v>
      </c>
      <c r="C2464" s="435" t="str">
        <f>注释!AE27</f>
        <v>无变化</v>
      </c>
    </row>
    <row r="2465" spans="1:3">
      <c r="A2465" s="432" t="s">
        <v>3086</v>
      </c>
      <c r="B2465" s="432" t="str">
        <f t="shared" si="38"/>
        <v>无变化</v>
      </c>
      <c r="C2465" s="435" t="str">
        <f>注释!AE28</f>
        <v>无变化</v>
      </c>
    </row>
    <row r="2466" spans="1:3">
      <c r="A2466" s="432" t="s">
        <v>3087</v>
      </c>
      <c r="B2466" s="432" t="str">
        <f t="shared" si="38"/>
        <v>无变化</v>
      </c>
      <c r="C2466" s="435" t="str">
        <f>注释!AE29</f>
        <v>无变化</v>
      </c>
    </row>
    <row r="2467" spans="1:3">
      <c r="A2467" s="432" t="s">
        <v>3088</v>
      </c>
      <c r="B2467" s="432" t="str">
        <f t="shared" si="38"/>
        <v>无变化</v>
      </c>
      <c r="C2467" s="435" t="str">
        <f>注释!AE30</f>
        <v>无变化</v>
      </c>
    </row>
    <row r="2468" spans="1:3">
      <c r="A2468" s="432" t="s">
        <v>3089</v>
      </c>
      <c r="B2468" s="432" t="str">
        <f t="shared" si="38"/>
        <v>无变化</v>
      </c>
      <c r="C2468" s="435" t="str">
        <f>注释!AE31</f>
        <v>无变化</v>
      </c>
    </row>
    <row r="2469" spans="1:3">
      <c r="A2469" s="432" t="s">
        <v>3090</v>
      </c>
      <c r="B2469" s="432" t="str">
        <f t="shared" si="38"/>
        <v>无变化</v>
      </c>
      <c r="C2469" s="435" t="str">
        <f>注释!AE32</f>
        <v>无变化</v>
      </c>
    </row>
    <row r="2470" spans="1:3">
      <c r="A2470" s="432" t="s">
        <v>3091</v>
      </c>
      <c r="B2470" s="432" t="str">
        <f t="shared" si="38"/>
        <v>无变化</v>
      </c>
      <c r="C2470" s="435" t="str">
        <f>注释!AE33</f>
        <v>无变化</v>
      </c>
    </row>
    <row r="2471" spans="1:3">
      <c r="A2471" s="432" t="s">
        <v>3092</v>
      </c>
      <c r="B2471" s="432" t="str">
        <f t="shared" si="38"/>
        <v>无变化</v>
      </c>
      <c r="C2471" s="435" t="str">
        <f>注释!AE34</f>
        <v>无变化</v>
      </c>
    </row>
    <row r="2472" spans="1:3">
      <c r="A2472" s="432" t="s">
        <v>3093</v>
      </c>
      <c r="B2472" s="432" t="str">
        <f t="shared" si="38"/>
        <v>无变化</v>
      </c>
      <c r="C2472" s="435" t="str">
        <f>注释!AE35</f>
        <v>无变化</v>
      </c>
    </row>
    <row r="2473" spans="1:3">
      <c r="A2473" s="432" t="s">
        <v>3094</v>
      </c>
      <c r="B2473" s="432" t="str">
        <f t="shared" si="38"/>
        <v>无变化</v>
      </c>
      <c r="C2473" s="435" t="str">
        <f>注释!AE36</f>
        <v>无变化</v>
      </c>
    </row>
    <row r="2474" spans="1:3">
      <c r="A2474" s="432" t="s">
        <v>3095</v>
      </c>
      <c r="B2474" s="432" t="str">
        <f t="shared" si="38"/>
        <v>无变化</v>
      </c>
      <c r="C2474" s="435" t="str">
        <f>注释!AE38</f>
        <v>无变化</v>
      </c>
    </row>
    <row r="2475" spans="1:3">
      <c r="A2475" s="432" t="s">
        <v>3096</v>
      </c>
      <c r="B2475" s="432" t="str">
        <f t="shared" si="38"/>
        <v>无变化</v>
      </c>
      <c r="C2475" s="435" t="str">
        <f>注释!AE39</f>
        <v>无变化</v>
      </c>
    </row>
    <row r="2476" spans="1:3">
      <c r="A2476" s="432" t="s">
        <v>3097</v>
      </c>
      <c r="B2476" s="432" t="str">
        <f t="shared" si="38"/>
        <v>无变化</v>
      </c>
      <c r="C2476" s="435" t="str">
        <f>注释!AE40</f>
        <v>无变化</v>
      </c>
    </row>
    <row r="2477" spans="1:3">
      <c r="A2477" s="432" t="s">
        <v>3098</v>
      </c>
      <c r="B2477" s="432" t="str">
        <f t="shared" si="38"/>
        <v>无变化</v>
      </c>
      <c r="C2477" s="435" t="str">
        <f>注释!AE41</f>
        <v>无变化</v>
      </c>
    </row>
    <row r="2478" spans="1:3">
      <c r="A2478" s="432" t="s">
        <v>3099</v>
      </c>
      <c r="B2478" s="432" t="str">
        <f t="shared" si="38"/>
        <v>无变化</v>
      </c>
      <c r="C2478" s="435" t="str">
        <f>注释!AE42</f>
        <v>无变化</v>
      </c>
    </row>
    <row r="2479" spans="1:3">
      <c r="A2479" s="432" t="s">
        <v>3100</v>
      </c>
      <c r="B2479" s="432" t="str">
        <f t="shared" si="38"/>
        <v>无变化</v>
      </c>
      <c r="C2479" s="435" t="str">
        <f>注释!AE43</f>
        <v>无变化</v>
      </c>
    </row>
    <row r="2480" spans="1:3">
      <c r="A2480" s="432" t="s">
        <v>3101</v>
      </c>
      <c r="B2480" s="432" t="str">
        <f t="shared" si="38"/>
        <v>无变化</v>
      </c>
      <c r="C2480" s="435" t="str">
        <f>注释!AE44</f>
        <v>无变化</v>
      </c>
    </row>
    <row r="2481" spans="1:3">
      <c r="A2481" s="432" t="s">
        <v>3102</v>
      </c>
      <c r="B2481" s="432" t="str">
        <f t="shared" si="38"/>
        <v>无变化</v>
      </c>
      <c r="C2481" s="435" t="str">
        <f>注释!AE45</f>
        <v>无变化</v>
      </c>
    </row>
    <row r="2482" spans="1:3">
      <c r="A2482" s="432" t="s">
        <v>3103</v>
      </c>
      <c r="B2482" s="432" t="str">
        <f t="shared" si="38"/>
        <v>无变化</v>
      </c>
      <c r="C2482" s="435" t="str">
        <f>注释!AE46</f>
        <v>无变化</v>
      </c>
    </row>
    <row r="2483" spans="1:3">
      <c r="A2483" s="432" t="s">
        <v>3104</v>
      </c>
      <c r="B2483" s="432" t="str">
        <f t="shared" si="38"/>
        <v>无变化</v>
      </c>
      <c r="C2483" s="435" t="str">
        <f>注释!AE47</f>
        <v>无变化</v>
      </c>
    </row>
    <row r="2484" spans="1:3">
      <c r="A2484" s="432" t="s">
        <v>3105</v>
      </c>
      <c r="B2484" s="432" t="str">
        <f t="shared" si="38"/>
        <v>无变化</v>
      </c>
      <c r="C2484" s="435" t="str">
        <f>注释!AE48</f>
        <v>无变化</v>
      </c>
    </row>
    <row r="2485" spans="1:3">
      <c r="A2485" s="432" t="s">
        <v>3106</v>
      </c>
      <c r="B2485" s="432" t="str">
        <f t="shared" si="38"/>
        <v>无变化</v>
      </c>
      <c r="C2485" s="435" t="str">
        <f>注释!AE49</f>
        <v>无变化</v>
      </c>
    </row>
    <row r="2486" spans="1:3">
      <c r="A2486" s="432" t="s">
        <v>3107</v>
      </c>
      <c r="B2486" s="432" t="str">
        <f t="shared" si="38"/>
        <v>无变化</v>
      </c>
      <c r="C2486" s="435" t="str">
        <f>注释!AE50</f>
        <v>无变化</v>
      </c>
    </row>
    <row r="2487" spans="1:3">
      <c r="A2487" s="432" t="s">
        <v>3108</v>
      </c>
      <c r="B2487" s="432" t="str">
        <f t="shared" si="38"/>
        <v>无变化</v>
      </c>
      <c r="C2487" s="435" t="str">
        <f>注释!AE51</f>
        <v>无变化</v>
      </c>
    </row>
    <row r="2488" spans="1:3">
      <c r="A2488" s="432" t="s">
        <v>3109</v>
      </c>
      <c r="B2488" s="432" t="str">
        <f t="shared" si="38"/>
        <v>无变化</v>
      </c>
      <c r="C2488" s="435" t="str">
        <f>注释!AE52</f>
        <v>无变化</v>
      </c>
    </row>
    <row r="2489" spans="1:3">
      <c r="A2489" s="432" t="s">
        <v>3110</v>
      </c>
      <c r="B2489" s="432" t="str">
        <f t="shared" si="38"/>
        <v>无变化</v>
      </c>
      <c r="C2489" s="435" t="str">
        <f>注释!AE53</f>
        <v>无变化</v>
      </c>
    </row>
    <row r="2490" spans="1:3">
      <c r="A2490" s="432" t="s">
        <v>3111</v>
      </c>
      <c r="B2490" s="432" t="str">
        <f t="shared" si="38"/>
        <v>无变化</v>
      </c>
      <c r="C2490" s="435" t="str">
        <f>注释!AE55</f>
        <v>无变化</v>
      </c>
    </row>
    <row r="2491" spans="1:3">
      <c r="A2491" s="432" t="s">
        <v>3112</v>
      </c>
      <c r="B2491" s="432" t="str">
        <f t="shared" si="38"/>
        <v>无变化</v>
      </c>
      <c r="C2491" s="435" t="str">
        <f>注释!AE56</f>
        <v>无变化</v>
      </c>
    </row>
    <row r="2492" spans="1:3">
      <c r="A2492" s="432" t="s">
        <v>3113</v>
      </c>
      <c r="B2492" s="432" t="str">
        <f t="shared" si="38"/>
        <v>无变化</v>
      </c>
      <c r="C2492" s="435" t="str">
        <f>注释!AE57</f>
        <v>无变化</v>
      </c>
    </row>
    <row r="2493" spans="1:3">
      <c r="A2493" s="432" t="s">
        <v>3114</v>
      </c>
      <c r="B2493" s="432" t="str">
        <f t="shared" si="38"/>
        <v>无变化</v>
      </c>
      <c r="C2493" s="435" t="str">
        <f>注释!AE58</f>
        <v>无变化</v>
      </c>
    </row>
    <row r="2494" spans="1:3">
      <c r="A2494" s="432" t="s">
        <v>3115</v>
      </c>
      <c r="B2494" s="432" t="str">
        <f t="shared" si="38"/>
        <v>无变化</v>
      </c>
      <c r="C2494" s="435" t="str">
        <f>注释!AE59</f>
        <v>无变化</v>
      </c>
    </row>
    <row r="2495" spans="1:3">
      <c r="A2495" s="432" t="s">
        <v>3116</v>
      </c>
      <c r="B2495" s="432" t="str">
        <f t="shared" si="38"/>
        <v>无变化</v>
      </c>
      <c r="C2495" s="435" t="str">
        <f>注释!AE60</f>
        <v>无变化</v>
      </c>
    </row>
    <row r="2496" spans="1:3">
      <c r="A2496" s="432" t="s">
        <v>3117</v>
      </c>
      <c r="B2496" s="432" t="str">
        <f t="shared" si="38"/>
        <v>无变化</v>
      </c>
      <c r="C2496" s="435" t="str">
        <f>注释!AE61</f>
        <v>无变化</v>
      </c>
    </row>
    <row r="2497" spans="1:5">
      <c r="A2497" s="432" t="s">
        <v>3118</v>
      </c>
      <c r="B2497" s="432" t="str">
        <f t="shared" si="38"/>
        <v>无变化</v>
      </c>
      <c r="C2497" s="435" t="str">
        <f>注释!AE62</f>
        <v>无变化</v>
      </c>
    </row>
    <row r="2498" spans="1:5">
      <c r="A2498" s="432" t="s">
        <v>3119</v>
      </c>
      <c r="B2498" s="432" t="str">
        <f t="shared" si="38"/>
        <v>无变化</v>
      </c>
      <c r="C2498" s="435" t="str">
        <f>注释!AE63</f>
        <v>无变化</v>
      </c>
    </row>
    <row r="2499" spans="1:5">
      <c r="A2499" s="432" t="s">
        <v>3120</v>
      </c>
      <c r="B2499" s="432" t="str">
        <f t="shared" si="38"/>
        <v>无变化</v>
      </c>
      <c r="C2499" s="435" t="str">
        <f>注释!AE64</f>
        <v>无变化</v>
      </c>
    </row>
    <row r="2500" spans="1:5">
      <c r="A2500" s="432" t="s">
        <v>3121</v>
      </c>
      <c r="B2500" s="432" t="str">
        <f t="shared" si="38"/>
        <v>无变化</v>
      </c>
      <c r="C2500" s="435" t="str">
        <f>注释!AE65</f>
        <v>无变化</v>
      </c>
    </row>
    <row r="2501" spans="1:5">
      <c r="A2501" s="432" t="s">
        <v>3122</v>
      </c>
      <c r="B2501" s="432" t="str">
        <f t="shared" si="38"/>
        <v>无变化</v>
      </c>
      <c r="C2501" s="435" t="str">
        <f>注释!AE66</f>
        <v>无变化</v>
      </c>
    </row>
    <row r="2502" spans="1:5">
      <c r="A2502" s="432" t="s">
        <v>3123</v>
      </c>
      <c r="B2502" s="432" t="str">
        <f t="shared" si="38"/>
        <v>无变化</v>
      </c>
      <c r="C2502" s="435" t="str">
        <f>注释!AE67</f>
        <v>无变化</v>
      </c>
    </row>
    <row r="2503" spans="1:5">
      <c r="A2503" s="432" t="s">
        <v>3164</v>
      </c>
      <c r="B2503" s="432" t="e">
        <f t="shared" si="38"/>
        <v>#DIV/0!</v>
      </c>
      <c r="C2503" s="435" t="e">
        <f>IF(AVERAGE('合并资产负债表 '!N19:Q19)&gt;AVERAGE('合并资产负债表 '!N36:Q36),"流动资产","非流动资产")</f>
        <v>#DIV/0!</v>
      </c>
      <c r="E2503" s="436" t="s">
        <v>3202</v>
      </c>
    </row>
    <row r="2504" spans="1:5">
      <c r="A2504" s="432" t="s">
        <v>3491</v>
      </c>
      <c r="B2504" s="432" t="e">
        <f t="shared" ref="B2504:B2567" si="39">TRIM(C2504)</f>
        <v>#DIV/0!</v>
      </c>
      <c r="C2504" s="435" t="e">
        <f>IF(AVERAGE('合并资产负债表 '!N54:Q54)&gt;AVERAGE('合并资产负债表 '!N67:Q67),"流动负债","非流动负债")</f>
        <v>#DIV/0!</v>
      </c>
    </row>
    <row r="2505" spans="1:5">
      <c r="A2505" s="432" t="s">
        <v>3315</v>
      </c>
      <c r="B2505" s="432" t="str">
        <f t="shared" si="39"/>
        <v>无变化</v>
      </c>
      <c r="C2505" s="435" t="str">
        <f>注释!N145</f>
        <v>无变化</v>
      </c>
    </row>
    <row r="2506" spans="1:5">
      <c r="A2506" s="432" t="s">
        <v>3316</v>
      </c>
      <c r="B2506" s="432" t="str">
        <f t="shared" si="39"/>
        <v>无变化</v>
      </c>
      <c r="C2506" s="435" t="str">
        <f>注释!N146</f>
        <v>无变化</v>
      </c>
    </row>
    <row r="2507" spans="1:5">
      <c r="A2507" s="432" t="s">
        <v>3317</v>
      </c>
      <c r="B2507" s="432" t="e">
        <f t="shared" si="39"/>
        <v>#N/A</v>
      </c>
      <c r="C2507" s="435" t="e">
        <f>注释!N147</f>
        <v>#N/A</v>
      </c>
    </row>
    <row r="2508" spans="1:5">
      <c r="A2508" s="432" t="s">
        <v>3318</v>
      </c>
      <c r="B2508" s="432" t="str">
        <f t="shared" si="39"/>
        <v>无变化</v>
      </c>
      <c r="C2508" s="435" t="str">
        <f>注释!N148</f>
        <v>无变化</v>
      </c>
    </row>
    <row r="2509" spans="1:5">
      <c r="A2509" s="432" t="s">
        <v>3319</v>
      </c>
      <c r="B2509" s="432" t="str">
        <f t="shared" si="39"/>
        <v>无变化</v>
      </c>
      <c r="C2509" s="435" t="str">
        <f>注释!N149</f>
        <v>无变化</v>
      </c>
    </row>
    <row r="2510" spans="1:5">
      <c r="A2510" s="432" t="s">
        <v>3320</v>
      </c>
      <c r="B2510" s="432" t="e">
        <f t="shared" si="39"/>
        <v>#N/A</v>
      </c>
      <c r="C2510" s="435" t="e">
        <f>注释!N150</f>
        <v>#N/A</v>
      </c>
    </row>
    <row r="2511" spans="1:5">
      <c r="A2511" s="432" t="s">
        <v>3321</v>
      </c>
      <c r="B2511" s="432" t="str">
        <f t="shared" si="39"/>
        <v>无变化</v>
      </c>
      <c r="C2511" s="435" t="str">
        <f>注释!N151</f>
        <v>无变化</v>
      </c>
    </row>
    <row r="2512" spans="1:5">
      <c r="A2512" s="432" t="s">
        <v>3322</v>
      </c>
      <c r="B2512" s="432" t="str">
        <f t="shared" si="39"/>
        <v>无变化</v>
      </c>
      <c r="C2512" s="435" t="str">
        <f>注释!N152</f>
        <v>无变化</v>
      </c>
    </row>
    <row r="2513" spans="1:3">
      <c r="A2513" s="432" t="s">
        <v>3323</v>
      </c>
      <c r="B2513" s="432" t="e">
        <f t="shared" si="39"/>
        <v>#N/A</v>
      </c>
      <c r="C2513" s="435" t="e">
        <f>注释!N153</f>
        <v>#N/A</v>
      </c>
    </row>
    <row r="2514" spans="1:3">
      <c r="A2514" s="432" t="s">
        <v>3324</v>
      </c>
      <c r="B2514" s="432" t="str">
        <f t="shared" si="39"/>
        <v>【】</v>
      </c>
      <c r="C2514" s="435" t="str">
        <f>IF(合并现金流量表!J8=0,"【】",TEXT(ABS(合并现金流量表!J8),"#,##0.00"))</f>
        <v>【】</v>
      </c>
    </row>
    <row r="2515" spans="1:3">
      <c r="A2515" s="432" t="s">
        <v>3325</v>
      </c>
      <c r="B2515" s="432" t="str">
        <f t="shared" si="39"/>
        <v>【】</v>
      </c>
      <c r="C2515" s="435" t="str">
        <f>IF(合并现金流量表!J13=0,"【】",TEXT(ABS(合并现金流量表!J13),"#,##0.00"))</f>
        <v>【】</v>
      </c>
    </row>
    <row r="2516" spans="1:3">
      <c r="A2516" s="432" t="s">
        <v>3326</v>
      </c>
      <c r="B2516" s="432" t="str">
        <f t="shared" si="39"/>
        <v>【】</v>
      </c>
      <c r="C2516" s="435" t="str">
        <f>IF(合并现金流量表!J14=0,"【】",TEXT(ABS(合并现金流量表!J14),"#,##0.00"))</f>
        <v>【】</v>
      </c>
    </row>
    <row r="2517" spans="1:3">
      <c r="A2517" s="432" t="s">
        <v>3327</v>
      </c>
      <c r="B2517" s="432" t="str">
        <f t="shared" si="39"/>
        <v>【】</v>
      </c>
      <c r="C2517" s="435" t="str">
        <f>IF(合并现金流量表!J21=0,"【】",TEXT(ABS(合并现金流量表!J21),"#,##0.00"))</f>
        <v>【】</v>
      </c>
    </row>
    <row r="2518" spans="1:3">
      <c r="A2518" s="432" t="s">
        <v>3328</v>
      </c>
      <c r="B2518" s="432" t="str">
        <f t="shared" si="39"/>
        <v>【】</v>
      </c>
      <c r="C2518" s="435" t="str">
        <f>IF(合并现金流量表!J26=0,"【】",TEXT(ABS(合并现金流量表!J26),"#,##0.00"))</f>
        <v>【】</v>
      </c>
    </row>
    <row r="2519" spans="1:3">
      <c r="A2519" s="432" t="s">
        <v>3329</v>
      </c>
      <c r="B2519" s="432" t="str">
        <f t="shared" si="39"/>
        <v>【】</v>
      </c>
      <c r="C2519" s="435" t="str">
        <f>IF(合并现金流量表!J27=0,"【】",TEXT(ABS(合并现金流量表!J27),"#,##0.00"))</f>
        <v>【】</v>
      </c>
    </row>
    <row r="2520" spans="1:3">
      <c r="A2520" s="432" t="s">
        <v>3330</v>
      </c>
      <c r="B2520" s="432" t="str">
        <f t="shared" si="39"/>
        <v>【】</v>
      </c>
      <c r="C2520" s="435" t="str">
        <f>IF(合并现金流量表!J33=0,"【】",TEXT(ABS(合并现金流量表!J33),"#,##0.00"))</f>
        <v>【】</v>
      </c>
    </row>
    <row r="2521" spans="1:3">
      <c r="A2521" s="432" t="s">
        <v>3331</v>
      </c>
      <c r="B2521" s="432" t="str">
        <f t="shared" si="39"/>
        <v>【】</v>
      </c>
      <c r="C2521" s="435" t="str">
        <f>IF(合并现金流量表!J37=0,"【】",TEXT(ABS(合并现金流量表!J37),"#,##0.00"))</f>
        <v>【】</v>
      </c>
    </row>
    <row r="2522" spans="1:3">
      <c r="A2522" s="432" t="s">
        <v>3332</v>
      </c>
      <c r="B2522" s="432" t="str">
        <f t="shared" si="39"/>
        <v>【】</v>
      </c>
      <c r="C2522" s="435" t="str">
        <f>IF(合并现金流量表!J38=0,"【】",TEXT(ABS(合并现金流量表!J38),"#,##0.00"))</f>
        <v>【】</v>
      </c>
    </row>
    <row r="2523" spans="1:3">
      <c r="A2523" s="432" t="s">
        <v>3333</v>
      </c>
      <c r="B2523" s="432" t="str">
        <f t="shared" si="39"/>
        <v>无变化</v>
      </c>
      <c r="C2523" s="435" t="str">
        <f>注释!Q145</f>
        <v>无变化</v>
      </c>
    </row>
    <row r="2524" spans="1:3">
      <c r="A2524" s="432" t="s">
        <v>3334</v>
      </c>
      <c r="B2524" s="432" t="str">
        <f t="shared" si="39"/>
        <v>无变化</v>
      </c>
      <c r="C2524" s="435" t="str">
        <f>注释!Q146</f>
        <v>无变化</v>
      </c>
    </row>
    <row r="2525" spans="1:3">
      <c r="A2525" s="432" t="s">
        <v>3335</v>
      </c>
      <c r="B2525" s="432" t="e">
        <f t="shared" si="39"/>
        <v>#N/A</v>
      </c>
      <c r="C2525" s="435" t="e">
        <f>注释!Q147</f>
        <v>#N/A</v>
      </c>
    </row>
    <row r="2526" spans="1:3">
      <c r="A2526" s="432" t="s">
        <v>3336</v>
      </c>
      <c r="B2526" s="432" t="str">
        <f t="shared" si="39"/>
        <v>无变化</v>
      </c>
      <c r="C2526" s="435" t="str">
        <f>注释!Q148</f>
        <v>无变化</v>
      </c>
    </row>
    <row r="2527" spans="1:3">
      <c r="A2527" s="432" t="s">
        <v>3337</v>
      </c>
      <c r="B2527" s="432" t="str">
        <f t="shared" si="39"/>
        <v>无变化</v>
      </c>
      <c r="C2527" s="435" t="str">
        <f>注释!Q149</f>
        <v>无变化</v>
      </c>
    </row>
    <row r="2528" spans="1:3">
      <c r="A2528" s="432" t="s">
        <v>3338</v>
      </c>
      <c r="B2528" s="432" t="e">
        <f t="shared" si="39"/>
        <v>#N/A</v>
      </c>
      <c r="C2528" s="435" t="e">
        <f>注释!Q150</f>
        <v>#N/A</v>
      </c>
    </row>
    <row r="2529" spans="1:3">
      <c r="A2529" s="432" t="s">
        <v>3339</v>
      </c>
      <c r="B2529" s="432" t="str">
        <f t="shared" si="39"/>
        <v>无变化</v>
      </c>
      <c r="C2529" s="435" t="str">
        <f>注释!Q151</f>
        <v>无变化</v>
      </c>
    </row>
    <row r="2530" spans="1:3">
      <c r="A2530" s="432" t="s">
        <v>3340</v>
      </c>
      <c r="B2530" s="432" t="str">
        <f t="shared" si="39"/>
        <v>无变化</v>
      </c>
      <c r="C2530" s="435" t="str">
        <f>注释!Q152</f>
        <v>无变化</v>
      </c>
    </row>
    <row r="2531" spans="1:3">
      <c r="A2531" s="432" t="s">
        <v>3341</v>
      </c>
      <c r="B2531" s="432" t="e">
        <f t="shared" si="39"/>
        <v>#N/A</v>
      </c>
      <c r="C2531" s="435" t="e">
        <f>注释!Q153</f>
        <v>#N/A</v>
      </c>
    </row>
    <row r="2532" spans="1:3">
      <c r="A2532" s="432" t="s">
        <v>3342</v>
      </c>
      <c r="B2532" s="432" t="e">
        <f t="shared" si="39"/>
        <v>#DIV/0!</v>
      </c>
      <c r="C2532" s="435" t="e">
        <f>IF(合并现金流量表!K8=0,"【】",TEXT(ABS(合并现金流量表!K8),"#,##0.00"))</f>
        <v>#DIV/0!</v>
      </c>
    </row>
    <row r="2533" spans="1:3">
      <c r="A2533" s="432" t="s">
        <v>3343</v>
      </c>
      <c r="B2533" s="432" t="e">
        <f t="shared" si="39"/>
        <v>#DIV/0!</v>
      </c>
      <c r="C2533" s="435" t="e">
        <f>IF(合并现金流量表!K13=0,"【】",TEXT(ABS(合并现金流量表!K13),"#,##0.00"))</f>
        <v>#DIV/0!</v>
      </c>
    </row>
    <row r="2534" spans="1:3">
      <c r="A2534" s="432" t="s">
        <v>3344</v>
      </c>
      <c r="B2534" s="432" t="e">
        <f t="shared" si="39"/>
        <v>#DIV/0!</v>
      </c>
      <c r="C2534" s="435" t="e">
        <f>IF(合并现金流量表!K14=0,"【】",TEXT(ABS(合并现金流量表!K14),"#,##0.00"))</f>
        <v>#DIV/0!</v>
      </c>
    </row>
    <row r="2535" spans="1:3">
      <c r="A2535" s="432" t="s">
        <v>3345</v>
      </c>
      <c r="B2535" s="432" t="e">
        <f t="shared" si="39"/>
        <v>#DIV/0!</v>
      </c>
      <c r="C2535" s="435" t="e">
        <f>IF(合并现金流量表!K21=0,"【】",TEXT(ABS(合并现金流量表!K21),"#,##0.00"))</f>
        <v>#DIV/0!</v>
      </c>
    </row>
    <row r="2536" spans="1:3">
      <c r="A2536" s="432" t="s">
        <v>3346</v>
      </c>
      <c r="B2536" s="432" t="e">
        <f t="shared" si="39"/>
        <v>#DIV/0!</v>
      </c>
      <c r="C2536" s="435" t="e">
        <f>IF(合并现金流量表!K26=0,"【】",TEXT(ABS(合并现金流量表!K26),"#,##0.00"))</f>
        <v>#DIV/0!</v>
      </c>
    </row>
    <row r="2537" spans="1:3">
      <c r="A2537" s="432" t="s">
        <v>3347</v>
      </c>
      <c r="B2537" s="432" t="e">
        <f t="shared" si="39"/>
        <v>#DIV/0!</v>
      </c>
      <c r="C2537" s="435" t="e">
        <f>IF(合并现金流量表!K27=0,"【】",TEXT(ABS(合并现金流量表!K27),"#,##0.00"))</f>
        <v>#DIV/0!</v>
      </c>
    </row>
    <row r="2538" spans="1:3">
      <c r="A2538" s="432" t="s">
        <v>3348</v>
      </c>
      <c r="B2538" s="432" t="e">
        <f t="shared" si="39"/>
        <v>#DIV/0!</v>
      </c>
      <c r="C2538" s="435" t="e">
        <f>IF(合并现金流量表!K33=0,"【】",TEXT(ABS(合并现金流量表!K33),"#,##0.00"))</f>
        <v>#DIV/0!</v>
      </c>
    </row>
    <row r="2539" spans="1:3">
      <c r="A2539" s="432" t="s">
        <v>3349</v>
      </c>
      <c r="B2539" s="432" t="e">
        <f t="shared" si="39"/>
        <v>#DIV/0!</v>
      </c>
      <c r="C2539" s="435" t="e">
        <f>IF(合并现金流量表!K37=0,"【】",TEXT(ABS(合并现金流量表!K37),"#,##0.00"))</f>
        <v>#DIV/0!</v>
      </c>
    </row>
    <row r="2540" spans="1:3">
      <c r="A2540" s="432" t="s">
        <v>3350</v>
      </c>
      <c r="B2540" s="432" t="e">
        <f t="shared" si="39"/>
        <v>#DIV/0!</v>
      </c>
      <c r="C2540" s="435" t="e">
        <f>IF(合并现金流量表!K38=0,"【】",TEXT(ABS(合并现金流量表!K38),"#,##0.00"))</f>
        <v>#DIV/0!</v>
      </c>
    </row>
    <row r="2541" spans="1:3">
      <c r="A2541" s="432" t="s">
        <v>3351</v>
      </c>
      <c r="B2541" s="432" t="str">
        <f t="shared" si="39"/>
        <v>无变化</v>
      </c>
      <c r="C2541" s="435" t="str">
        <f>注释!T145</f>
        <v>无变化</v>
      </c>
    </row>
    <row r="2542" spans="1:3">
      <c r="A2542" s="432" t="s">
        <v>3352</v>
      </c>
      <c r="B2542" s="432" t="str">
        <f t="shared" si="39"/>
        <v>无变化</v>
      </c>
      <c r="C2542" s="435" t="str">
        <f>注释!T146</f>
        <v>无变化</v>
      </c>
    </row>
    <row r="2543" spans="1:3">
      <c r="A2543" s="432" t="s">
        <v>3353</v>
      </c>
      <c r="B2543" s="432" t="e">
        <f t="shared" si="39"/>
        <v>#N/A</v>
      </c>
      <c r="C2543" s="435" t="e">
        <f>注释!T147</f>
        <v>#N/A</v>
      </c>
    </row>
    <row r="2544" spans="1:3">
      <c r="A2544" s="432" t="s">
        <v>3354</v>
      </c>
      <c r="B2544" s="432" t="str">
        <f t="shared" si="39"/>
        <v>无变化</v>
      </c>
      <c r="C2544" s="435" t="str">
        <f>注释!T148</f>
        <v>无变化</v>
      </c>
    </row>
    <row r="2545" spans="1:3">
      <c r="A2545" s="432" t="s">
        <v>3355</v>
      </c>
      <c r="B2545" s="432" t="str">
        <f t="shared" si="39"/>
        <v>无变化</v>
      </c>
      <c r="C2545" s="435" t="str">
        <f>注释!T149</f>
        <v>无变化</v>
      </c>
    </row>
    <row r="2546" spans="1:3">
      <c r="A2546" s="432" t="s">
        <v>3356</v>
      </c>
      <c r="B2546" s="432" t="e">
        <f t="shared" si="39"/>
        <v>#N/A</v>
      </c>
      <c r="C2546" s="435" t="e">
        <f>注释!T150</f>
        <v>#N/A</v>
      </c>
    </row>
    <row r="2547" spans="1:3">
      <c r="A2547" s="432" t="s">
        <v>3357</v>
      </c>
      <c r="B2547" s="432" t="str">
        <f t="shared" si="39"/>
        <v>无变化</v>
      </c>
      <c r="C2547" s="435" t="str">
        <f>注释!T151</f>
        <v>无变化</v>
      </c>
    </row>
    <row r="2548" spans="1:3">
      <c r="A2548" s="432" t="s">
        <v>3358</v>
      </c>
      <c r="B2548" s="432" t="str">
        <f t="shared" si="39"/>
        <v>无变化</v>
      </c>
      <c r="C2548" s="435" t="str">
        <f>注释!T152</f>
        <v>无变化</v>
      </c>
    </row>
    <row r="2549" spans="1:3">
      <c r="A2549" s="432" t="s">
        <v>3359</v>
      </c>
      <c r="B2549" s="432" t="e">
        <f t="shared" si="39"/>
        <v>#N/A</v>
      </c>
      <c r="C2549" s="435" t="e">
        <f>注释!T153</f>
        <v>#N/A</v>
      </c>
    </row>
    <row r="2550" spans="1:3">
      <c r="A2550" s="432" t="s">
        <v>3360</v>
      </c>
      <c r="B2550" s="432" t="str">
        <f t="shared" si="39"/>
        <v>【】</v>
      </c>
      <c r="C2550" s="435" t="str">
        <f>IF(合并现金流量表!L8=0,"【】",TEXT(ABS(合并现金流量表!L8),"#,##0.00"))</f>
        <v>【】</v>
      </c>
    </row>
    <row r="2551" spans="1:3">
      <c r="A2551" s="432" t="s">
        <v>3361</v>
      </c>
      <c r="B2551" s="432" t="str">
        <f t="shared" si="39"/>
        <v>【】</v>
      </c>
      <c r="C2551" s="435" t="str">
        <f>IF(合并现金流量表!L13=0,"【】",TEXT(ABS(合并现金流量表!L13),"#,##0.00"))</f>
        <v>【】</v>
      </c>
    </row>
    <row r="2552" spans="1:3">
      <c r="A2552" s="432" t="s">
        <v>3362</v>
      </c>
      <c r="B2552" s="432" t="str">
        <f t="shared" si="39"/>
        <v>【】</v>
      </c>
      <c r="C2552" s="435" t="str">
        <f>IF(合并现金流量表!L14=0,"【】",TEXT(ABS(合并现金流量表!L14),"#,##0.00"))</f>
        <v>【】</v>
      </c>
    </row>
    <row r="2553" spans="1:3">
      <c r="A2553" s="432" t="s">
        <v>3363</v>
      </c>
      <c r="B2553" s="432" t="str">
        <f t="shared" si="39"/>
        <v>【】</v>
      </c>
      <c r="C2553" s="435" t="str">
        <f>IF(合并现金流量表!L21=0,"【】",TEXT(ABS(合并现金流量表!L21),"#,##0.00"))</f>
        <v>【】</v>
      </c>
    </row>
    <row r="2554" spans="1:3">
      <c r="A2554" s="432" t="s">
        <v>3364</v>
      </c>
      <c r="B2554" s="432" t="str">
        <f t="shared" si="39"/>
        <v>【】</v>
      </c>
      <c r="C2554" s="435" t="str">
        <f>IF(合并现金流量表!L26=0,"【】",TEXT(ABS(合并现金流量表!L26),"#,##0.00"))</f>
        <v>【】</v>
      </c>
    </row>
    <row r="2555" spans="1:3">
      <c r="A2555" s="432" t="s">
        <v>3365</v>
      </c>
      <c r="B2555" s="432" t="str">
        <f t="shared" si="39"/>
        <v>【】</v>
      </c>
      <c r="C2555" s="435" t="str">
        <f>IF(合并现金流量表!L27=0,"【】",TEXT(ABS(合并现金流量表!L27),"#,##0.00"))</f>
        <v>【】</v>
      </c>
    </row>
    <row r="2556" spans="1:3">
      <c r="A2556" s="432" t="s">
        <v>3366</v>
      </c>
      <c r="B2556" s="432" t="str">
        <f t="shared" si="39"/>
        <v>【】</v>
      </c>
      <c r="C2556" s="435" t="str">
        <f>IF(合并现金流量表!L33=0,"【】",TEXT(ABS(合并现金流量表!L33),"#,##0.00"))</f>
        <v>【】</v>
      </c>
    </row>
    <row r="2557" spans="1:3">
      <c r="A2557" s="432" t="s">
        <v>3367</v>
      </c>
      <c r="B2557" s="432" t="str">
        <f t="shared" si="39"/>
        <v>【】</v>
      </c>
      <c r="C2557" s="435" t="str">
        <f>IF(合并现金流量表!L37=0,"【】",TEXT(ABS(合并现金流量表!L37),"#,##0.00"))</f>
        <v>【】</v>
      </c>
    </row>
    <row r="2558" spans="1:3">
      <c r="A2558" s="432" t="s">
        <v>3368</v>
      </c>
      <c r="B2558" s="432" t="str">
        <f t="shared" si="39"/>
        <v>【】</v>
      </c>
      <c r="C2558" s="435" t="str">
        <f>IF(合并现金流量表!L38=0,"【】",TEXT(ABS(合并现金流量表!L38),"#,##0.00"))</f>
        <v>【】</v>
      </c>
    </row>
    <row r="2559" spans="1:3">
      <c r="A2559" s="432" t="s">
        <v>3369</v>
      </c>
      <c r="B2559" s="432" t="str">
        <f t="shared" si="39"/>
        <v>无变化</v>
      </c>
      <c r="C2559" s="435" t="str">
        <f>注释!W145</f>
        <v>无变化</v>
      </c>
    </row>
    <row r="2560" spans="1:3">
      <c r="A2560" s="432" t="s">
        <v>3370</v>
      </c>
      <c r="B2560" s="432" t="str">
        <f t="shared" si="39"/>
        <v>无变化</v>
      </c>
      <c r="C2560" s="435" t="str">
        <f>注释!W146</f>
        <v>无变化</v>
      </c>
    </row>
    <row r="2561" spans="1:3">
      <c r="A2561" s="432" t="s">
        <v>3371</v>
      </c>
      <c r="B2561" s="432" t="e">
        <f t="shared" si="39"/>
        <v>#N/A</v>
      </c>
      <c r="C2561" s="435" t="e">
        <f>注释!W147</f>
        <v>#N/A</v>
      </c>
    </row>
    <row r="2562" spans="1:3">
      <c r="A2562" s="432" t="s">
        <v>3372</v>
      </c>
      <c r="B2562" s="432" t="str">
        <f t="shared" si="39"/>
        <v>无变化</v>
      </c>
      <c r="C2562" s="435" t="str">
        <f>注释!W148</f>
        <v>无变化</v>
      </c>
    </row>
    <row r="2563" spans="1:3">
      <c r="A2563" s="432" t="s">
        <v>3373</v>
      </c>
      <c r="B2563" s="432" t="str">
        <f t="shared" si="39"/>
        <v>无变化</v>
      </c>
      <c r="C2563" s="435" t="str">
        <f>注释!W149</f>
        <v>无变化</v>
      </c>
    </row>
    <row r="2564" spans="1:3">
      <c r="A2564" s="432" t="s">
        <v>3374</v>
      </c>
      <c r="B2564" s="432" t="str">
        <f t="shared" si="39"/>
        <v>无变化</v>
      </c>
      <c r="C2564" s="435" t="str">
        <f>注释!W150</f>
        <v>无变化</v>
      </c>
    </row>
    <row r="2565" spans="1:3">
      <c r="A2565" s="432" t="s">
        <v>3375</v>
      </c>
      <c r="B2565" s="432" t="str">
        <f t="shared" si="39"/>
        <v>无变化</v>
      </c>
      <c r="C2565" s="435" t="str">
        <f>注释!W151</f>
        <v>无变化</v>
      </c>
    </row>
    <row r="2566" spans="1:3">
      <c r="A2566" s="432" t="s">
        <v>3376</v>
      </c>
      <c r="B2566" s="432" t="str">
        <f t="shared" si="39"/>
        <v>无变化</v>
      </c>
      <c r="C2566" s="435" t="str">
        <f>注释!W152</f>
        <v>无变化</v>
      </c>
    </row>
    <row r="2567" spans="1:3">
      <c r="A2567" s="432" t="s">
        <v>3377</v>
      </c>
      <c r="B2567" s="432" t="str">
        <f t="shared" si="39"/>
        <v>无变化</v>
      </c>
      <c r="C2567" s="435" t="str">
        <f>注释!W153</f>
        <v>无变化</v>
      </c>
    </row>
    <row r="2568" spans="1:3">
      <c r="A2568" s="432" t="s">
        <v>3378</v>
      </c>
      <c r="B2568" s="432" t="e">
        <f t="shared" ref="B2568:B2637" si="40">TRIM(C2568)</f>
        <v>#DIV/0!</v>
      </c>
      <c r="C2568" s="435" t="e">
        <f>IF(合并现金流量表!M8=0,"【】",TEXT(ABS(合并现金流量表!M8),"#,##0.00"))</f>
        <v>#DIV/0!</v>
      </c>
    </row>
    <row r="2569" spans="1:3">
      <c r="A2569" s="432" t="s">
        <v>3379</v>
      </c>
      <c r="B2569" s="432" t="e">
        <f t="shared" si="40"/>
        <v>#DIV/0!</v>
      </c>
      <c r="C2569" s="435" t="e">
        <f>IF(合并现金流量表!M13=0,"【】",TEXT(ABS(合并现金流量表!M13),"#,##0.00"))</f>
        <v>#DIV/0!</v>
      </c>
    </row>
    <row r="2570" spans="1:3">
      <c r="A2570" s="432" t="s">
        <v>3380</v>
      </c>
      <c r="B2570" s="432" t="e">
        <f t="shared" si="40"/>
        <v>#DIV/0!</v>
      </c>
      <c r="C2570" s="435" t="e">
        <f>IF(合并现金流量表!M14=0,"【】",TEXT(ABS(合并现金流量表!M14),"#,##0.00"))</f>
        <v>#DIV/0!</v>
      </c>
    </row>
    <row r="2571" spans="1:3">
      <c r="A2571" s="432" t="s">
        <v>3381</v>
      </c>
      <c r="B2571" s="432" t="e">
        <f t="shared" si="40"/>
        <v>#DIV/0!</v>
      </c>
      <c r="C2571" s="435" t="e">
        <f>IF(合并现金流量表!M21=0,"【】",TEXT(ABS(合并现金流量表!M21),"#,##0.00"))</f>
        <v>#DIV/0!</v>
      </c>
    </row>
    <row r="2572" spans="1:3">
      <c r="A2572" s="432" t="s">
        <v>3382</v>
      </c>
      <c r="B2572" s="432" t="e">
        <f t="shared" si="40"/>
        <v>#DIV/0!</v>
      </c>
      <c r="C2572" s="435" t="e">
        <f>IF(合并现金流量表!M26=0,"【】",TEXT(ABS(合并现金流量表!M26),"#,##0.00"))</f>
        <v>#DIV/0!</v>
      </c>
    </row>
    <row r="2573" spans="1:3">
      <c r="A2573" s="432" t="s">
        <v>3383</v>
      </c>
      <c r="B2573" s="432" t="e">
        <f t="shared" si="40"/>
        <v>#DIV/0!</v>
      </c>
      <c r="C2573" s="435" t="e">
        <f>IF(合并现金流量表!M27=0,"【】",TEXT(ABS(合并现金流量表!M27),"#,##0.00"))</f>
        <v>#DIV/0!</v>
      </c>
    </row>
    <row r="2574" spans="1:3">
      <c r="A2574" s="432" t="s">
        <v>3384</v>
      </c>
      <c r="B2574" s="432" t="e">
        <f t="shared" si="40"/>
        <v>#DIV/0!</v>
      </c>
      <c r="C2574" s="435" t="e">
        <f>IF(合并现金流量表!M33=0,"【】",TEXT(ABS(合并现金流量表!M33),"#,##0.00"))</f>
        <v>#DIV/0!</v>
      </c>
    </row>
    <row r="2575" spans="1:3">
      <c r="A2575" s="432" t="s">
        <v>3385</v>
      </c>
      <c r="B2575" s="432" t="e">
        <f t="shared" si="40"/>
        <v>#DIV/0!</v>
      </c>
      <c r="C2575" s="435" t="e">
        <f>IF(合并现金流量表!M37=0,"【】",TEXT(ABS(合并现金流量表!M37),"#,##0.00"))</f>
        <v>#DIV/0!</v>
      </c>
    </row>
    <row r="2576" spans="1:3">
      <c r="A2576" s="432" t="s">
        <v>3386</v>
      </c>
      <c r="B2576" s="432" t="e">
        <f t="shared" si="40"/>
        <v>#DIV/0!</v>
      </c>
      <c r="C2576" s="435" t="e">
        <f>IF(合并现金流量表!M38=0,"【】",TEXT(ABS(合并现金流量表!M38),"#,##0.00"))</f>
        <v>#DIV/0!</v>
      </c>
    </row>
    <row r="2577" spans="1:3">
      <c r="A2577" s="432" t="s">
        <v>3387</v>
      </c>
      <c r="B2577" s="432" t="str">
        <f t="shared" si="40"/>
        <v>无变化</v>
      </c>
      <c r="C2577" s="435" t="str">
        <f>注释!H87</f>
        <v>无变化</v>
      </c>
    </row>
    <row r="2578" spans="1:3">
      <c r="A2578" s="432" t="s">
        <v>3388</v>
      </c>
      <c r="B2578" s="432" t="str">
        <f t="shared" si="40"/>
        <v>无变化</v>
      </c>
      <c r="C2578" s="435" t="str">
        <f>注释!H89</f>
        <v>无变化</v>
      </c>
    </row>
    <row r="2579" spans="1:3">
      <c r="A2579" s="432" t="s">
        <v>3389</v>
      </c>
      <c r="B2579" s="432" t="str">
        <f t="shared" si="40"/>
        <v>无变化</v>
      </c>
      <c r="C2579" s="435" t="str">
        <f>注释!H91</f>
        <v>无变化</v>
      </c>
    </row>
    <row r="2580" spans="1:3">
      <c r="A2580" s="432" t="s">
        <v>3390</v>
      </c>
      <c r="B2580" s="432" t="str">
        <f t="shared" si="40"/>
        <v>无变化</v>
      </c>
      <c r="C2580" s="435" t="str">
        <f>注释!H92</f>
        <v>无变化</v>
      </c>
    </row>
    <row r="2581" spans="1:3">
      <c r="A2581" s="432" t="s">
        <v>3483</v>
      </c>
      <c r="B2581" s="432" t="str">
        <f t="shared" si="40"/>
        <v>无变化</v>
      </c>
      <c r="C2581" s="435" t="str">
        <f>注释!H93</f>
        <v>无变化</v>
      </c>
    </row>
    <row r="2582" spans="1:3">
      <c r="A2582" s="432" t="s">
        <v>3391</v>
      </c>
      <c r="B2582" s="432" t="str">
        <f t="shared" si="40"/>
        <v>无变化</v>
      </c>
      <c r="C2582" s="435" t="str">
        <f>注释!H94</f>
        <v>无变化</v>
      </c>
    </row>
    <row r="2583" spans="1:3">
      <c r="A2583" s="432" t="s">
        <v>3392</v>
      </c>
      <c r="B2583" s="432" t="str">
        <f t="shared" si="40"/>
        <v>无变化</v>
      </c>
      <c r="C2583" s="435" t="str">
        <f>注释!H97</f>
        <v>无变化</v>
      </c>
    </row>
    <row r="2584" spans="1:3">
      <c r="A2584" s="432" t="s">
        <v>3393</v>
      </c>
      <c r="B2584" s="432" t="str">
        <f t="shared" si="40"/>
        <v>无变化</v>
      </c>
      <c r="C2584" s="435" t="str">
        <f>注释!H98</f>
        <v>无变化</v>
      </c>
    </row>
    <row r="2585" spans="1:3">
      <c r="A2585" s="432" t="s">
        <v>3394</v>
      </c>
      <c r="B2585" s="432" t="str">
        <f t="shared" si="40"/>
        <v>无变化</v>
      </c>
      <c r="C2585" s="435" t="str">
        <f>注释!H104</f>
        <v>无变化</v>
      </c>
    </row>
    <row r="2586" spans="1:3">
      <c r="A2586" s="432" t="s">
        <v>3395</v>
      </c>
      <c r="B2586" s="432" t="str">
        <f t="shared" si="40"/>
        <v>无变化</v>
      </c>
      <c r="C2586" s="435" t="str">
        <f>注释!H105</f>
        <v>无变化</v>
      </c>
    </row>
    <row r="2587" spans="1:3">
      <c r="A2587" s="432" t="s">
        <v>3396</v>
      </c>
      <c r="B2587" s="432" t="str">
        <f t="shared" si="40"/>
        <v>【】</v>
      </c>
      <c r="C2587" s="435" t="str">
        <f>IF('合并利润表 '!J4=0,"【】",TEXT(ABS('合并利润表 '!J4),"#,##0.00"))</f>
        <v>【】</v>
      </c>
    </row>
    <row r="2588" spans="1:3">
      <c r="A2588" s="432" t="s">
        <v>3397</v>
      </c>
      <c r="B2588" s="432" t="str">
        <f t="shared" si="40"/>
        <v>【】</v>
      </c>
      <c r="C2588" s="435" t="str">
        <f>IF('合并利润表 '!J7=0,"【】",TEXT(ABS('合并利润表 '!J7),"#,##0.00"))</f>
        <v>【】</v>
      </c>
    </row>
    <row r="2589" spans="1:3">
      <c r="A2589" s="432" t="s">
        <v>3398</v>
      </c>
      <c r="B2589" s="432" t="str">
        <f t="shared" si="40"/>
        <v>【】</v>
      </c>
      <c r="C2589" s="435" t="str">
        <f>IF('合并利润表 '!J9=0,"【】",TEXT(ABS('合并利润表 '!J9),"#,##0.00"))</f>
        <v>【】</v>
      </c>
    </row>
    <row r="2590" spans="1:3">
      <c r="A2590" s="432" t="s">
        <v>3399</v>
      </c>
      <c r="B2590" s="432" t="str">
        <f t="shared" si="40"/>
        <v>【】</v>
      </c>
      <c r="C2590" s="435" t="str">
        <f>IF('合并利润表 '!J10=0,"【】",TEXT(ABS('合并利润表 '!J10),"#,##0.00"))</f>
        <v>【】</v>
      </c>
    </row>
    <row r="2591" spans="1:3">
      <c r="A2591" s="432" t="s">
        <v>3484</v>
      </c>
      <c r="B2591" s="432" t="str">
        <f t="shared" ref="B2591" si="41">TRIM(C2591)</f>
        <v>【】</v>
      </c>
      <c r="C2591" s="435" t="str">
        <f>IF('合并利润表 '!J11=0,"【】",TEXT(ABS('合并利润表 '!J11),"#,##0.00"))</f>
        <v>【】</v>
      </c>
    </row>
    <row r="2592" spans="1:3">
      <c r="A2592" s="432" t="s">
        <v>3400</v>
      </c>
      <c r="B2592" s="432" t="str">
        <f t="shared" si="40"/>
        <v>【】</v>
      </c>
      <c r="C2592" s="435" t="str">
        <f>IF('合并利润表 '!J12=0,"【】",TEXT(ABS('合并利润表 '!J12),"#,##0.00"))</f>
        <v>【】</v>
      </c>
    </row>
    <row r="2593" spans="1:3">
      <c r="A2593" s="432" t="s">
        <v>3401</v>
      </c>
      <c r="B2593" s="432" t="str">
        <f t="shared" si="40"/>
        <v>【】</v>
      </c>
      <c r="C2593" s="435" t="str">
        <f>IF('合并利润表 '!J15=0,"【】",TEXT(ABS('合并利润表 '!J15),"#,##0.00"))</f>
        <v>【】</v>
      </c>
    </row>
    <row r="2594" spans="1:3">
      <c r="A2594" s="432" t="s">
        <v>3402</v>
      </c>
      <c r="B2594" s="432" t="str">
        <f t="shared" si="40"/>
        <v>【】</v>
      </c>
      <c r="C2594" s="435" t="str">
        <f>IF('合并利润表 '!J16=0,"【】",TEXT(ABS('合并利润表 '!J16),"#,##0.00"))</f>
        <v>【】</v>
      </c>
    </row>
    <row r="2595" spans="1:3">
      <c r="A2595" s="432" t="s">
        <v>3403</v>
      </c>
      <c r="B2595" s="432" t="str">
        <f t="shared" si="40"/>
        <v>【】</v>
      </c>
      <c r="C2595" s="435" t="str">
        <f>IF('合并利润表 '!J22=0,"【】",TEXT(ABS('合并利润表 '!J22),"#,##0.00"))</f>
        <v>【】</v>
      </c>
    </row>
    <row r="2596" spans="1:3">
      <c r="A2596" s="432" t="s">
        <v>3404</v>
      </c>
      <c r="B2596" s="432" t="str">
        <f t="shared" si="40"/>
        <v>【】</v>
      </c>
      <c r="C2596" s="435" t="str">
        <f>IF('合并利润表 '!J23=0,"【】",TEXT(ABS('合并利润表 '!J23),"#,##0.00"))</f>
        <v>【】</v>
      </c>
    </row>
    <row r="2597" spans="1:3">
      <c r="A2597" s="432" t="s">
        <v>3405</v>
      </c>
      <c r="B2597" s="432" t="str">
        <f t="shared" si="40"/>
        <v>无变化</v>
      </c>
      <c r="C2597" s="435" t="str">
        <f>注释!K87</f>
        <v>无变化</v>
      </c>
    </row>
    <row r="2598" spans="1:3">
      <c r="A2598" s="432" t="s">
        <v>3406</v>
      </c>
      <c r="B2598" s="432" t="str">
        <f t="shared" si="40"/>
        <v>无变化</v>
      </c>
      <c r="C2598" s="435" t="str">
        <f>注释!K89</f>
        <v>无变化</v>
      </c>
    </row>
    <row r="2599" spans="1:3">
      <c r="A2599" s="432" t="s">
        <v>3407</v>
      </c>
      <c r="B2599" s="432" t="str">
        <f t="shared" si="40"/>
        <v>无变化</v>
      </c>
      <c r="C2599" s="435" t="str">
        <f>注释!K91</f>
        <v>无变化</v>
      </c>
    </row>
    <row r="2600" spans="1:3">
      <c r="A2600" s="432" t="s">
        <v>3408</v>
      </c>
      <c r="B2600" s="432" t="str">
        <f t="shared" si="40"/>
        <v>无变化</v>
      </c>
      <c r="C2600" s="435" t="str">
        <f>注释!K92</f>
        <v>无变化</v>
      </c>
    </row>
    <row r="2601" spans="1:3">
      <c r="A2601" s="432" t="s">
        <v>3485</v>
      </c>
      <c r="B2601" s="432" t="str">
        <f t="shared" ref="B2601" si="42">TRIM(C2601)</f>
        <v>无变化</v>
      </c>
      <c r="C2601" s="435" t="str">
        <f>注释!K93</f>
        <v>无变化</v>
      </c>
    </row>
    <row r="2602" spans="1:3">
      <c r="A2602" s="432" t="s">
        <v>3409</v>
      </c>
      <c r="B2602" s="432" t="str">
        <f t="shared" si="40"/>
        <v>无变化</v>
      </c>
      <c r="C2602" s="435" t="str">
        <f>注释!K94</f>
        <v>无变化</v>
      </c>
    </row>
    <row r="2603" spans="1:3">
      <c r="A2603" s="432" t="s">
        <v>3410</v>
      </c>
      <c r="B2603" s="432" t="str">
        <f t="shared" si="40"/>
        <v>无变化</v>
      </c>
      <c r="C2603" s="435" t="str">
        <f>注释!K97</f>
        <v>无变化</v>
      </c>
    </row>
    <row r="2604" spans="1:3">
      <c r="A2604" s="432" t="s">
        <v>3411</v>
      </c>
      <c r="B2604" s="432" t="str">
        <f t="shared" si="40"/>
        <v>无变化</v>
      </c>
      <c r="C2604" s="435" t="str">
        <f>注释!K98</f>
        <v>无变化</v>
      </c>
    </row>
    <row r="2605" spans="1:3">
      <c r="A2605" s="432" t="s">
        <v>3412</v>
      </c>
      <c r="B2605" s="432" t="str">
        <f t="shared" si="40"/>
        <v>无变化</v>
      </c>
      <c r="C2605" s="435" t="str">
        <f>注释!K104</f>
        <v>无变化</v>
      </c>
    </row>
    <row r="2606" spans="1:3">
      <c r="A2606" s="432" t="s">
        <v>3413</v>
      </c>
      <c r="B2606" s="432" t="str">
        <f t="shared" si="40"/>
        <v>无变化</v>
      </c>
      <c r="C2606" s="435" t="str">
        <f>注释!K105</f>
        <v>无变化</v>
      </c>
    </row>
    <row r="2607" spans="1:3">
      <c r="A2607" s="432" t="s">
        <v>3414</v>
      </c>
      <c r="B2607" s="432" t="e">
        <f t="shared" si="40"/>
        <v>#DIV/0!</v>
      </c>
      <c r="C2607" s="435" t="e">
        <f>IF('合并利润表 '!K4=0,"【】",TEXT(ABS('合并利润表 '!K4),"#,##0.00"))</f>
        <v>#DIV/0!</v>
      </c>
    </row>
    <row r="2608" spans="1:3">
      <c r="A2608" s="432" t="s">
        <v>3415</v>
      </c>
      <c r="B2608" s="432" t="e">
        <f t="shared" si="40"/>
        <v>#DIV/0!</v>
      </c>
      <c r="C2608" s="435" t="e">
        <f>IF('合并利润表 '!K7=0,"【】",TEXT(ABS('合并利润表 '!K7),"#,##0.00"))</f>
        <v>#DIV/0!</v>
      </c>
    </row>
    <row r="2609" spans="1:3">
      <c r="A2609" s="432" t="s">
        <v>3416</v>
      </c>
      <c r="B2609" s="432" t="e">
        <f t="shared" si="40"/>
        <v>#DIV/0!</v>
      </c>
      <c r="C2609" s="435" t="e">
        <f>IF('合并利润表 '!K9=0,"【】",TEXT(ABS('合并利润表 '!K9),"#,##0.00"))</f>
        <v>#DIV/0!</v>
      </c>
    </row>
    <row r="2610" spans="1:3">
      <c r="A2610" s="432" t="s">
        <v>3417</v>
      </c>
      <c r="B2610" s="432" t="e">
        <f t="shared" si="40"/>
        <v>#DIV/0!</v>
      </c>
      <c r="C2610" s="435" t="e">
        <f>IF('合并利润表 '!K10=0,"【】",TEXT(ABS('合并利润表 '!K10),"#,##0.00"))</f>
        <v>#DIV/0!</v>
      </c>
    </row>
    <row r="2611" spans="1:3">
      <c r="A2611" s="432" t="s">
        <v>3486</v>
      </c>
      <c r="B2611" s="432" t="e">
        <f t="shared" ref="B2611" si="43">TRIM(C2611)</f>
        <v>#DIV/0!</v>
      </c>
      <c r="C2611" s="435" t="e">
        <f>IF('合并利润表 '!K11=0,"【】",TEXT(ABS('合并利润表 '!K11),"#,##0.00"))</f>
        <v>#DIV/0!</v>
      </c>
    </row>
    <row r="2612" spans="1:3">
      <c r="A2612" s="432" t="s">
        <v>3418</v>
      </c>
      <c r="B2612" s="432" t="e">
        <f t="shared" si="40"/>
        <v>#DIV/0!</v>
      </c>
      <c r="C2612" s="435" t="e">
        <f>IF('合并利润表 '!K12=0,"【】",TEXT(ABS('合并利润表 '!K12),"#,##0.00"))</f>
        <v>#DIV/0!</v>
      </c>
    </row>
    <row r="2613" spans="1:3">
      <c r="A2613" s="432" t="s">
        <v>3419</v>
      </c>
      <c r="B2613" s="432" t="e">
        <f t="shared" si="40"/>
        <v>#DIV/0!</v>
      </c>
      <c r="C2613" s="435" t="e">
        <f>IF('合并利润表 '!K15=0,"【】",TEXT(ABS('合并利润表 '!K15),"#,##0.00"))</f>
        <v>#DIV/0!</v>
      </c>
    </row>
    <row r="2614" spans="1:3">
      <c r="A2614" s="432" t="s">
        <v>3420</v>
      </c>
      <c r="B2614" s="432" t="e">
        <f t="shared" si="40"/>
        <v>#DIV/0!</v>
      </c>
      <c r="C2614" s="435" t="e">
        <f>IF('合并利润表 '!K16=0,"【】",TEXT(ABS('合并利润表 '!K16),"#,##0.00"))</f>
        <v>#DIV/0!</v>
      </c>
    </row>
    <row r="2615" spans="1:3">
      <c r="A2615" s="432" t="s">
        <v>3421</v>
      </c>
      <c r="B2615" s="432" t="e">
        <f t="shared" si="40"/>
        <v>#DIV/0!</v>
      </c>
      <c r="C2615" s="435" t="e">
        <f>IF('合并利润表 '!K22=0,"【】",TEXT(ABS('合并利润表 '!K22),"#,##0.00"))</f>
        <v>#DIV/0!</v>
      </c>
    </row>
    <row r="2616" spans="1:3">
      <c r="A2616" s="432" t="s">
        <v>3422</v>
      </c>
      <c r="B2616" s="432" t="e">
        <f t="shared" si="40"/>
        <v>#DIV/0!</v>
      </c>
      <c r="C2616" s="435" t="e">
        <f>IF('合并利润表 '!K23=0,"【】",TEXT(ABS('合并利润表 '!K23),"#,##0.00"))</f>
        <v>#DIV/0!</v>
      </c>
    </row>
    <row r="2617" spans="1:3">
      <c r="A2617" s="432" t="s">
        <v>3423</v>
      </c>
      <c r="B2617" s="432" t="str">
        <f t="shared" si="40"/>
        <v>无变化</v>
      </c>
      <c r="C2617" s="435" t="str">
        <f>注释!N87</f>
        <v>无变化</v>
      </c>
    </row>
    <row r="2618" spans="1:3">
      <c r="A2618" s="432" t="s">
        <v>3424</v>
      </c>
      <c r="B2618" s="432" t="str">
        <f t="shared" si="40"/>
        <v>无变化</v>
      </c>
      <c r="C2618" s="435" t="str">
        <f>注释!N89</f>
        <v>无变化</v>
      </c>
    </row>
    <row r="2619" spans="1:3">
      <c r="A2619" s="432" t="s">
        <v>3425</v>
      </c>
      <c r="B2619" s="432" t="str">
        <f t="shared" si="40"/>
        <v>无变化</v>
      </c>
      <c r="C2619" s="435" t="str">
        <f>注释!N91</f>
        <v>无变化</v>
      </c>
    </row>
    <row r="2620" spans="1:3">
      <c r="A2620" s="432" t="s">
        <v>3426</v>
      </c>
      <c r="B2620" s="432" t="str">
        <f t="shared" si="40"/>
        <v>无变化</v>
      </c>
      <c r="C2620" s="435" t="str">
        <f>注释!N92</f>
        <v>无变化</v>
      </c>
    </row>
    <row r="2621" spans="1:3">
      <c r="A2621" s="432" t="s">
        <v>3487</v>
      </c>
      <c r="B2621" s="432" t="str">
        <f t="shared" ref="B2621" si="44">TRIM(C2621)</f>
        <v>无变化</v>
      </c>
      <c r="C2621" s="435" t="str">
        <f>注释!N93</f>
        <v>无变化</v>
      </c>
    </row>
    <row r="2622" spans="1:3">
      <c r="A2622" s="432" t="s">
        <v>3427</v>
      </c>
      <c r="B2622" s="432" t="str">
        <f t="shared" si="40"/>
        <v>无变化</v>
      </c>
      <c r="C2622" s="435" t="str">
        <f>注释!N94</f>
        <v>无变化</v>
      </c>
    </row>
    <row r="2623" spans="1:3">
      <c r="A2623" s="432" t="s">
        <v>3428</v>
      </c>
      <c r="B2623" s="432" t="str">
        <f t="shared" si="40"/>
        <v>无变化</v>
      </c>
      <c r="C2623" s="435" t="str">
        <f>注释!N97</f>
        <v>无变化</v>
      </c>
    </row>
    <row r="2624" spans="1:3">
      <c r="A2624" s="432" t="s">
        <v>3429</v>
      </c>
      <c r="B2624" s="432" t="str">
        <f t="shared" si="40"/>
        <v>无变化</v>
      </c>
      <c r="C2624" s="435" t="str">
        <f>注释!N98</f>
        <v>无变化</v>
      </c>
    </row>
    <row r="2625" spans="1:3">
      <c r="A2625" s="432" t="s">
        <v>3430</v>
      </c>
      <c r="B2625" s="432" t="str">
        <f t="shared" si="40"/>
        <v>无变化</v>
      </c>
      <c r="C2625" s="435" t="str">
        <f>注释!N104</f>
        <v>无变化</v>
      </c>
    </row>
    <row r="2626" spans="1:3">
      <c r="A2626" s="432" t="s">
        <v>3431</v>
      </c>
      <c r="B2626" s="432" t="str">
        <f t="shared" si="40"/>
        <v>无变化</v>
      </c>
      <c r="C2626" s="435" t="str">
        <f>注释!N105</f>
        <v>无变化</v>
      </c>
    </row>
    <row r="2627" spans="1:3">
      <c r="A2627" s="432" t="s">
        <v>3432</v>
      </c>
      <c r="B2627" s="432" t="str">
        <f t="shared" si="40"/>
        <v>【】</v>
      </c>
      <c r="C2627" s="435" t="str">
        <f>IF('合并利润表 '!L4=0,"【】",TEXT(ABS('合并利润表 '!L4),"#,##0.00"))</f>
        <v>【】</v>
      </c>
    </row>
    <row r="2628" spans="1:3">
      <c r="A2628" s="432" t="s">
        <v>3433</v>
      </c>
      <c r="B2628" s="432" t="str">
        <f t="shared" si="40"/>
        <v>【】</v>
      </c>
      <c r="C2628" s="435" t="str">
        <f>IF('合并利润表 '!L7=0,"【】",TEXT(ABS('合并利润表 '!L7),"#,##0.00"))</f>
        <v>【】</v>
      </c>
    </row>
    <row r="2629" spans="1:3">
      <c r="A2629" s="432" t="s">
        <v>3434</v>
      </c>
      <c r="B2629" s="432" t="str">
        <f t="shared" si="40"/>
        <v>【】</v>
      </c>
      <c r="C2629" s="435" t="str">
        <f>IF('合并利润表 '!L9=0,"【】",TEXT(ABS('合并利润表 '!L9),"#,##0.00"))</f>
        <v>【】</v>
      </c>
    </row>
    <row r="2630" spans="1:3">
      <c r="A2630" s="432" t="s">
        <v>3435</v>
      </c>
      <c r="B2630" s="432" t="str">
        <f t="shared" si="40"/>
        <v>【】</v>
      </c>
      <c r="C2630" s="435" t="str">
        <f>IF('合并利润表 '!L10=0,"【】",TEXT(ABS('合并利润表 '!L10),"#,##0.00"))</f>
        <v>【】</v>
      </c>
    </row>
    <row r="2631" spans="1:3">
      <c r="A2631" s="432" t="s">
        <v>3488</v>
      </c>
      <c r="B2631" s="432" t="str">
        <f t="shared" ref="B2631" si="45">TRIM(C2631)</f>
        <v>【】</v>
      </c>
      <c r="C2631" s="435" t="str">
        <f>IF('合并利润表 '!L11=0,"【】",TEXT(ABS('合并利润表 '!L11),"#,##0.00"))</f>
        <v>【】</v>
      </c>
    </row>
    <row r="2632" spans="1:3">
      <c r="A2632" s="432" t="s">
        <v>3436</v>
      </c>
      <c r="B2632" s="432" t="str">
        <f t="shared" si="40"/>
        <v>【】</v>
      </c>
      <c r="C2632" s="435" t="str">
        <f>IF('合并利润表 '!L12=0,"【】",TEXT(ABS('合并利润表 '!L12),"#,##0.00"))</f>
        <v>【】</v>
      </c>
    </row>
    <row r="2633" spans="1:3">
      <c r="A2633" s="432" t="s">
        <v>3437</v>
      </c>
      <c r="B2633" s="432" t="str">
        <f t="shared" si="40"/>
        <v>【】</v>
      </c>
      <c r="C2633" s="435" t="str">
        <f>IF('合并利润表 '!L15=0,"【】",TEXT(ABS('合并利润表 '!L15),"#,##0.00"))</f>
        <v>【】</v>
      </c>
    </row>
    <row r="2634" spans="1:3">
      <c r="A2634" s="432" t="s">
        <v>3438</v>
      </c>
      <c r="B2634" s="432" t="str">
        <f t="shared" si="40"/>
        <v>【】</v>
      </c>
      <c r="C2634" s="435" t="str">
        <f>IF('合并利润表 '!L16=0,"【】",TEXT(ABS('合并利润表 '!L16),"#,##0.00"))</f>
        <v>【】</v>
      </c>
    </row>
    <row r="2635" spans="1:3">
      <c r="A2635" s="432" t="s">
        <v>3439</v>
      </c>
      <c r="B2635" s="432" t="str">
        <f t="shared" si="40"/>
        <v>【】</v>
      </c>
      <c r="C2635" s="435" t="str">
        <f>IF('合并利润表 '!L22=0,"【】",TEXT(ABS('合并利润表 '!L22),"#,##0.00"))</f>
        <v>【】</v>
      </c>
    </row>
    <row r="2636" spans="1:3">
      <c r="A2636" s="432" t="s">
        <v>3440</v>
      </c>
      <c r="B2636" s="432" t="str">
        <f t="shared" si="40"/>
        <v>【】</v>
      </c>
      <c r="C2636" s="435" t="str">
        <f>IF('合并利润表 '!L23=0,"【】",TEXT(ABS('合并利润表 '!L23),"#,##0.00"))</f>
        <v>【】</v>
      </c>
    </row>
    <row r="2637" spans="1:3">
      <c r="A2637" s="432" t="s">
        <v>3441</v>
      </c>
      <c r="B2637" s="432" t="str">
        <f t="shared" si="40"/>
        <v>无变化</v>
      </c>
      <c r="C2637" s="435" t="str">
        <f>注释!Q87</f>
        <v>无变化</v>
      </c>
    </row>
    <row r="2638" spans="1:3">
      <c r="A2638" s="432" t="s">
        <v>3442</v>
      </c>
      <c r="B2638" s="432" t="str">
        <f t="shared" ref="B2638:B2704" si="46">TRIM(C2638)</f>
        <v>无变化</v>
      </c>
      <c r="C2638" s="435" t="str">
        <f>注释!Q89</f>
        <v>无变化</v>
      </c>
    </row>
    <row r="2639" spans="1:3">
      <c r="A2639" s="432" t="s">
        <v>3443</v>
      </c>
      <c r="B2639" s="432" t="str">
        <f t="shared" si="46"/>
        <v>无变化</v>
      </c>
      <c r="C2639" s="435" t="str">
        <f>注释!Q91</f>
        <v>无变化</v>
      </c>
    </row>
    <row r="2640" spans="1:3">
      <c r="A2640" s="432" t="s">
        <v>3444</v>
      </c>
      <c r="B2640" s="432" t="str">
        <f t="shared" si="46"/>
        <v>无变化</v>
      </c>
      <c r="C2640" s="435" t="str">
        <f>注释!Q92</f>
        <v>无变化</v>
      </c>
    </row>
    <row r="2641" spans="1:3">
      <c r="A2641" s="432" t="s">
        <v>3489</v>
      </c>
      <c r="B2641" s="432" t="str">
        <f t="shared" ref="B2641" si="47">TRIM(C2641)</f>
        <v>无变化</v>
      </c>
      <c r="C2641" s="435" t="str">
        <f>注释!Q93</f>
        <v>无变化</v>
      </c>
    </row>
    <row r="2642" spans="1:3">
      <c r="A2642" s="432" t="s">
        <v>3445</v>
      </c>
      <c r="B2642" s="432" t="str">
        <f t="shared" si="46"/>
        <v>无变化</v>
      </c>
      <c r="C2642" s="435" t="str">
        <f>注释!Q94</f>
        <v>无变化</v>
      </c>
    </row>
    <row r="2643" spans="1:3">
      <c r="A2643" s="432" t="s">
        <v>3446</v>
      </c>
      <c r="B2643" s="432" t="str">
        <f t="shared" si="46"/>
        <v>无变化</v>
      </c>
      <c r="C2643" s="435" t="str">
        <f>注释!Q97</f>
        <v>无变化</v>
      </c>
    </row>
    <row r="2644" spans="1:3">
      <c r="A2644" s="432" t="s">
        <v>3447</v>
      </c>
      <c r="B2644" s="432" t="str">
        <f t="shared" si="46"/>
        <v>无变化</v>
      </c>
      <c r="C2644" s="435" t="str">
        <f>注释!Q98</f>
        <v>无变化</v>
      </c>
    </row>
    <row r="2645" spans="1:3">
      <c r="A2645" s="432" t="s">
        <v>3448</v>
      </c>
      <c r="B2645" s="432" t="str">
        <f t="shared" si="46"/>
        <v>无变化</v>
      </c>
      <c r="C2645" s="435" t="str">
        <f>注释!Q104</f>
        <v>无变化</v>
      </c>
    </row>
    <row r="2646" spans="1:3">
      <c r="A2646" s="432" t="s">
        <v>3449</v>
      </c>
      <c r="B2646" s="432" t="str">
        <f t="shared" si="46"/>
        <v>无变化</v>
      </c>
      <c r="C2646" s="435" t="str">
        <f>注释!Q105</f>
        <v>无变化</v>
      </c>
    </row>
    <row r="2647" spans="1:3">
      <c r="A2647" s="432" t="s">
        <v>3450</v>
      </c>
      <c r="B2647" s="432" t="e">
        <f t="shared" si="46"/>
        <v>#DIV/0!</v>
      </c>
      <c r="C2647" s="435" t="e">
        <f>IF('合并利润表 '!M4=0,"【】",TEXT(ABS('合并利润表 '!M4),"#,##0.00"))</f>
        <v>#DIV/0!</v>
      </c>
    </row>
    <row r="2648" spans="1:3">
      <c r="A2648" s="432" t="s">
        <v>3451</v>
      </c>
      <c r="B2648" s="432" t="e">
        <f t="shared" si="46"/>
        <v>#DIV/0!</v>
      </c>
      <c r="C2648" s="435" t="e">
        <f>IF('合并利润表 '!M7=0,"【】",TEXT(ABS('合并利润表 '!M7),"#,##0.00"))</f>
        <v>#DIV/0!</v>
      </c>
    </row>
    <row r="2649" spans="1:3">
      <c r="A2649" s="432" t="s">
        <v>3452</v>
      </c>
      <c r="B2649" s="432" t="e">
        <f t="shared" si="46"/>
        <v>#DIV/0!</v>
      </c>
      <c r="C2649" s="435" t="e">
        <f>IF('合并利润表 '!M9=0,"【】",TEXT(ABS('合并利润表 '!M9),"#,##0.00"))</f>
        <v>#DIV/0!</v>
      </c>
    </row>
    <row r="2650" spans="1:3">
      <c r="A2650" s="432" t="s">
        <v>3453</v>
      </c>
      <c r="B2650" s="432" t="e">
        <f t="shared" si="46"/>
        <v>#DIV/0!</v>
      </c>
      <c r="C2650" s="435" t="e">
        <f>IF('合并利润表 '!M10=0,"【】",TEXT(ABS('合并利润表 '!M10),"#,##0.00"))</f>
        <v>#DIV/0!</v>
      </c>
    </row>
    <row r="2651" spans="1:3">
      <c r="A2651" s="432" t="s">
        <v>3490</v>
      </c>
      <c r="B2651" s="432" t="e">
        <f t="shared" ref="B2651" si="48">TRIM(C2651)</f>
        <v>#DIV/0!</v>
      </c>
      <c r="C2651" s="435" t="e">
        <f>IF('合并利润表 '!M11=0,"【】",TEXT(ABS('合并利润表 '!M11),"#,##0.00"))</f>
        <v>#DIV/0!</v>
      </c>
    </row>
    <row r="2652" spans="1:3">
      <c r="A2652" s="432" t="s">
        <v>3454</v>
      </c>
      <c r="B2652" s="432" t="e">
        <f t="shared" si="46"/>
        <v>#DIV/0!</v>
      </c>
      <c r="C2652" s="435" t="e">
        <f>IF('合并利润表 '!M12=0,"【】",TEXT(ABS('合并利润表 '!M12),"#,##0.00"))</f>
        <v>#DIV/0!</v>
      </c>
    </row>
    <row r="2653" spans="1:3">
      <c r="A2653" s="432" t="s">
        <v>3455</v>
      </c>
      <c r="B2653" s="432" t="e">
        <f t="shared" si="46"/>
        <v>#DIV/0!</v>
      </c>
      <c r="C2653" s="435" t="e">
        <f>IF('合并利润表 '!M15=0,"【】",TEXT(ABS('合并利润表 '!M15),"#,##0.00"))</f>
        <v>#DIV/0!</v>
      </c>
    </row>
    <row r="2654" spans="1:3">
      <c r="A2654" s="432" t="s">
        <v>3456</v>
      </c>
      <c r="B2654" s="432" t="e">
        <f t="shared" si="46"/>
        <v>#DIV/0!</v>
      </c>
      <c r="C2654" s="435" t="e">
        <f>IF('合并利润表 '!M16=0,"【】",TEXT(ABS('合并利润表 '!M16),"#,##0.00"))</f>
        <v>#DIV/0!</v>
      </c>
    </row>
    <row r="2655" spans="1:3">
      <c r="A2655" s="432" t="s">
        <v>3457</v>
      </c>
      <c r="B2655" s="432" t="e">
        <f t="shared" si="46"/>
        <v>#DIV/0!</v>
      </c>
      <c r="C2655" s="435" t="e">
        <f>IF('合并利润表 '!M22=0,"【】",TEXT(ABS('合并利润表 '!M22),"#,##0.00"))</f>
        <v>#DIV/0!</v>
      </c>
    </row>
    <row r="2656" spans="1:3">
      <c r="A2656" s="432" t="s">
        <v>3458</v>
      </c>
      <c r="B2656" s="432" t="e">
        <f t="shared" si="46"/>
        <v>#DIV/0!</v>
      </c>
      <c r="C2656" s="435" t="e">
        <f>IF('合并利润表 '!M23=0,"【】",TEXT(ABS('合并利润表 '!M23),"#,##0.00"))</f>
        <v>#DIV/0!</v>
      </c>
    </row>
    <row r="2657" spans="1:4">
      <c r="A2657" s="432" t="s">
        <v>3459</v>
      </c>
      <c r="B2657" s="432" t="str">
        <f t="shared" si="46"/>
        <v>-</v>
      </c>
      <c r="C2657" s="435" t="str">
        <f>IF(注释!C141=0,"-",TEXT(注释!C141,"#,##0.00"))</f>
        <v>-</v>
      </c>
    </row>
    <row r="2658" spans="1:4">
      <c r="A2658" s="432" t="s">
        <v>3460</v>
      </c>
      <c r="B2658" s="432" t="str">
        <f t="shared" si="46"/>
        <v>-</v>
      </c>
      <c r="C2658" s="435" t="str">
        <f>IF(注释!E141=0,"-",TEXT(注释!E141,"#,##0.00"))</f>
        <v>-</v>
      </c>
    </row>
    <row r="2659" spans="1:4">
      <c r="A2659" s="432" t="s">
        <v>3461</v>
      </c>
      <c r="B2659" s="432" t="str">
        <f t="shared" si="46"/>
        <v>-</v>
      </c>
      <c r="C2659" s="435" t="str">
        <f>IF(注释!G141=0,"-",TEXT(注释!G141,"#,##0.00"))</f>
        <v>-</v>
      </c>
    </row>
    <row r="2660" spans="1:4">
      <c r="A2660" s="432" t="s">
        <v>3462</v>
      </c>
      <c r="B2660" s="432" t="str">
        <f t="shared" si="46"/>
        <v>-</v>
      </c>
      <c r="C2660" s="435" t="str">
        <f>IF(注释!I141=0,"-",TEXT(注释!I141,"#,##0.00"))</f>
        <v>-</v>
      </c>
    </row>
    <row r="2661" spans="1:4">
      <c r="A2661" s="432" t="s">
        <v>3463</v>
      </c>
      <c r="B2661" s="432" t="e">
        <f t="shared" si="46"/>
        <v>#DIV/0!</v>
      </c>
      <c r="C2661" s="435" t="e">
        <f>IF(注释!D141=0,"-",TEXT(注释!D141,"#,##0.00"))</f>
        <v>#DIV/0!</v>
      </c>
    </row>
    <row r="2662" spans="1:4">
      <c r="A2662" s="432" t="s">
        <v>3464</v>
      </c>
      <c r="B2662" s="432" t="e">
        <f t="shared" si="46"/>
        <v>#DIV/0!</v>
      </c>
      <c r="C2662" s="435" t="e">
        <f>IF(注释!F141=0,"-",TEXT(注释!F141,"#,##0.00"))</f>
        <v>#DIV/0!</v>
      </c>
    </row>
    <row r="2663" spans="1:4">
      <c r="A2663" s="432" t="s">
        <v>3465</v>
      </c>
      <c r="B2663" s="432" t="e">
        <f t="shared" si="46"/>
        <v>#DIV/0!</v>
      </c>
      <c r="C2663" s="435" t="e">
        <f>IF(注释!H141=0,"-",TEXT(注释!H141,"#,##0.00"))</f>
        <v>#DIV/0!</v>
      </c>
    </row>
    <row r="2664" spans="1:4">
      <c r="A2664" s="432" t="s">
        <v>3466</v>
      </c>
      <c r="B2664" s="432" t="e">
        <f t="shared" si="46"/>
        <v>#DIV/0!</v>
      </c>
      <c r="C2664" s="435" t="e">
        <f>IF(注释!J141=0,"-",TEXT(注释!J141,"#,##0.00"))</f>
        <v>#DIV/0!</v>
      </c>
    </row>
    <row r="2665" spans="1:4">
      <c r="A2665" s="432" t="s">
        <v>3467</v>
      </c>
      <c r="B2665" s="432" t="e">
        <f t="shared" si="46"/>
        <v>#DIV/0!</v>
      </c>
      <c r="C2665" s="435" t="e">
        <f>IF(注释!D137=0,"-",TEXT(注释!D137,"#,##0.00"))</f>
        <v>#DIV/0!</v>
      </c>
      <c r="D2665" s="435">
        <f>BS结构变动!C3</f>
        <v>0</v>
      </c>
    </row>
    <row r="2666" spans="1:4">
      <c r="A2666" s="432" t="s">
        <v>3468</v>
      </c>
      <c r="B2666" s="432" t="e">
        <f t="shared" si="46"/>
        <v>#DIV/0!</v>
      </c>
      <c r="C2666" s="435" t="e">
        <f>IF(注释!D138=0,"-",TEXT(注释!D138,"#,##0.00"))</f>
        <v>#DIV/0!</v>
      </c>
      <c r="D2666" s="435">
        <f>BS结构变动!C4</f>
        <v>0</v>
      </c>
    </row>
    <row r="2667" spans="1:4">
      <c r="A2667" s="432" t="s">
        <v>3469</v>
      </c>
      <c r="B2667" s="432" t="e">
        <f t="shared" si="46"/>
        <v>#DIV/0!</v>
      </c>
      <c r="C2667" s="435" t="e">
        <f>IF(注释!D139=0,"-",TEXT(注释!D139,"#,##0.00"))</f>
        <v>#DIV/0!</v>
      </c>
      <c r="D2667" s="435">
        <f>BS结构变动!C5</f>
        <v>0</v>
      </c>
    </row>
    <row r="2668" spans="1:4">
      <c r="A2668" s="432" t="s">
        <v>3470</v>
      </c>
      <c r="B2668" s="432" t="e">
        <f t="shared" si="46"/>
        <v>#DIV/0!</v>
      </c>
      <c r="C2668" s="435" t="e">
        <f>IF(注释!D140=0,"-",TEXT(注释!D140,"#,##0.00"))</f>
        <v>#DIV/0!</v>
      </c>
      <c r="D2668" s="435">
        <f>BS结构变动!C6</f>
        <v>0</v>
      </c>
    </row>
    <row r="2669" spans="1:4">
      <c r="A2669" s="432" t="s">
        <v>3471</v>
      </c>
      <c r="B2669" s="432" t="e">
        <f t="shared" si="46"/>
        <v>#DIV/0!</v>
      </c>
      <c r="C2669" s="435" t="e">
        <f>IF(注释!F137=0,"-",TEXT(注释!F137,"#,##0.00"))</f>
        <v>#DIV/0!</v>
      </c>
      <c r="D2669" s="435">
        <f>BS结构变动!C7</f>
        <v>0</v>
      </c>
    </row>
    <row r="2670" spans="1:4">
      <c r="A2670" s="432" t="s">
        <v>3472</v>
      </c>
      <c r="B2670" s="432" t="e">
        <f t="shared" si="46"/>
        <v>#DIV/0!</v>
      </c>
      <c r="C2670" s="435" t="e">
        <f>IF(注释!F138=0,"-",TEXT(注释!F138,"#,##0.00"))</f>
        <v>#DIV/0!</v>
      </c>
      <c r="D2670" s="435">
        <f>BS结构变动!C8</f>
        <v>0</v>
      </c>
    </row>
    <row r="2671" spans="1:4">
      <c r="A2671" s="432" t="s">
        <v>3473</v>
      </c>
      <c r="B2671" s="432" t="e">
        <f t="shared" si="46"/>
        <v>#DIV/0!</v>
      </c>
      <c r="C2671" s="435" t="e">
        <f>IF(注释!F139=0,"-",TEXT(注释!F139,"#,##0.00"))</f>
        <v>#DIV/0!</v>
      </c>
      <c r="D2671" s="435">
        <f>BS结构变动!C9</f>
        <v>0</v>
      </c>
    </row>
    <row r="2672" spans="1:4">
      <c r="A2672" s="432" t="s">
        <v>3474</v>
      </c>
      <c r="B2672" s="432" t="e">
        <f t="shared" si="46"/>
        <v>#DIV/0!</v>
      </c>
      <c r="C2672" s="435" t="e">
        <f>IF(注释!F140=0,"-",TEXT(注释!F140,"#,##0.00"))</f>
        <v>#DIV/0!</v>
      </c>
      <c r="D2672" s="435" t="e">
        <f>BS结构变动!C10</f>
        <v>#DIV/0!</v>
      </c>
    </row>
    <row r="2673" spans="1:7">
      <c r="A2673" s="432" t="s">
        <v>3475</v>
      </c>
      <c r="B2673" s="432" t="e">
        <f t="shared" si="46"/>
        <v>#DIV/0!</v>
      </c>
      <c r="C2673" s="435" t="e">
        <f>IF(注释!H137=0,"-",TEXT(注释!H137,"#,##0.00"))</f>
        <v>#DIV/0!</v>
      </c>
      <c r="D2673" s="435" t="e">
        <f>BS结构变动!C11</f>
        <v>#DIV/0!</v>
      </c>
    </row>
    <row r="2674" spans="1:7">
      <c r="A2674" s="432" t="s">
        <v>3476</v>
      </c>
      <c r="B2674" s="432" t="e">
        <f t="shared" si="46"/>
        <v>#DIV/0!</v>
      </c>
      <c r="C2674" s="435" t="e">
        <f>IF(注释!H138=0,"-",TEXT(注释!H138,"#,##0.00"))</f>
        <v>#DIV/0!</v>
      </c>
      <c r="D2674" s="435">
        <f>BS结构变动!E3</f>
        <v>0</v>
      </c>
    </row>
    <row r="2675" spans="1:7">
      <c r="A2675" s="432" t="s">
        <v>3477</v>
      </c>
      <c r="B2675" s="432" t="e">
        <f t="shared" si="46"/>
        <v>#DIV/0!</v>
      </c>
      <c r="C2675" s="435" t="e">
        <f>IF(注释!H139=0,"-",TEXT(注释!H139,"#,##0.00"))</f>
        <v>#DIV/0!</v>
      </c>
      <c r="D2675" s="435">
        <f>BS结构变动!E4</f>
        <v>0</v>
      </c>
    </row>
    <row r="2676" spans="1:7">
      <c r="A2676" s="432" t="s">
        <v>3478</v>
      </c>
      <c r="B2676" s="432" t="e">
        <f t="shared" si="46"/>
        <v>#DIV/0!</v>
      </c>
      <c r="C2676" s="435" t="e">
        <f>IF(注释!H140=0,"-",TEXT(注释!H140,"#,##0.00"))</f>
        <v>#DIV/0!</v>
      </c>
      <c r="D2676" s="435">
        <f>BS结构变动!E5</f>
        <v>0</v>
      </c>
    </row>
    <row r="2677" spans="1:7">
      <c r="A2677" s="432" t="s">
        <v>3479</v>
      </c>
      <c r="B2677" s="432" t="e">
        <f t="shared" si="46"/>
        <v>#DIV/0!</v>
      </c>
      <c r="C2677" s="435" t="e">
        <f>IF(注释!J137=0,"-",TEXT(注释!J137,"#,##0.00"))</f>
        <v>#DIV/0!</v>
      </c>
      <c r="D2677" s="435">
        <f>BS结构变动!E6</f>
        <v>0</v>
      </c>
    </row>
    <row r="2678" spans="1:7">
      <c r="A2678" s="432" t="s">
        <v>3480</v>
      </c>
      <c r="B2678" s="432" t="e">
        <f t="shared" si="46"/>
        <v>#DIV/0!</v>
      </c>
      <c r="C2678" s="435" t="e">
        <f>IF(注释!J138=0,"-",TEXT(注释!J138,"#,##0.00"))</f>
        <v>#DIV/0!</v>
      </c>
      <c r="D2678" s="435">
        <f>BS结构变动!E7</f>
        <v>0</v>
      </c>
    </row>
    <row r="2679" spans="1:7">
      <c r="A2679" s="432" t="s">
        <v>3481</v>
      </c>
      <c r="B2679" s="432" t="e">
        <f t="shared" si="46"/>
        <v>#DIV/0!</v>
      </c>
      <c r="C2679" s="435" t="e">
        <f>IF(注释!J139=0,"-",TEXT(注释!J139,"#,##0.00"))</f>
        <v>#DIV/0!</v>
      </c>
      <c r="D2679" s="435">
        <f>BS结构变动!E8</f>
        <v>0</v>
      </c>
    </row>
    <row r="2680" spans="1:7">
      <c r="A2680" s="432" t="s">
        <v>3482</v>
      </c>
      <c r="B2680" s="432" t="e">
        <f t="shared" si="46"/>
        <v>#DIV/0!</v>
      </c>
      <c r="C2680" s="435" t="e">
        <f>IF(注释!J140=0,"-",TEXT(注释!J140,"#,##0.00"))</f>
        <v>#DIV/0!</v>
      </c>
      <c r="D2680" s="435">
        <f>BS结构变动!E9</f>
        <v>0</v>
      </c>
    </row>
    <row r="2681" spans="1:7">
      <c r="A2681" s="432" t="s">
        <v>3125</v>
      </c>
      <c r="B2681" s="432" t="str">
        <f t="shared" si="46"/>
        <v>-</v>
      </c>
      <c r="C2681" s="435" t="str">
        <f>IF(BS结构变动!C3=0,"-",TEXT(BS结构变动!C3,"#,##0.00"))</f>
        <v>-</v>
      </c>
      <c r="E2681" s="436" t="s">
        <v>3161</v>
      </c>
      <c r="G2681" s="585"/>
    </row>
    <row r="2682" spans="1:7">
      <c r="A2682" s="432" t="s">
        <v>3127</v>
      </c>
      <c r="B2682" s="432" t="str">
        <f t="shared" si="46"/>
        <v>-</v>
      </c>
      <c r="C2682" s="435" t="str">
        <f>IF(BS结构变动!C4=0,"-",TEXT(BS结构变动!C4,"#,##0.00"))</f>
        <v>-</v>
      </c>
      <c r="G2682" s="585"/>
    </row>
    <row r="2683" spans="1:7">
      <c r="A2683" s="432" t="s">
        <v>3129</v>
      </c>
      <c r="B2683" s="432" t="str">
        <f t="shared" si="46"/>
        <v>-</v>
      </c>
      <c r="C2683" s="435" t="str">
        <f>IF(BS结构变动!C5=0,"-",TEXT(BS结构变动!C5,"#,##0.00"))</f>
        <v>-</v>
      </c>
      <c r="G2683" s="585"/>
    </row>
    <row r="2684" spans="1:7">
      <c r="A2684" s="432" t="s">
        <v>3131</v>
      </c>
      <c r="B2684" s="432" t="str">
        <f t="shared" si="46"/>
        <v>-</v>
      </c>
      <c r="C2684" s="435" t="str">
        <f>IF(BS结构变动!C6=0,"-",TEXT(BS结构变动!C6,"#,##0.00"))</f>
        <v>-</v>
      </c>
      <c r="G2684" s="585"/>
    </row>
    <row r="2685" spans="1:7">
      <c r="A2685" s="432" t="s">
        <v>3133</v>
      </c>
      <c r="B2685" s="432" t="str">
        <f t="shared" si="46"/>
        <v>-</v>
      </c>
      <c r="C2685" s="435" t="str">
        <f>IF(BS结构变动!C7=0,"-",TEXT(BS结构变动!C7,"#,##0.00"))</f>
        <v>-</v>
      </c>
      <c r="G2685" s="585"/>
    </row>
    <row r="2686" spans="1:7">
      <c r="A2686" s="432" t="s">
        <v>3135</v>
      </c>
      <c r="B2686" s="432" t="str">
        <f t="shared" si="46"/>
        <v>-</v>
      </c>
      <c r="C2686" s="435" t="str">
        <f>IF(BS结构变动!C8=0,"-",TEXT(BS结构变动!C8,"#,##0.00"))</f>
        <v>-</v>
      </c>
      <c r="G2686" s="585"/>
    </row>
    <row r="2687" spans="1:7">
      <c r="A2687" s="432" t="s">
        <v>3137</v>
      </c>
      <c r="B2687" s="432" t="str">
        <f t="shared" si="46"/>
        <v>-</v>
      </c>
      <c r="C2687" s="435" t="str">
        <f>IF(BS结构变动!C9=0,"-",TEXT(BS结构变动!C9,"#,##0.00"))</f>
        <v>-</v>
      </c>
      <c r="G2687" s="585"/>
    </row>
    <row r="2688" spans="1:7">
      <c r="A2688" s="432" t="s">
        <v>3139</v>
      </c>
      <c r="B2688" s="432" t="e">
        <f t="shared" si="46"/>
        <v>#DIV/0!</v>
      </c>
      <c r="C2688" s="435" t="e">
        <f>IF(BS结构变动!C10=0,"-",TEXT(BS结构变动!C10,"#,##0.00"))</f>
        <v>#DIV/0!</v>
      </c>
      <c r="G2688" s="585"/>
    </row>
    <row r="2689" spans="1:7">
      <c r="A2689" s="432" t="s">
        <v>3141</v>
      </c>
      <c r="B2689" s="432" t="e">
        <f t="shared" si="46"/>
        <v>#DIV/0!</v>
      </c>
      <c r="C2689" s="435" t="e">
        <f>IF(BS结构变动!C11=0,"-",TEXT(BS结构变动!C11,"#,##0.00"))</f>
        <v>#DIV/0!</v>
      </c>
      <c r="G2689" s="585"/>
    </row>
    <row r="2690" spans="1:7">
      <c r="A2690" s="432" t="s">
        <v>4031</v>
      </c>
      <c r="B2690" s="432" t="e">
        <f t="shared" ref="B2690" si="49">TRIM(C2690)</f>
        <v>#DIV/0!</v>
      </c>
      <c r="C2690" s="435" t="e">
        <f>IF(BS结构变动!C12=0,"-",TEXT(BS结构变动!C12,"#,##0.00"))</f>
        <v>#DIV/0!</v>
      </c>
      <c r="G2690" s="585"/>
    </row>
    <row r="2691" spans="1:7">
      <c r="A2691" s="432" t="s">
        <v>3143</v>
      </c>
      <c r="B2691" s="432" t="str">
        <f t="shared" si="46"/>
        <v>-</v>
      </c>
      <c r="C2691" s="435" t="str">
        <f>IF(BS结构变动!E3=0,"-",TEXT(BS结构变动!E3,"#,##0.00"))</f>
        <v>-</v>
      </c>
      <c r="G2691" s="585"/>
    </row>
    <row r="2692" spans="1:7">
      <c r="A2692" s="432" t="s">
        <v>3145</v>
      </c>
      <c r="B2692" s="432" t="str">
        <f t="shared" si="46"/>
        <v>-</v>
      </c>
      <c r="C2692" s="435" t="str">
        <f>IF(BS结构变动!E4=0,"-",TEXT(BS结构变动!E4,"#,##0.00"))</f>
        <v>-</v>
      </c>
      <c r="G2692" s="585"/>
    </row>
    <row r="2693" spans="1:7">
      <c r="A2693" s="432" t="s">
        <v>3147</v>
      </c>
      <c r="B2693" s="432" t="str">
        <f t="shared" si="46"/>
        <v>-</v>
      </c>
      <c r="C2693" s="435" t="str">
        <f>IF(BS结构变动!E5=0,"-",TEXT(BS结构变动!E5,"#,##0.00"))</f>
        <v>-</v>
      </c>
      <c r="G2693" s="585"/>
    </row>
    <row r="2694" spans="1:7">
      <c r="A2694" s="432" t="s">
        <v>3149</v>
      </c>
      <c r="B2694" s="432" t="str">
        <f t="shared" si="46"/>
        <v>-</v>
      </c>
      <c r="C2694" s="435" t="str">
        <f>IF(BS结构变动!E6=0,"-",TEXT(BS结构变动!E6,"#,##0.00"))</f>
        <v>-</v>
      </c>
      <c r="G2694" s="585"/>
    </row>
    <row r="2695" spans="1:7">
      <c r="A2695" s="432" t="s">
        <v>3151</v>
      </c>
      <c r="B2695" s="432" t="str">
        <f t="shared" si="46"/>
        <v>-</v>
      </c>
      <c r="C2695" s="435" t="str">
        <f>IF(BS结构变动!E7=0,"-",TEXT(BS结构变动!E7,"#,##0.00"))</f>
        <v>-</v>
      </c>
      <c r="G2695" s="585"/>
    </row>
    <row r="2696" spans="1:7">
      <c r="A2696" s="432" t="s">
        <v>3153</v>
      </c>
      <c r="B2696" s="432" t="str">
        <f t="shared" si="46"/>
        <v>-</v>
      </c>
      <c r="C2696" s="435" t="str">
        <f>IF(BS结构变动!E8=0,"-",TEXT(BS结构变动!E8,"#,##0.00"))</f>
        <v>-</v>
      </c>
      <c r="G2696" s="585"/>
    </row>
    <row r="2697" spans="1:7">
      <c r="A2697" s="432" t="s">
        <v>3155</v>
      </c>
      <c r="B2697" s="432" t="str">
        <f t="shared" si="46"/>
        <v>-</v>
      </c>
      <c r="C2697" s="435" t="str">
        <f>IF(BS结构变动!E9=0,"-",TEXT(BS结构变动!E9,"#,##0.00"))</f>
        <v>-</v>
      </c>
      <c r="G2697" s="585"/>
    </row>
    <row r="2698" spans="1:7">
      <c r="A2698" s="432" t="s">
        <v>3157</v>
      </c>
      <c r="B2698" s="432" t="e">
        <f t="shared" si="46"/>
        <v>#DIV/0!</v>
      </c>
      <c r="C2698" s="435" t="e">
        <f>IF(BS结构变动!E10=0,"-",TEXT(BS结构变动!E10,"#,##0.00"))</f>
        <v>#DIV/0!</v>
      </c>
      <c r="G2698" s="585"/>
    </row>
    <row r="2699" spans="1:7">
      <c r="A2699" s="432" t="s">
        <v>3159</v>
      </c>
      <c r="B2699" s="432" t="e">
        <f t="shared" si="46"/>
        <v>#DIV/0!</v>
      </c>
      <c r="C2699" s="435" t="e">
        <f>IF(BS结构变动!E11=0,"-",TEXT(BS结构变动!E11,"#,##0.00"))</f>
        <v>#DIV/0!</v>
      </c>
      <c r="G2699" s="585"/>
    </row>
    <row r="2700" spans="1:7">
      <c r="A2700" s="432" t="s">
        <v>3166</v>
      </c>
      <c r="B2700" s="432" t="str">
        <f t="shared" si="46"/>
        <v>-</v>
      </c>
      <c r="C2700" s="435" t="str">
        <f>IF(BS结构变动!J3=0,"-",TEXT(BS结构变动!J3,"#,##0.00"))</f>
        <v>-</v>
      </c>
      <c r="G2700" s="585"/>
    </row>
    <row r="2701" spans="1:7">
      <c r="A2701" s="432" t="s">
        <v>3168</v>
      </c>
      <c r="B2701" s="432" t="str">
        <f t="shared" si="46"/>
        <v>-</v>
      </c>
      <c r="C2701" s="435" t="str">
        <f>IF(BS结构变动!J4=0,"-",TEXT(BS结构变动!J4,"#,##0.00"))</f>
        <v>-</v>
      </c>
      <c r="G2701" s="585"/>
    </row>
    <row r="2702" spans="1:7">
      <c r="A2702" s="432" t="s">
        <v>3170</v>
      </c>
      <c r="B2702" s="432" t="str">
        <f t="shared" si="46"/>
        <v>-</v>
      </c>
      <c r="C2702" s="435" t="str">
        <f>IF(BS结构变动!J5=0,"-",TEXT(BS结构变动!J5,"#,##0.00"))</f>
        <v>-</v>
      </c>
      <c r="G2702" s="585"/>
    </row>
    <row r="2703" spans="1:7">
      <c r="A2703" s="432" t="s">
        <v>3185</v>
      </c>
      <c r="B2703" s="432" t="str">
        <f t="shared" si="46"/>
        <v>-</v>
      </c>
      <c r="C2703" s="435" t="str">
        <f>IF(BS结构变动!J6=0,"-",TEXT(BS结构变动!J6,"#,##0.00"))</f>
        <v>-</v>
      </c>
      <c r="G2703" s="585"/>
    </row>
    <row r="2704" spans="1:7">
      <c r="A2704" s="432" t="s">
        <v>3172</v>
      </c>
      <c r="B2704" s="432" t="str">
        <f t="shared" si="46"/>
        <v>-</v>
      </c>
      <c r="C2704" s="435" t="str">
        <f>IF(BS结构变动!J7=0,"-",TEXT(BS结构变动!J7,"#,##0.00"))</f>
        <v>-</v>
      </c>
      <c r="G2704" s="585"/>
    </row>
    <row r="2705" spans="1:7">
      <c r="A2705" s="432" t="s">
        <v>3174</v>
      </c>
      <c r="B2705" s="432" t="str">
        <f t="shared" ref="B2705:B2769" si="50">TRIM(C2705)</f>
        <v>-</v>
      </c>
      <c r="C2705" s="435" t="str">
        <f>IF(BS结构变动!J8=0,"-",TEXT(BS结构变动!J8,"#,##0.00"))</f>
        <v>-</v>
      </c>
      <c r="G2705" s="585"/>
    </row>
    <row r="2706" spans="1:7">
      <c r="A2706" s="432" t="s">
        <v>3176</v>
      </c>
      <c r="B2706" s="432" t="str">
        <f t="shared" si="50"/>
        <v>-</v>
      </c>
      <c r="C2706" s="435" t="str">
        <f>IF(BS结构变动!J9=0,"-",TEXT(BS结构变动!J9,"#,##0.00"))</f>
        <v>-</v>
      </c>
      <c r="G2706" s="585"/>
    </row>
    <row r="2707" spans="1:7">
      <c r="A2707" s="432" t="s">
        <v>3178</v>
      </c>
      <c r="B2707" s="432" t="e">
        <f t="shared" si="50"/>
        <v>#DIV/0!</v>
      </c>
      <c r="C2707" s="435" t="e">
        <f>IF(BS结构变动!J10=0,"-",TEXT(BS结构变动!J10,"#,##0.00"))</f>
        <v>#DIV/0!</v>
      </c>
      <c r="G2707" s="585"/>
    </row>
    <row r="2708" spans="1:7">
      <c r="A2708" s="432" t="s">
        <v>3180</v>
      </c>
      <c r="B2708" s="432" t="e">
        <f t="shared" si="50"/>
        <v>#DIV/0!</v>
      </c>
      <c r="C2708" s="435" t="e">
        <f>IF(BS结构变动!J11=0,"-",TEXT(BS结构变动!J11,"#,##0.00"))</f>
        <v>#DIV/0!</v>
      </c>
      <c r="G2708" s="585"/>
    </row>
    <row r="2709" spans="1:7">
      <c r="A2709" s="432" t="s">
        <v>4033</v>
      </c>
      <c r="B2709" s="432" t="e">
        <f t="shared" ref="B2709" si="51">TRIM(C2709)</f>
        <v>#DIV/0!</v>
      </c>
      <c r="C2709" s="435" t="e">
        <f>IF(BS结构变动!J12=0,"-",TEXT(BS结构变动!J12,"#,##0.00"))</f>
        <v>#DIV/0!</v>
      </c>
      <c r="G2709" s="585"/>
    </row>
    <row r="2710" spans="1:7">
      <c r="A2710" s="432" t="s">
        <v>3167</v>
      </c>
      <c r="B2710" s="432" t="str">
        <f t="shared" si="50"/>
        <v>-</v>
      </c>
      <c r="C2710" s="435" t="str">
        <f>IF(BS结构变动!L3=0,"-",TEXT(BS结构变动!L3,"#,##0.00"))</f>
        <v>-</v>
      </c>
      <c r="G2710" s="585"/>
    </row>
    <row r="2711" spans="1:7">
      <c r="A2711" s="432" t="s">
        <v>3169</v>
      </c>
      <c r="B2711" s="432" t="str">
        <f t="shared" si="50"/>
        <v>-</v>
      </c>
      <c r="C2711" s="435" t="str">
        <f>IF(BS结构变动!L4=0,"-",TEXT(BS结构变动!L4,"#,##0.00"))</f>
        <v>-</v>
      </c>
      <c r="G2711" s="585"/>
    </row>
    <row r="2712" spans="1:7">
      <c r="A2712" s="432" t="s">
        <v>3171</v>
      </c>
      <c r="B2712" s="432" t="str">
        <f t="shared" si="50"/>
        <v>-</v>
      </c>
      <c r="C2712" s="435" t="str">
        <f>IF(BS结构变动!L5=0,"-",TEXT(BS结构变动!L5,"#,##0.00"))</f>
        <v>-</v>
      </c>
      <c r="G2712" s="585"/>
    </row>
    <row r="2713" spans="1:7">
      <c r="A2713" s="432" t="s">
        <v>3195</v>
      </c>
      <c r="B2713" s="432" t="str">
        <f t="shared" si="50"/>
        <v>-</v>
      </c>
      <c r="C2713" s="435" t="str">
        <f>IF(BS结构变动!L6=0,"-",TEXT(BS结构变动!L6,"#,##0.00"))</f>
        <v>-</v>
      </c>
      <c r="G2713" s="585"/>
    </row>
    <row r="2714" spans="1:7">
      <c r="A2714" s="432" t="s">
        <v>3173</v>
      </c>
      <c r="B2714" s="432" t="str">
        <f t="shared" si="50"/>
        <v>-</v>
      </c>
      <c r="C2714" s="435" t="str">
        <f>IF(BS结构变动!L7=0,"-",TEXT(BS结构变动!L7,"#,##0.00"))</f>
        <v>-</v>
      </c>
      <c r="G2714" s="585"/>
    </row>
    <row r="2715" spans="1:7">
      <c r="A2715" s="432" t="s">
        <v>3175</v>
      </c>
      <c r="B2715" s="432" t="str">
        <f t="shared" si="50"/>
        <v>-</v>
      </c>
      <c r="C2715" s="435" t="str">
        <f>IF(BS结构变动!L8=0,"-",TEXT(BS结构变动!L8,"#,##0.00"))</f>
        <v>-</v>
      </c>
      <c r="G2715" s="585"/>
    </row>
    <row r="2716" spans="1:7">
      <c r="A2716" s="432" t="s">
        <v>3177</v>
      </c>
      <c r="B2716" s="432" t="str">
        <f t="shared" si="50"/>
        <v>-</v>
      </c>
      <c r="C2716" s="435" t="str">
        <f>IF(BS结构变动!L9=0,"-",TEXT(BS结构变动!L9,"#,##0.00"))</f>
        <v>-</v>
      </c>
      <c r="G2716" s="585"/>
    </row>
    <row r="2717" spans="1:7">
      <c r="A2717" s="432" t="s">
        <v>3179</v>
      </c>
      <c r="B2717" s="432" t="e">
        <f t="shared" si="50"/>
        <v>#DIV/0!</v>
      </c>
      <c r="C2717" s="435" t="e">
        <f>IF(BS结构变动!L10=0,"-",TEXT(BS结构变动!L10,"#,##0.00"))</f>
        <v>#DIV/0!</v>
      </c>
      <c r="G2717" s="585"/>
    </row>
    <row r="2718" spans="1:7">
      <c r="A2718" s="432" t="s">
        <v>3181</v>
      </c>
      <c r="B2718" s="432" t="e">
        <f t="shared" si="50"/>
        <v>#DIV/0!</v>
      </c>
      <c r="C2718" s="435" t="e">
        <f>IF(BS结构变动!L11=0,"-",TEXT(BS结构变动!L11,"#,##0.00"))</f>
        <v>#DIV/0!</v>
      </c>
      <c r="G2718" s="585"/>
    </row>
    <row r="2719" spans="1:7">
      <c r="A2719" s="432" t="s">
        <v>3546</v>
      </c>
      <c r="B2719" s="432" t="str">
        <f t="shared" si="50"/>
        <v>-</v>
      </c>
      <c r="C2719" s="435" t="str">
        <f>IF('4-11主要财务数据和指标'!B3=0,"-",TEXT('4-11主要财务数据和指标'!B3/10000,"#,##0.00"))</f>
        <v>-</v>
      </c>
      <c r="E2719" s="436" t="s">
        <v>3679</v>
      </c>
    </row>
    <row r="2720" spans="1:7">
      <c r="A2720" s="432" t="s">
        <v>3547</v>
      </c>
      <c r="B2720" s="432" t="str">
        <f t="shared" si="50"/>
        <v>-</v>
      </c>
      <c r="C2720" s="435" t="str">
        <f>IF('4-11主要财务数据和指标'!B4=0,"-",TEXT('4-11主要财务数据和指标'!B4/10000,"#,##0.00"))</f>
        <v>-</v>
      </c>
    </row>
    <row r="2721" spans="1:3">
      <c r="A2721" s="432" t="s">
        <v>3548</v>
      </c>
      <c r="B2721" s="432" t="str">
        <f t="shared" si="50"/>
        <v>-</v>
      </c>
      <c r="C2721" s="435" t="str">
        <f>IF('4-11主要财务数据和指标'!B5=0,"-",TEXT('4-11主要财务数据和指标'!B5/10000,"#,##0.00"))</f>
        <v>-</v>
      </c>
    </row>
    <row r="2722" spans="1:3">
      <c r="A2722" s="432" t="s">
        <v>3549</v>
      </c>
      <c r="B2722" s="432" t="str">
        <f t="shared" si="50"/>
        <v>-</v>
      </c>
      <c r="C2722" s="435" t="str">
        <f>IF('4-11主要财务数据和指标'!B6=0,"-",TEXT('4-11主要财务数据和指标'!B6/10000,"#,##0.00"))</f>
        <v>-</v>
      </c>
    </row>
    <row r="2723" spans="1:3">
      <c r="A2723" s="432" t="s">
        <v>3550</v>
      </c>
      <c r="B2723" s="432" t="str">
        <f t="shared" si="50"/>
        <v>-</v>
      </c>
      <c r="C2723" s="435" t="str">
        <f>IF('4-11主要财务数据和指标'!B7=0,"-",TEXT('4-11主要财务数据和指标'!B7/10000,"#,##0.00"))</f>
        <v>-</v>
      </c>
    </row>
    <row r="2724" spans="1:3">
      <c r="A2724" s="432" t="s">
        <v>3551</v>
      </c>
      <c r="B2724" s="432" t="str">
        <f t="shared" si="50"/>
        <v>-</v>
      </c>
      <c r="C2724" s="435" t="str">
        <f>IF('4-11主要财务数据和指标'!B8=0,"-",TEXT('4-11主要财务数据和指标'!B8/10000,"#,##0.00"))</f>
        <v>-</v>
      </c>
    </row>
    <row r="2725" spans="1:3">
      <c r="A2725" s="432" t="s">
        <v>3552</v>
      </c>
      <c r="B2725" s="432" t="str">
        <f t="shared" si="50"/>
        <v>-</v>
      </c>
      <c r="C2725" s="435" t="str">
        <f>IF('4-11主要财务数据和指标'!B9=0,"-",TEXT('4-11主要财务数据和指标'!B9/10000,"#,##0.00"))</f>
        <v>-</v>
      </c>
    </row>
    <row r="2726" spans="1:3">
      <c r="A2726" s="432" t="s">
        <v>3553</v>
      </c>
      <c r="B2726" s="432" t="str">
        <f t="shared" si="50"/>
        <v>-</v>
      </c>
      <c r="C2726" s="435" t="str">
        <f>IF('4-11主要财务数据和指标'!B10=0,"-",TEXT('4-11主要财务数据和指标'!B10/10000,"#,##0.00"))</f>
        <v>-</v>
      </c>
    </row>
    <row r="2727" spans="1:3">
      <c r="A2727" s="432" t="s">
        <v>3554</v>
      </c>
      <c r="B2727" s="432" t="str">
        <f t="shared" si="50"/>
        <v>-</v>
      </c>
      <c r="C2727" s="435" t="str">
        <f>IF('4-11主要财务数据和指标'!B11=0,"-",TEXT('4-11主要财务数据和指标'!B11/10000,"#,##0.00"))</f>
        <v>-</v>
      </c>
    </row>
    <row r="2728" spans="1:3">
      <c r="A2728" s="432" t="s">
        <v>3555</v>
      </c>
      <c r="B2728" s="432" t="str">
        <f t="shared" si="50"/>
        <v>-</v>
      </c>
      <c r="C2728" s="435" t="str">
        <f>IF('4-11主要财务数据和指标'!B12=0,"-",TEXT('4-11主要财务数据和指标'!B12/10000,"#,##0.00"))</f>
        <v>-</v>
      </c>
    </row>
    <row r="2729" spans="1:3">
      <c r="A2729" s="432" t="s">
        <v>3556</v>
      </c>
      <c r="B2729" s="432" t="str">
        <f t="shared" si="50"/>
        <v>-</v>
      </c>
      <c r="C2729" s="435" t="str">
        <f>IF('4-11主要财务数据和指标'!B13=0,"-",TEXT('4-11主要财务数据和指标'!B13/10000,"#,##0.00"))</f>
        <v>-</v>
      </c>
    </row>
    <row r="2730" spans="1:3">
      <c r="A2730" s="432" t="s">
        <v>3557</v>
      </c>
      <c r="B2730" s="432" t="str">
        <f t="shared" si="50"/>
        <v>-</v>
      </c>
      <c r="C2730" s="435" t="str">
        <f>IF('4-11主要财务数据和指标'!B14=0,"-",TEXT('4-11主要财务数据和指标'!B14/10000,"#,##0.00"))</f>
        <v>-</v>
      </c>
    </row>
    <row r="2731" spans="1:3">
      <c r="A2731" s="432" t="s">
        <v>3558</v>
      </c>
      <c r="B2731" s="432" t="e">
        <f t="shared" si="50"/>
        <v>#DIV/0!</v>
      </c>
      <c r="C2731" s="435" t="e">
        <f>IF('4-11主要财务数据和指标'!B15=0,"-",TEXT('4-11主要财务数据和指标'!B15,"#,##0.00"))</f>
        <v>#DIV/0!</v>
      </c>
    </row>
    <row r="2732" spans="1:3">
      <c r="A2732" s="432" t="s">
        <v>3559</v>
      </c>
      <c r="B2732" s="432" t="e">
        <f t="shared" si="50"/>
        <v>#DIV/0!</v>
      </c>
      <c r="C2732" s="435" t="e">
        <f>IF('4-11主要财务数据和指标'!B16=0,"-",TEXT('4-11主要财务数据和指标'!B16,"#,##0.00"))</f>
        <v>#DIV/0!</v>
      </c>
    </row>
    <row r="2733" spans="1:3">
      <c r="A2733" s="432" t="s">
        <v>3560</v>
      </c>
      <c r="B2733" s="432" t="e">
        <f t="shared" si="50"/>
        <v>#DIV/0!</v>
      </c>
      <c r="C2733" s="435" t="e">
        <f>IF('4-11主要财务数据和指标'!B17=0,"-",TEXT('4-11主要财务数据和指标'!B17,"#,##0.00"))</f>
        <v>#DIV/0!</v>
      </c>
    </row>
    <row r="2734" spans="1:3">
      <c r="A2734" s="432" t="s">
        <v>3561</v>
      </c>
      <c r="B2734" s="432" t="e">
        <f t="shared" si="50"/>
        <v>#DIV/0!</v>
      </c>
      <c r="C2734" s="435" t="e">
        <f>IF('4-11主要财务数据和指标'!B18=0,"-",TEXT('4-11主要财务数据和指标'!B18,"#,##0.00"))</f>
        <v>#DIV/0!</v>
      </c>
    </row>
    <row r="2735" spans="1:3">
      <c r="A2735" s="432" t="s">
        <v>3562</v>
      </c>
      <c r="B2735" s="432" t="e">
        <f t="shared" si="50"/>
        <v>#DIV/0!</v>
      </c>
      <c r="C2735" s="435" t="e">
        <f>IF('4-11主要财务数据和指标'!B19=0,"-",TEXT('4-11主要财务数据和指标'!B19,"#,##0.00"))</f>
        <v>#DIV/0!</v>
      </c>
    </row>
    <row r="2736" spans="1:3">
      <c r="A2736" s="432" t="s">
        <v>3563</v>
      </c>
      <c r="B2736" s="432" t="e">
        <f t="shared" si="50"/>
        <v>#DIV/0!</v>
      </c>
      <c r="C2736" s="435" t="e">
        <f>IF('4-11主要财务数据和指标'!B20=0,"-",TEXT('4-11主要财务数据和指标'!B20,"#,##0.00"))</f>
        <v>#DIV/0!</v>
      </c>
    </row>
    <row r="2737" spans="1:3">
      <c r="A2737" s="432" t="s">
        <v>3564</v>
      </c>
      <c r="B2737" s="432" t="e">
        <f t="shared" si="50"/>
        <v>#DIV/0!</v>
      </c>
      <c r="C2737" s="435" t="e">
        <f>IF('4-11主要财务数据和指标'!B21=0,"-",TEXT('4-11主要财务数据和指标'!B21,"#,##0.00"))</f>
        <v>#DIV/0!</v>
      </c>
    </row>
    <row r="2738" spans="1:3">
      <c r="A2738" s="432" t="s">
        <v>3565</v>
      </c>
      <c r="B2738" s="432" t="e">
        <f t="shared" si="50"/>
        <v>#DIV/0!</v>
      </c>
      <c r="C2738" s="435" t="e">
        <f>IF('4-11主要财务数据和指标'!B22=0,"-",TEXT('4-11主要财务数据和指标'!B22,"#,##0.00"))</f>
        <v>#DIV/0!</v>
      </c>
    </row>
    <row r="2739" spans="1:3">
      <c r="A2739" s="432" t="s">
        <v>3566</v>
      </c>
      <c r="B2739" s="432" t="str">
        <f t="shared" si="50"/>
        <v>-</v>
      </c>
      <c r="C2739" s="435" t="str">
        <f>IF('4-11主要财务数据和指标'!B23=0,"-",TEXT('4-11主要财务数据和指标'!B23/10000,"#,##0.00"))</f>
        <v>-</v>
      </c>
    </row>
    <row r="2740" spans="1:3">
      <c r="A2740" s="432" t="s">
        <v>3567</v>
      </c>
      <c r="B2740" s="432" t="e">
        <f t="shared" si="50"/>
        <v>#DIV/0!</v>
      </c>
      <c r="C2740" s="435" t="e">
        <f>IF('4-11主要财务数据和指标'!B24=0,"-",TEXT('4-11主要财务数据和指标'!B24,"#,##0.00"))</f>
        <v>#DIV/0!</v>
      </c>
    </row>
    <row r="2741" spans="1:3">
      <c r="A2741" s="432" t="s">
        <v>3568</v>
      </c>
      <c r="B2741" s="432" t="e">
        <f t="shared" si="50"/>
        <v>#DIV/0!</v>
      </c>
      <c r="C2741" s="435" t="e">
        <f>IF('4-11主要财务数据和指标'!B25=0,"-",TEXT('4-11主要财务数据和指标'!B25,"#,##0.00"))</f>
        <v>#DIV/0!</v>
      </c>
    </row>
    <row r="2742" spans="1:3">
      <c r="A2742" s="432" t="s">
        <v>3569</v>
      </c>
      <c r="B2742" s="432" t="e">
        <f t="shared" si="50"/>
        <v>#DIV/0!</v>
      </c>
      <c r="C2742" s="435" t="e">
        <f>IF('4-11主要财务数据和指标'!B26=0,"-",TEXT('4-11主要财务数据和指标'!B26,"#,##0.00"))</f>
        <v>#DIV/0!</v>
      </c>
    </row>
    <row r="2743" spans="1:3">
      <c r="A2743" s="432" t="s">
        <v>3570</v>
      </c>
      <c r="B2743" s="432" t="e">
        <f t="shared" si="50"/>
        <v>#DIV/0!</v>
      </c>
      <c r="C2743" s="435" t="e">
        <f>IF('4-11主要财务数据和指标'!B27=0,"-",TEXT('4-11主要财务数据和指标'!B27,"#,##0.00"))</f>
        <v>#DIV/0!</v>
      </c>
    </row>
    <row r="2744" spans="1:3">
      <c r="A2744" s="432" t="s">
        <v>3571</v>
      </c>
      <c r="B2744" s="432" t="str">
        <f t="shared" si="50"/>
        <v>-</v>
      </c>
      <c r="C2744" s="435" t="str">
        <f>IF('4-11主要财务数据和指标'!C3=0,"-",TEXT('4-11主要财务数据和指标'!C3/10000,"#,##0.00"))</f>
        <v>-</v>
      </c>
    </row>
    <row r="2745" spans="1:3">
      <c r="A2745" s="432" t="s">
        <v>3572</v>
      </c>
      <c r="B2745" s="432" t="str">
        <f t="shared" si="50"/>
        <v>-</v>
      </c>
      <c r="C2745" s="435" t="str">
        <f>IF('4-11主要财务数据和指标'!C4=0,"-",TEXT('4-11主要财务数据和指标'!C4/10000,"#,##0.00"))</f>
        <v>-</v>
      </c>
    </row>
    <row r="2746" spans="1:3">
      <c r="A2746" s="432" t="s">
        <v>3573</v>
      </c>
      <c r="B2746" s="432" t="str">
        <f t="shared" si="50"/>
        <v>-</v>
      </c>
      <c r="C2746" s="435" t="str">
        <f>IF('4-11主要财务数据和指标'!C5=0,"-",TEXT('4-11主要财务数据和指标'!C5/10000,"#,##0.00"))</f>
        <v>-</v>
      </c>
    </row>
    <row r="2747" spans="1:3">
      <c r="A2747" s="432" t="s">
        <v>3574</v>
      </c>
      <c r="B2747" s="432" t="str">
        <f t="shared" si="50"/>
        <v>-</v>
      </c>
      <c r="C2747" s="435" t="str">
        <f>IF('4-11主要财务数据和指标'!C6=0,"-",TEXT('4-11主要财务数据和指标'!C6/10000,"#,##0.00"))</f>
        <v>-</v>
      </c>
    </row>
    <row r="2748" spans="1:3">
      <c r="A2748" s="432" t="s">
        <v>3575</v>
      </c>
      <c r="B2748" s="432" t="str">
        <f t="shared" si="50"/>
        <v>-</v>
      </c>
      <c r="C2748" s="435" t="str">
        <f>IF('4-11主要财务数据和指标'!C7=0,"-",TEXT('4-11主要财务数据和指标'!C7/10000,"#,##0.00"))</f>
        <v>-</v>
      </c>
    </row>
    <row r="2749" spans="1:3">
      <c r="A2749" s="432" t="s">
        <v>3576</v>
      </c>
      <c r="B2749" s="432" t="str">
        <f t="shared" si="50"/>
        <v>-</v>
      </c>
      <c r="C2749" s="435" t="str">
        <f>IF('4-11主要财务数据和指标'!C8=0,"-",TEXT('4-11主要财务数据和指标'!C8/10000,"#,##0.00"))</f>
        <v>-</v>
      </c>
    </row>
    <row r="2750" spans="1:3">
      <c r="A2750" s="432" t="s">
        <v>3577</v>
      </c>
      <c r="B2750" s="432" t="str">
        <f t="shared" si="50"/>
        <v>-</v>
      </c>
      <c r="C2750" s="435" t="str">
        <f>IF('4-11主要财务数据和指标'!C9=0,"-",TEXT('4-11主要财务数据和指标'!C9/10000,"#,##0.00"))</f>
        <v>-</v>
      </c>
    </row>
    <row r="2751" spans="1:3">
      <c r="A2751" s="432" t="s">
        <v>3578</v>
      </c>
      <c r="B2751" s="432" t="str">
        <f t="shared" si="50"/>
        <v>-</v>
      </c>
      <c r="C2751" s="435" t="str">
        <f>IF('4-11主要财务数据和指标'!C10=0,"-",TEXT('4-11主要财务数据和指标'!C10/10000,"#,##0.00"))</f>
        <v>-</v>
      </c>
    </row>
    <row r="2752" spans="1:3">
      <c r="A2752" s="432" t="s">
        <v>3579</v>
      </c>
      <c r="B2752" s="432" t="str">
        <f t="shared" si="50"/>
        <v>-</v>
      </c>
      <c r="C2752" s="435" t="str">
        <f>IF('4-11主要财务数据和指标'!C11=0,"-",TEXT('4-11主要财务数据和指标'!C11/10000,"#,##0.00"))</f>
        <v>-</v>
      </c>
    </row>
    <row r="2753" spans="1:3">
      <c r="A2753" s="432" t="s">
        <v>3580</v>
      </c>
      <c r="B2753" s="432" t="str">
        <f t="shared" si="50"/>
        <v>-</v>
      </c>
      <c r="C2753" s="435" t="str">
        <f>IF('4-11主要财务数据和指标'!C12=0,"-",TEXT('4-11主要财务数据和指标'!C12/10000,"#,##0.00"))</f>
        <v>-</v>
      </c>
    </row>
    <row r="2754" spans="1:3">
      <c r="A2754" s="432" t="s">
        <v>3581</v>
      </c>
      <c r="B2754" s="432" t="str">
        <f t="shared" si="50"/>
        <v>-</v>
      </c>
      <c r="C2754" s="435" t="str">
        <f>IF('4-11主要财务数据和指标'!C13=0,"-",TEXT('4-11主要财务数据和指标'!C13/10000,"#,##0.00"))</f>
        <v>-</v>
      </c>
    </row>
    <row r="2755" spans="1:3">
      <c r="A2755" s="432" t="s">
        <v>3582</v>
      </c>
      <c r="B2755" s="432" t="str">
        <f t="shared" si="50"/>
        <v>-</v>
      </c>
      <c r="C2755" s="435" t="str">
        <f>IF('4-11主要财务数据和指标'!C14=0,"-",TEXT('4-11主要财务数据和指标'!C14/10000,"#,##0.00"))</f>
        <v>-</v>
      </c>
    </row>
    <row r="2756" spans="1:3">
      <c r="A2756" s="432" t="s">
        <v>3583</v>
      </c>
      <c r="B2756" s="432" t="e">
        <f t="shared" si="50"/>
        <v>#DIV/0!</v>
      </c>
      <c r="C2756" s="435" t="e">
        <f>IF('4-11主要财务数据和指标'!C15=0,"-",TEXT('4-11主要财务数据和指标'!C15,"#,##0.00"))</f>
        <v>#DIV/0!</v>
      </c>
    </row>
    <row r="2757" spans="1:3">
      <c r="A2757" s="432" t="s">
        <v>3584</v>
      </c>
      <c r="B2757" s="432" t="e">
        <f t="shared" si="50"/>
        <v>#DIV/0!</v>
      </c>
      <c r="C2757" s="435" t="e">
        <f>IF('4-11主要财务数据和指标'!C16=0,"-",TEXT('4-11主要财务数据和指标'!C16,"#,##0.00"))</f>
        <v>#DIV/0!</v>
      </c>
    </row>
    <row r="2758" spans="1:3">
      <c r="A2758" s="432" t="s">
        <v>3585</v>
      </c>
      <c r="B2758" s="432" t="e">
        <f t="shared" si="50"/>
        <v>#DIV/0!</v>
      </c>
      <c r="C2758" s="435" t="e">
        <f>IF('4-11主要财务数据和指标'!C17=0,"-",TEXT('4-11主要财务数据和指标'!C17,"#,##0.00"))</f>
        <v>#DIV/0!</v>
      </c>
    </row>
    <row r="2759" spans="1:3">
      <c r="A2759" s="432" t="s">
        <v>3586</v>
      </c>
      <c r="B2759" s="432" t="e">
        <f t="shared" si="50"/>
        <v>#DIV/0!</v>
      </c>
      <c r="C2759" s="435" t="e">
        <f>IF('4-11主要财务数据和指标'!C18=0,"-",TEXT('4-11主要财务数据和指标'!C18,"#,##0.00"))</f>
        <v>#DIV/0!</v>
      </c>
    </row>
    <row r="2760" spans="1:3">
      <c r="A2760" s="432" t="s">
        <v>3587</v>
      </c>
      <c r="B2760" s="432" t="e">
        <f t="shared" si="50"/>
        <v>#DIV/0!</v>
      </c>
      <c r="C2760" s="435" t="e">
        <f>IF('4-11主要财务数据和指标'!C19=0,"-",TEXT('4-11主要财务数据和指标'!C19,"#,##0.00"))</f>
        <v>#DIV/0!</v>
      </c>
    </row>
    <row r="2761" spans="1:3">
      <c r="A2761" s="432" t="s">
        <v>3588</v>
      </c>
      <c r="B2761" s="432" t="e">
        <f t="shared" si="50"/>
        <v>#DIV/0!</v>
      </c>
      <c r="C2761" s="435" t="e">
        <f>IF('4-11主要财务数据和指标'!C20=0,"-",TEXT('4-11主要财务数据和指标'!C20,"#,##0.00"))</f>
        <v>#DIV/0!</v>
      </c>
    </row>
    <row r="2762" spans="1:3">
      <c r="A2762" s="432" t="s">
        <v>3589</v>
      </c>
      <c r="B2762" s="432" t="e">
        <f t="shared" si="50"/>
        <v>#DIV/0!</v>
      </c>
      <c r="C2762" s="435" t="e">
        <f>IF('4-11主要财务数据和指标'!C21=0,"-",TEXT('4-11主要财务数据和指标'!C21,"#,##0.00"))</f>
        <v>#DIV/0!</v>
      </c>
    </row>
    <row r="2763" spans="1:3">
      <c r="A2763" s="432" t="s">
        <v>3590</v>
      </c>
      <c r="B2763" s="432" t="e">
        <f t="shared" si="50"/>
        <v>#DIV/0!</v>
      </c>
      <c r="C2763" s="435" t="e">
        <f>IF('4-11主要财务数据和指标'!C22=0,"-",TEXT('4-11主要财务数据和指标'!C22,"#,##0.00"))</f>
        <v>#DIV/0!</v>
      </c>
    </row>
    <row r="2764" spans="1:3">
      <c r="A2764" s="432" t="s">
        <v>3591</v>
      </c>
      <c r="B2764" s="432" t="str">
        <f t="shared" si="50"/>
        <v>-</v>
      </c>
      <c r="C2764" s="435" t="str">
        <f>IF('4-11主要财务数据和指标'!C23=0,"-",TEXT('4-11主要财务数据和指标'!C23/10000,"#,##0.00"))</f>
        <v>-</v>
      </c>
    </row>
    <row r="2765" spans="1:3">
      <c r="A2765" s="432" t="s">
        <v>3592</v>
      </c>
      <c r="B2765" s="432" t="e">
        <f t="shared" si="50"/>
        <v>#DIV/0!</v>
      </c>
      <c r="C2765" s="435" t="e">
        <f>IF('4-11主要财务数据和指标'!C24=0,"-",TEXT('4-11主要财务数据和指标'!C24,"#,##0.00"))</f>
        <v>#DIV/0!</v>
      </c>
    </row>
    <row r="2766" spans="1:3">
      <c r="A2766" s="432" t="s">
        <v>3593</v>
      </c>
      <c r="B2766" s="432" t="e">
        <f t="shared" si="50"/>
        <v>#DIV/0!</v>
      </c>
      <c r="C2766" s="435" t="e">
        <f>IF('4-11主要财务数据和指标'!C25=0,"-",TEXT('4-11主要财务数据和指标'!C25,"#,##0.00"))</f>
        <v>#DIV/0!</v>
      </c>
    </row>
    <row r="2767" spans="1:3">
      <c r="A2767" s="432" t="s">
        <v>3594</v>
      </c>
      <c r="B2767" s="432" t="e">
        <f t="shared" si="50"/>
        <v>#DIV/0!</v>
      </c>
      <c r="C2767" s="435" t="e">
        <f>IF('4-11主要财务数据和指标'!C26=0,"-",TEXT('4-11主要财务数据和指标'!C26,"#,##0.00"))</f>
        <v>#DIV/0!</v>
      </c>
    </row>
    <row r="2768" spans="1:3">
      <c r="A2768" s="432" t="s">
        <v>3595</v>
      </c>
      <c r="B2768" s="432" t="e">
        <f t="shared" si="50"/>
        <v>#DIV/0!</v>
      </c>
      <c r="C2768" s="435" t="e">
        <f>IF('4-11主要财务数据和指标'!C27=0,"-",TEXT('4-11主要财务数据和指标'!C27,"#,##0.00"))</f>
        <v>#DIV/0!</v>
      </c>
    </row>
    <row r="2769" spans="1:3">
      <c r="A2769" s="432" t="s">
        <v>3596</v>
      </c>
      <c r="B2769" s="432" t="str">
        <f t="shared" si="50"/>
        <v>-</v>
      </c>
      <c r="C2769" s="435" t="str">
        <f>IF('4-11主要财务数据和指标'!D3=0,"-",TEXT('4-11主要财务数据和指标'!D3/10000,"#,##0.00"))</f>
        <v>-</v>
      </c>
    </row>
    <row r="2770" spans="1:3">
      <c r="A2770" s="432" t="s">
        <v>3597</v>
      </c>
      <c r="B2770" s="432" t="str">
        <f t="shared" ref="B2770:B2833" si="52">TRIM(C2770)</f>
        <v>-</v>
      </c>
      <c r="C2770" s="435" t="str">
        <f>IF('4-11主要财务数据和指标'!D4=0,"-",TEXT('4-11主要财务数据和指标'!D4/10000,"#,##0.00"))</f>
        <v>-</v>
      </c>
    </row>
    <row r="2771" spans="1:3">
      <c r="A2771" s="432" t="s">
        <v>3598</v>
      </c>
      <c r="B2771" s="432" t="str">
        <f t="shared" si="52"/>
        <v>-</v>
      </c>
      <c r="C2771" s="435" t="str">
        <f>IF('4-11主要财务数据和指标'!D5=0,"-",TEXT('4-11主要财务数据和指标'!D5/10000,"#,##0.00"))</f>
        <v>-</v>
      </c>
    </row>
    <row r="2772" spans="1:3">
      <c r="A2772" s="432" t="s">
        <v>3599</v>
      </c>
      <c r="B2772" s="432" t="str">
        <f t="shared" si="52"/>
        <v>-</v>
      </c>
      <c r="C2772" s="435" t="str">
        <f>IF('4-11主要财务数据和指标'!D6=0,"-",TEXT('4-11主要财务数据和指标'!D6/10000,"#,##0.00"))</f>
        <v>-</v>
      </c>
    </row>
    <row r="2773" spans="1:3">
      <c r="A2773" s="432" t="s">
        <v>3600</v>
      </c>
      <c r="B2773" s="432" t="str">
        <f t="shared" si="52"/>
        <v>-</v>
      </c>
      <c r="C2773" s="435" t="str">
        <f>IF('4-11主要财务数据和指标'!D7=0,"-",TEXT('4-11主要财务数据和指标'!D7/10000,"#,##0.00"))</f>
        <v>-</v>
      </c>
    </row>
    <row r="2774" spans="1:3">
      <c r="A2774" s="432" t="s">
        <v>3601</v>
      </c>
      <c r="B2774" s="432" t="str">
        <f t="shared" si="52"/>
        <v>-</v>
      </c>
      <c r="C2774" s="435" t="str">
        <f>IF('4-11主要财务数据和指标'!D8=0,"-",TEXT('4-11主要财务数据和指标'!D8/10000,"#,##0.00"))</f>
        <v>-</v>
      </c>
    </row>
    <row r="2775" spans="1:3">
      <c r="A2775" s="432" t="s">
        <v>3602</v>
      </c>
      <c r="B2775" s="432" t="str">
        <f t="shared" si="52"/>
        <v>-</v>
      </c>
      <c r="C2775" s="435" t="str">
        <f>IF('4-11主要财务数据和指标'!D9=0,"-",TEXT('4-11主要财务数据和指标'!D9/10000,"#,##0.00"))</f>
        <v>-</v>
      </c>
    </row>
    <row r="2776" spans="1:3">
      <c r="A2776" s="432" t="s">
        <v>3603</v>
      </c>
      <c r="B2776" s="432" t="str">
        <f t="shared" si="52"/>
        <v>-</v>
      </c>
      <c r="C2776" s="435" t="str">
        <f>IF('4-11主要财务数据和指标'!D10=0,"-",TEXT('4-11主要财务数据和指标'!D10/10000,"#,##0.00"))</f>
        <v>-</v>
      </c>
    </row>
    <row r="2777" spans="1:3">
      <c r="A2777" s="432" t="s">
        <v>3604</v>
      </c>
      <c r="B2777" s="432" t="str">
        <f t="shared" si="52"/>
        <v>-</v>
      </c>
      <c r="C2777" s="435" t="str">
        <f>IF('4-11主要财务数据和指标'!D11=0,"-",TEXT('4-11主要财务数据和指标'!D11/10000,"#,##0.00"))</f>
        <v>-</v>
      </c>
    </row>
    <row r="2778" spans="1:3">
      <c r="A2778" s="432" t="s">
        <v>3605</v>
      </c>
      <c r="B2778" s="432" t="str">
        <f t="shared" si="52"/>
        <v>-</v>
      </c>
      <c r="C2778" s="435" t="str">
        <f>IF('4-11主要财务数据和指标'!D12=0,"-",TEXT('4-11主要财务数据和指标'!D12/10000,"#,##0.00"))</f>
        <v>-</v>
      </c>
    </row>
    <row r="2779" spans="1:3">
      <c r="A2779" s="432" t="s">
        <v>3606</v>
      </c>
      <c r="B2779" s="432" t="str">
        <f t="shared" si="52"/>
        <v>-</v>
      </c>
      <c r="C2779" s="435" t="str">
        <f>IF('4-11主要财务数据和指标'!D13=0,"-",TEXT('4-11主要财务数据和指标'!D13/10000,"#,##0.00"))</f>
        <v>-</v>
      </c>
    </row>
    <row r="2780" spans="1:3">
      <c r="A2780" s="432" t="s">
        <v>3607</v>
      </c>
      <c r="B2780" s="432" t="str">
        <f t="shared" si="52"/>
        <v>-</v>
      </c>
      <c r="C2780" s="435" t="str">
        <f>IF('4-11主要财务数据和指标'!D14=0,"-",TEXT('4-11主要财务数据和指标'!D14/10000,"#,##0.00"))</f>
        <v>-</v>
      </c>
    </row>
    <row r="2781" spans="1:3">
      <c r="A2781" s="432" t="s">
        <v>3608</v>
      </c>
      <c r="B2781" s="432" t="e">
        <f t="shared" si="52"/>
        <v>#DIV/0!</v>
      </c>
      <c r="C2781" s="435" t="e">
        <f>IF('4-11主要财务数据和指标'!D15=0,"-",TEXT('4-11主要财务数据和指标'!D15,"#,##0.00"))</f>
        <v>#DIV/0!</v>
      </c>
    </row>
    <row r="2782" spans="1:3">
      <c r="A2782" s="432" t="s">
        <v>3609</v>
      </c>
      <c r="B2782" s="432" t="e">
        <f t="shared" si="52"/>
        <v>#DIV/0!</v>
      </c>
      <c r="C2782" s="435" t="e">
        <f>IF('4-11主要财务数据和指标'!D16=0,"-",TEXT('4-11主要财务数据和指标'!D16,"#,##0.00"))</f>
        <v>#DIV/0!</v>
      </c>
    </row>
    <row r="2783" spans="1:3">
      <c r="A2783" s="432" t="s">
        <v>3610</v>
      </c>
      <c r="B2783" s="432" t="e">
        <f t="shared" si="52"/>
        <v>#DIV/0!</v>
      </c>
      <c r="C2783" s="435" t="e">
        <f>IF('4-11主要财务数据和指标'!D17=0,"-",TEXT('4-11主要财务数据和指标'!D17,"#,##0.00"))</f>
        <v>#DIV/0!</v>
      </c>
    </row>
    <row r="2784" spans="1:3">
      <c r="A2784" s="432" t="s">
        <v>3611</v>
      </c>
      <c r="B2784" s="432" t="e">
        <f t="shared" si="52"/>
        <v>#DIV/0!</v>
      </c>
      <c r="C2784" s="435" t="e">
        <f>IF('4-11主要财务数据和指标'!D18=0,"-",TEXT('4-11主要财务数据和指标'!D18,"#,##0.00"))</f>
        <v>#DIV/0!</v>
      </c>
    </row>
    <row r="2785" spans="1:3">
      <c r="A2785" s="432" t="s">
        <v>3612</v>
      </c>
      <c r="B2785" s="432" t="e">
        <f t="shared" si="52"/>
        <v>#DIV/0!</v>
      </c>
      <c r="C2785" s="435" t="e">
        <f>IF('4-11主要财务数据和指标'!D19=0,"-",TEXT('4-11主要财务数据和指标'!D19,"#,##0.00"))</f>
        <v>#DIV/0!</v>
      </c>
    </row>
    <row r="2786" spans="1:3">
      <c r="A2786" s="432" t="s">
        <v>3613</v>
      </c>
      <c r="B2786" s="432" t="e">
        <f t="shared" si="52"/>
        <v>#DIV/0!</v>
      </c>
      <c r="C2786" s="435" t="e">
        <f>IF('4-11主要财务数据和指标'!D20=0,"-",TEXT('4-11主要财务数据和指标'!D20,"#,##0.00"))</f>
        <v>#DIV/0!</v>
      </c>
    </row>
    <row r="2787" spans="1:3">
      <c r="A2787" s="432" t="s">
        <v>3614</v>
      </c>
      <c r="B2787" s="432" t="e">
        <f t="shared" si="52"/>
        <v>#DIV/0!</v>
      </c>
      <c r="C2787" s="435" t="e">
        <f>IF('4-11主要财务数据和指标'!D21=0,"-",TEXT('4-11主要财务数据和指标'!D21,"#,##0.00"))</f>
        <v>#DIV/0!</v>
      </c>
    </row>
    <row r="2788" spans="1:3">
      <c r="A2788" s="432" t="s">
        <v>3615</v>
      </c>
      <c r="B2788" s="432" t="e">
        <f t="shared" si="52"/>
        <v>#DIV/0!</v>
      </c>
      <c r="C2788" s="435" t="e">
        <f>IF('4-11主要财务数据和指标'!D22=0,"-",TEXT('4-11主要财务数据和指标'!D22,"#,##0.00"))</f>
        <v>#DIV/0!</v>
      </c>
    </row>
    <row r="2789" spans="1:3">
      <c r="A2789" s="432" t="s">
        <v>3616</v>
      </c>
      <c r="B2789" s="432" t="str">
        <f t="shared" si="52"/>
        <v>-</v>
      </c>
      <c r="C2789" s="435" t="str">
        <f>IF('4-11主要财务数据和指标'!D23=0,"-",TEXT('4-11主要财务数据和指标'!D23/10000,"#,##0.00"))</f>
        <v>-</v>
      </c>
    </row>
    <row r="2790" spans="1:3">
      <c r="A2790" s="432" t="s">
        <v>3617</v>
      </c>
      <c r="B2790" s="432" t="e">
        <f t="shared" si="52"/>
        <v>#DIV/0!</v>
      </c>
      <c r="C2790" s="435" t="e">
        <f>IF('4-11主要财务数据和指标'!D24=0,"-",TEXT('4-11主要财务数据和指标'!D24,"#,##0.00"))</f>
        <v>#DIV/0!</v>
      </c>
    </row>
    <row r="2791" spans="1:3">
      <c r="A2791" s="432" t="s">
        <v>3618</v>
      </c>
      <c r="B2791" s="432" t="e">
        <f t="shared" si="52"/>
        <v>#DIV/0!</v>
      </c>
      <c r="C2791" s="435" t="e">
        <f>IF('4-11主要财务数据和指标'!D25=0,"-",TEXT('4-11主要财务数据和指标'!D25,"#,##0.00"))</f>
        <v>#DIV/0!</v>
      </c>
    </row>
    <row r="2792" spans="1:3">
      <c r="A2792" s="432" t="s">
        <v>3619</v>
      </c>
      <c r="B2792" s="432" t="e">
        <f t="shared" si="52"/>
        <v>#DIV/0!</v>
      </c>
      <c r="C2792" s="435" t="e">
        <f>IF('4-11主要财务数据和指标'!D26=0,"-",TEXT('4-11主要财务数据和指标'!D26,"#,##0.00"))</f>
        <v>#DIV/0!</v>
      </c>
    </row>
    <row r="2793" spans="1:3">
      <c r="A2793" s="432" t="s">
        <v>3620</v>
      </c>
      <c r="B2793" s="432" t="e">
        <f t="shared" si="52"/>
        <v>#DIV/0!</v>
      </c>
      <c r="C2793" s="435" t="e">
        <f>IF('4-11主要财务数据和指标'!D27=0,"-",TEXT('4-11主要财务数据和指标'!D27,"#,##0.00"))</f>
        <v>#DIV/0!</v>
      </c>
    </row>
    <row r="2794" spans="1:3">
      <c r="A2794" s="432" t="s">
        <v>3621</v>
      </c>
      <c r="B2794" s="432" t="str">
        <f t="shared" si="52"/>
        <v>-</v>
      </c>
      <c r="C2794" s="435" t="str">
        <f>IF('4-11主要财务数据和指标'!E3=0,"-",TEXT('4-11主要财务数据和指标'!E3/10000,"#,##0.00"))</f>
        <v>-</v>
      </c>
    </row>
    <row r="2795" spans="1:3">
      <c r="A2795" s="432" t="s">
        <v>3622</v>
      </c>
      <c r="B2795" s="432" t="str">
        <f t="shared" si="52"/>
        <v>-</v>
      </c>
      <c r="C2795" s="435" t="str">
        <f>IF('4-11主要财务数据和指标'!E4=0,"-",TEXT('4-11主要财务数据和指标'!E4/10000,"#,##0.00"))</f>
        <v>-</v>
      </c>
    </row>
    <row r="2796" spans="1:3">
      <c r="A2796" s="432" t="s">
        <v>3623</v>
      </c>
      <c r="B2796" s="432" t="str">
        <f t="shared" si="52"/>
        <v>-</v>
      </c>
      <c r="C2796" s="435" t="str">
        <f>IF('4-11主要财务数据和指标'!E5=0,"-",TEXT('4-11主要财务数据和指标'!E5/10000,"#,##0.00"))</f>
        <v>-</v>
      </c>
    </row>
    <row r="2797" spans="1:3">
      <c r="A2797" s="432" t="s">
        <v>3624</v>
      </c>
      <c r="B2797" s="432" t="str">
        <f t="shared" si="52"/>
        <v>-</v>
      </c>
      <c r="C2797" s="435" t="str">
        <f>IF('4-11主要财务数据和指标'!E6=0,"-",TEXT('4-11主要财务数据和指标'!E6/10000,"#,##0.00"))</f>
        <v>-</v>
      </c>
    </row>
    <row r="2798" spans="1:3">
      <c r="A2798" s="432" t="s">
        <v>3625</v>
      </c>
      <c r="B2798" s="432" t="str">
        <f t="shared" si="52"/>
        <v>-</v>
      </c>
      <c r="C2798" s="435" t="str">
        <f>IF('4-11主要财务数据和指标'!E7=0,"-",TEXT('4-11主要财务数据和指标'!E7/10000,"#,##0.00"))</f>
        <v>-</v>
      </c>
    </row>
    <row r="2799" spans="1:3">
      <c r="A2799" s="432" t="s">
        <v>3626</v>
      </c>
      <c r="B2799" s="432" t="str">
        <f t="shared" si="52"/>
        <v>-</v>
      </c>
      <c r="C2799" s="435" t="str">
        <f>IF('4-11主要财务数据和指标'!E8=0,"-",TEXT('4-11主要财务数据和指标'!E8/10000,"#,##0.00"))</f>
        <v>-</v>
      </c>
    </row>
    <row r="2800" spans="1:3">
      <c r="A2800" s="432" t="s">
        <v>3627</v>
      </c>
      <c r="B2800" s="432" t="str">
        <f t="shared" si="52"/>
        <v>-</v>
      </c>
      <c r="C2800" s="435" t="str">
        <f>IF('4-11主要财务数据和指标'!E9=0,"-",TEXT('4-11主要财务数据和指标'!E9/10000,"#,##0.00"))</f>
        <v>-</v>
      </c>
    </row>
    <row r="2801" spans="1:3">
      <c r="A2801" s="432" t="s">
        <v>3628</v>
      </c>
      <c r="B2801" s="432" t="str">
        <f t="shared" si="52"/>
        <v>-</v>
      </c>
      <c r="C2801" s="435" t="str">
        <f>IF('4-11主要财务数据和指标'!E10=0,"-",TEXT('4-11主要财务数据和指标'!E10/10000,"#,##0.00"))</f>
        <v>-</v>
      </c>
    </row>
    <row r="2802" spans="1:3">
      <c r="A2802" s="432" t="s">
        <v>3629</v>
      </c>
      <c r="B2802" s="432" t="str">
        <f t="shared" si="52"/>
        <v>-</v>
      </c>
      <c r="C2802" s="435" t="str">
        <f>IF('4-11主要财务数据和指标'!E11=0,"-",TEXT('4-11主要财务数据和指标'!E11/10000,"#,##0.00"))</f>
        <v>-</v>
      </c>
    </row>
    <row r="2803" spans="1:3">
      <c r="A2803" s="432" t="s">
        <v>3630</v>
      </c>
      <c r="B2803" s="432" t="str">
        <f t="shared" si="52"/>
        <v>-</v>
      </c>
      <c r="C2803" s="435" t="str">
        <f>IF('4-11主要财务数据和指标'!E12=0,"-",TEXT('4-11主要财务数据和指标'!E12/10000,"#,##0.00"))</f>
        <v>-</v>
      </c>
    </row>
    <row r="2804" spans="1:3">
      <c r="A2804" s="432" t="s">
        <v>3631</v>
      </c>
      <c r="B2804" s="432" t="str">
        <f t="shared" si="52"/>
        <v>-</v>
      </c>
      <c r="C2804" s="435" t="str">
        <f>IF('4-11主要财务数据和指标'!E13=0,"-",TEXT('4-11主要财务数据和指标'!E13/10000,"#,##0.00"))</f>
        <v>-</v>
      </c>
    </row>
    <row r="2805" spans="1:3">
      <c r="A2805" s="432" t="s">
        <v>3632</v>
      </c>
      <c r="B2805" s="432" t="str">
        <f t="shared" si="52"/>
        <v>-</v>
      </c>
      <c r="C2805" s="435" t="str">
        <f>IF('4-11主要财务数据和指标'!E14=0,"-",TEXT('4-11主要财务数据和指标'!E14/10000,"#,##0.00"))</f>
        <v>-</v>
      </c>
    </row>
    <row r="2806" spans="1:3">
      <c r="A2806" s="432" t="s">
        <v>3633</v>
      </c>
      <c r="B2806" s="432" t="e">
        <f t="shared" si="52"/>
        <v>#DIV/0!</v>
      </c>
      <c r="C2806" s="435" t="e">
        <f>IF('4-11主要财务数据和指标'!E15=0,"-",TEXT('4-11主要财务数据和指标'!E15,"#,##0.00"))</f>
        <v>#DIV/0!</v>
      </c>
    </row>
    <row r="2807" spans="1:3">
      <c r="A2807" s="432" t="s">
        <v>3634</v>
      </c>
      <c r="B2807" s="432" t="e">
        <f t="shared" si="52"/>
        <v>#DIV/0!</v>
      </c>
      <c r="C2807" s="435" t="e">
        <f>IF('4-11主要财务数据和指标'!E16=0,"-",TEXT('4-11主要财务数据和指标'!E16,"#,##0.00"))</f>
        <v>#DIV/0!</v>
      </c>
    </row>
    <row r="2808" spans="1:3">
      <c r="A2808" s="432" t="s">
        <v>3635</v>
      </c>
      <c r="B2808" s="432" t="e">
        <f t="shared" si="52"/>
        <v>#DIV/0!</v>
      </c>
      <c r="C2808" s="435" t="e">
        <f>IF('4-11主要财务数据和指标'!E17=0,"-",TEXT('4-11主要财务数据和指标'!E17,"#,##0.00"))</f>
        <v>#DIV/0!</v>
      </c>
    </row>
    <row r="2809" spans="1:3">
      <c r="A2809" s="432" t="s">
        <v>3636</v>
      </c>
      <c r="B2809" s="432" t="e">
        <f t="shared" si="52"/>
        <v>#DIV/0!</v>
      </c>
      <c r="C2809" s="435" t="e">
        <f>IF('4-11主要财务数据和指标'!E18=0,"-",TEXT('4-11主要财务数据和指标'!E18,"#,##0.00"))</f>
        <v>#DIV/0!</v>
      </c>
    </row>
    <row r="2810" spans="1:3">
      <c r="A2810" s="432" t="s">
        <v>3637</v>
      </c>
      <c r="B2810" s="432" t="e">
        <f t="shared" si="52"/>
        <v>#DIV/0!</v>
      </c>
      <c r="C2810" s="435" t="e">
        <f>IF('4-11主要财务数据和指标'!E19=0,"-",TEXT('4-11主要财务数据和指标'!E19,"#,##0.00"))</f>
        <v>#DIV/0!</v>
      </c>
    </row>
    <row r="2811" spans="1:3">
      <c r="A2811" s="432" t="s">
        <v>3638</v>
      </c>
      <c r="B2811" s="432" t="e">
        <f t="shared" si="52"/>
        <v>#DIV/0!</v>
      </c>
      <c r="C2811" s="435" t="e">
        <f>IF('4-11主要财务数据和指标'!E20=0,"-",TEXT('4-11主要财务数据和指标'!E20,"#,##0.00"))</f>
        <v>#DIV/0!</v>
      </c>
    </row>
    <row r="2812" spans="1:3">
      <c r="A2812" s="432" t="s">
        <v>3639</v>
      </c>
      <c r="B2812" s="432" t="e">
        <f t="shared" si="52"/>
        <v>#DIV/0!</v>
      </c>
      <c r="C2812" s="435" t="e">
        <f>IF('4-11主要财务数据和指标'!E21=0,"-",TEXT('4-11主要财务数据和指标'!E21,"#,##0.00"))</f>
        <v>#DIV/0!</v>
      </c>
    </row>
    <row r="2813" spans="1:3">
      <c r="A2813" s="432" t="s">
        <v>3640</v>
      </c>
      <c r="B2813" s="432" t="e">
        <f t="shared" si="52"/>
        <v>#DIV/0!</v>
      </c>
      <c r="C2813" s="435" t="e">
        <f>IF('4-11主要财务数据和指标'!E22=0,"-",TEXT('4-11主要财务数据和指标'!E22,"#,##0.00"))</f>
        <v>#DIV/0!</v>
      </c>
    </row>
    <row r="2814" spans="1:3">
      <c r="A2814" s="432" t="s">
        <v>3641</v>
      </c>
      <c r="B2814" s="432" t="str">
        <f t="shared" si="52"/>
        <v>-</v>
      </c>
      <c r="C2814" s="435" t="str">
        <f>IF('4-11主要财务数据和指标'!E23=0,"-",TEXT('4-11主要财务数据和指标'!E23/10000,"#,##0.00"))</f>
        <v>-</v>
      </c>
    </row>
    <row r="2815" spans="1:3">
      <c r="A2815" s="432" t="s">
        <v>3642</v>
      </c>
      <c r="B2815" s="432" t="e">
        <f t="shared" si="52"/>
        <v>#DIV/0!</v>
      </c>
      <c r="C2815" s="435" t="e">
        <f>IF('4-11主要财务数据和指标'!E24=0,"-",TEXT('4-11主要财务数据和指标'!E24,"#,##0.00"))</f>
        <v>#DIV/0!</v>
      </c>
    </row>
    <row r="2816" spans="1:3">
      <c r="A2816" s="432" t="s">
        <v>3643</v>
      </c>
      <c r="B2816" s="432" t="e">
        <f t="shared" si="52"/>
        <v>#DIV/0!</v>
      </c>
      <c r="C2816" s="435" t="e">
        <f>IF('4-11主要财务数据和指标'!E25=0,"-",TEXT('4-11主要财务数据和指标'!E25,"#,##0.00"))</f>
        <v>#DIV/0!</v>
      </c>
    </row>
    <row r="2817" spans="1:3">
      <c r="A2817" s="432" t="s">
        <v>3644</v>
      </c>
      <c r="B2817" s="432" t="e">
        <f t="shared" si="52"/>
        <v>#DIV/0!</v>
      </c>
      <c r="C2817" s="435" t="e">
        <f>IF('4-11主要财务数据和指标'!E26=0,"-",TEXT('4-11主要财务数据和指标'!E26,"#,##0.00"))</f>
        <v>#DIV/0!</v>
      </c>
    </row>
    <row r="2818" spans="1:3">
      <c r="A2818" s="432" t="s">
        <v>3645</v>
      </c>
      <c r="B2818" s="432" t="e">
        <f t="shared" si="52"/>
        <v>#DIV/0!</v>
      </c>
      <c r="C2818" s="435" t="e">
        <f>IF('4-11主要财务数据和指标'!E27=0,"-",TEXT('4-11主要财务数据和指标'!E27,"#,##0.00"))</f>
        <v>#DIV/0!</v>
      </c>
    </row>
    <row r="2819" spans="1:3">
      <c r="A2819" s="432" t="s">
        <v>3664</v>
      </c>
      <c r="B2819" s="432" t="str">
        <f t="shared" si="52"/>
        <v>-</v>
      </c>
      <c r="C2819" s="435" t="str">
        <f>IF('4-11主要财务数据和指标'!H28=0,"-",TEXT('4-11主要财务数据和指标'!H28/10000,"#,##0.00"))</f>
        <v>-</v>
      </c>
    </row>
    <row r="2820" spans="1:3">
      <c r="A2820" s="432" t="s">
        <v>3665</v>
      </c>
      <c r="B2820" s="432" t="str">
        <f t="shared" si="52"/>
        <v>-</v>
      </c>
      <c r="C2820" s="435" t="str">
        <f>IF('4-11主要财务数据和指标'!H29=0,"-",TEXT('4-11主要财务数据和指标'!H29/10000,"#,##0.00"))</f>
        <v>-</v>
      </c>
    </row>
    <row r="2821" spans="1:3">
      <c r="A2821" s="432" t="s">
        <v>3666</v>
      </c>
      <c r="B2821" s="432" t="str">
        <f t="shared" si="52"/>
        <v>-</v>
      </c>
      <c r="C2821" s="435" t="str">
        <f>IF('4-11主要财务数据和指标'!H30=0,"-",TEXT('4-11主要财务数据和指标'!H30/10000,"#,##0.00"))</f>
        <v>-</v>
      </c>
    </row>
    <row r="2822" spans="1:3">
      <c r="A2822" s="432" t="s">
        <v>3667</v>
      </c>
      <c r="B2822" s="432" t="str">
        <f t="shared" si="52"/>
        <v>-</v>
      </c>
      <c r="C2822" s="435" t="str">
        <f>IF('4-11主要财务数据和指标'!H31=0,"-",TEXT('4-11主要财务数据和指标'!H31/10000,"#,##0.00"))</f>
        <v>-</v>
      </c>
    </row>
    <row r="2823" spans="1:3">
      <c r="A2823" s="432" t="s">
        <v>3668</v>
      </c>
      <c r="B2823" s="432" t="str">
        <f t="shared" si="52"/>
        <v>-</v>
      </c>
      <c r="C2823" s="435" t="str">
        <f>IF('4-11主要财务数据和指标'!I28=0,"-",TEXT('4-11主要财务数据和指标'!I28/10000,"#,##0.00"))</f>
        <v>-</v>
      </c>
    </row>
    <row r="2824" spans="1:3">
      <c r="A2824" s="432" t="s">
        <v>3669</v>
      </c>
      <c r="B2824" s="432" t="str">
        <f t="shared" si="52"/>
        <v>-</v>
      </c>
      <c r="C2824" s="435" t="str">
        <f>IF('4-11主要财务数据和指标'!I29=0,"-",TEXT('4-11主要财务数据和指标'!I29/10000,"#,##0.00"))</f>
        <v>-</v>
      </c>
    </row>
    <row r="2825" spans="1:3">
      <c r="A2825" s="432" t="s">
        <v>3670</v>
      </c>
      <c r="B2825" s="432" t="str">
        <f t="shared" si="52"/>
        <v>-</v>
      </c>
      <c r="C2825" s="435" t="str">
        <f>IF('4-11主要财务数据和指标'!I30=0,"-",TEXT('4-11主要财务数据和指标'!I30/10000,"#,##0.00"))</f>
        <v>-</v>
      </c>
    </row>
    <row r="2826" spans="1:3">
      <c r="A2826" s="432" t="s">
        <v>3671</v>
      </c>
      <c r="B2826" s="432" t="str">
        <f t="shared" si="52"/>
        <v>-</v>
      </c>
      <c r="C2826" s="435" t="str">
        <f>IF('4-11主要财务数据和指标'!I31=0,"-",TEXT('4-11主要财务数据和指标'!I31/10000,"#,##0.00"))</f>
        <v>-</v>
      </c>
    </row>
    <row r="2827" spans="1:3">
      <c r="A2827" s="432" t="s">
        <v>3672</v>
      </c>
      <c r="B2827" s="432" t="str">
        <f t="shared" si="52"/>
        <v>-</v>
      </c>
      <c r="C2827" s="435" t="str">
        <f>IF('4-11主要财务数据和指标'!J28=0,"-",TEXT('4-11主要财务数据和指标'!J28/10000,"#,##0.00"))</f>
        <v>-</v>
      </c>
    </row>
    <row r="2828" spans="1:3">
      <c r="A2828" s="432" t="s">
        <v>3673</v>
      </c>
      <c r="B2828" s="432" t="str">
        <f t="shared" si="52"/>
        <v>-</v>
      </c>
      <c r="C2828" s="435" t="str">
        <f>IF('4-11主要财务数据和指标'!J29=0,"-",TEXT('4-11主要财务数据和指标'!J29/10000,"#,##0.00"))</f>
        <v>-</v>
      </c>
    </row>
    <row r="2829" spans="1:3">
      <c r="A2829" s="432" t="s">
        <v>3674</v>
      </c>
      <c r="B2829" s="432" t="str">
        <f t="shared" si="52"/>
        <v>-</v>
      </c>
      <c r="C2829" s="435" t="str">
        <f>IF('4-11主要财务数据和指标'!J30=0,"-",TEXT('4-11主要财务数据和指标'!J30/10000,"#,##0.00"))</f>
        <v>-</v>
      </c>
    </row>
    <row r="2830" spans="1:3">
      <c r="A2830" s="432" t="s">
        <v>3675</v>
      </c>
      <c r="B2830" s="432" t="str">
        <f t="shared" si="52"/>
        <v>-</v>
      </c>
      <c r="C2830" s="435" t="str">
        <f>IF('4-11主要财务数据和指标'!J31=0,"-",TEXT('4-11主要财务数据和指标'!J31/10000,"#,##0.00"))</f>
        <v>-</v>
      </c>
    </row>
    <row r="2831" spans="1:3">
      <c r="A2831" s="432" t="s">
        <v>3646</v>
      </c>
      <c r="B2831" s="432" t="e">
        <f t="shared" si="52"/>
        <v>#DIV/0!</v>
      </c>
      <c r="C2831" s="435" t="e">
        <f>IF('4-11主要财务数据和指标'!J20=0,"-",TEXT('4-11主要财务数据和指标'!J20,"#,##0.00"))</f>
        <v>#DIV/0!</v>
      </c>
    </row>
    <row r="2832" spans="1:3">
      <c r="A2832" s="432" t="s">
        <v>3648</v>
      </c>
      <c r="B2832" s="432" t="e">
        <f t="shared" si="52"/>
        <v>#DIV/0!</v>
      </c>
      <c r="C2832" s="435" t="e">
        <f>IF('4-11主要财务数据和指标'!J21=0,"-",TEXT('4-11主要财务数据和指标'!J21,"#,##0.00"))</f>
        <v>#DIV/0!</v>
      </c>
    </row>
    <row r="2833" spans="1:5">
      <c r="A2833" s="432" t="s">
        <v>3650</v>
      </c>
      <c r="B2833" s="432" t="e">
        <f t="shared" si="52"/>
        <v>#DIV/0!</v>
      </c>
      <c r="C2833" s="435" t="e">
        <f>IF('4-11主要财务数据和指标'!J22=0,"-",TEXT('4-11主要财务数据和指标'!J22,"#,##0.00"))</f>
        <v>#DIV/0!</v>
      </c>
    </row>
    <row r="2834" spans="1:5">
      <c r="A2834" s="432" t="s">
        <v>3652</v>
      </c>
      <c r="B2834" s="432" t="e">
        <f t="shared" ref="B2834:B2855" si="53">TRIM(C2834)</f>
        <v>#DIV/0!</v>
      </c>
      <c r="C2834" s="435" t="e">
        <f>IF('4-11主要财务数据和指标'!J26=0,"-",TEXT('4-11主要财务数据和指标'!J26,"#,##0.00"))</f>
        <v>#DIV/0!</v>
      </c>
    </row>
    <row r="2835" spans="1:5">
      <c r="A2835" s="432" t="s">
        <v>3654</v>
      </c>
      <c r="B2835" s="432" t="e">
        <f t="shared" si="53"/>
        <v>#DIV/0!</v>
      </c>
      <c r="C2835" s="435" t="e">
        <f>IF('4-11主要财务数据和指标'!J27=0,"-",TEXT('4-11主要财务数据和指标'!J27,"#,##0.00"))</f>
        <v>#DIV/0!</v>
      </c>
    </row>
    <row r="2836" spans="1:5">
      <c r="A2836" t="s">
        <v>4041</v>
      </c>
      <c r="B2836" s="432" t="str">
        <f t="shared" si="53"/>
        <v>0.00</v>
      </c>
      <c r="C2836" s="435" t="str">
        <f>IF(担保方主要数据!B6,"-",TEXT(担保方主要数据!B6,"#,##0.00"))</f>
        <v>0.00</v>
      </c>
      <c r="E2836" s="436" t="s">
        <v>4061</v>
      </c>
    </row>
    <row r="2837" spans="1:5">
      <c r="A2837" t="s">
        <v>4043</v>
      </c>
      <c r="B2837" s="432" t="str">
        <f t="shared" si="53"/>
        <v>0.00</v>
      </c>
      <c r="C2837" s="435" t="str">
        <f>IF(担保方主要数据!B7,"-",TEXT(担保方主要数据!B7,"#,##0.00"))</f>
        <v>0.00</v>
      </c>
    </row>
    <row r="2838" spans="1:5">
      <c r="A2838" t="s">
        <v>4045</v>
      </c>
      <c r="B2838" s="432" t="str">
        <f t="shared" si="53"/>
        <v>0.00</v>
      </c>
      <c r="C2838" s="435" t="str">
        <f>IF(担保方主要数据!B8,"-",TEXT(担保方主要数据!B8,"#,##0.00"))</f>
        <v>0.00</v>
      </c>
    </row>
    <row r="2839" spans="1:5">
      <c r="A2839" t="s">
        <v>4047</v>
      </c>
      <c r="B2839" s="432" t="str">
        <f t="shared" si="53"/>
        <v>0.00</v>
      </c>
      <c r="C2839" s="435" t="str">
        <f>IF(担保方主要数据!B9,"-",TEXT(担保方主要数据!B9,"#,##0.00"))</f>
        <v>0.00</v>
      </c>
    </row>
    <row r="2840" spans="1:5">
      <c r="A2840" t="s">
        <v>4049</v>
      </c>
      <c r="B2840" s="432" t="str">
        <f t="shared" si="53"/>
        <v>0.00</v>
      </c>
      <c r="C2840" s="435" t="str">
        <f>IF(担保方主要数据!B10,"-",TEXT(担保方主要数据!B10,"#,##0.00"))</f>
        <v>0.00</v>
      </c>
    </row>
    <row r="2841" spans="1:5">
      <c r="A2841" t="s">
        <v>4051</v>
      </c>
      <c r="B2841" s="432" t="str">
        <f t="shared" si="53"/>
        <v>0.00</v>
      </c>
      <c r="C2841" s="435" t="str">
        <f>IF(担保方主要数据!B11,"-",TEXT(担保方主要数据!B11,"#,##0.00"))</f>
        <v>0.00</v>
      </c>
    </row>
    <row r="2842" spans="1:5">
      <c r="A2842" t="s">
        <v>4053</v>
      </c>
      <c r="B2842" s="432" t="e">
        <f t="shared" si="53"/>
        <v>#DIV/0!</v>
      </c>
      <c r="C2842" s="435" t="e">
        <f>IF(担保方主要数据!B12,"-",TEXT(担保方主要数据!B12,"#,##0.00"))</f>
        <v>#DIV/0!</v>
      </c>
    </row>
    <row r="2843" spans="1:5">
      <c r="A2843" t="s">
        <v>4055</v>
      </c>
      <c r="B2843" s="432" t="e">
        <f t="shared" si="53"/>
        <v>#DIV/0!</v>
      </c>
      <c r="C2843" s="435" t="e">
        <f>IF(担保方主要数据!B13,"-",TEXT(担保方主要数据!B13,"#,##0.00"))</f>
        <v>#DIV/0!</v>
      </c>
    </row>
    <row r="2844" spans="1:5">
      <c r="A2844" t="s">
        <v>4057</v>
      </c>
      <c r="B2844" s="432" t="e">
        <f t="shared" si="53"/>
        <v>#DIV/0!</v>
      </c>
      <c r="C2844" s="435" t="e">
        <f>IF(担保方主要数据!B14,"-",TEXT(担保方主要数据!B14,"#,##0.00"))</f>
        <v>#DIV/0!</v>
      </c>
    </row>
    <row r="2845" spans="1:5">
      <c r="A2845" t="s">
        <v>4059</v>
      </c>
      <c r="B2845" s="432" t="e">
        <f t="shared" si="53"/>
        <v>#DIV/0!</v>
      </c>
      <c r="C2845" s="435" t="e">
        <f>IF(担保方主要数据!B15,"-",TEXT(担保方主要数据!B15,"#,##0.00"))</f>
        <v>#DIV/0!</v>
      </c>
    </row>
    <row r="2846" spans="1:5">
      <c r="A2846" t="s">
        <v>4042</v>
      </c>
      <c r="B2846" s="432" t="str">
        <f t="shared" si="53"/>
        <v>0.00</v>
      </c>
      <c r="C2846" s="435" t="str">
        <f>IF(担保方主要数据!C6,"-",TEXT(担保方主要数据!C6,"#,##0.00"))</f>
        <v>0.00</v>
      </c>
    </row>
    <row r="2847" spans="1:5">
      <c r="A2847" t="s">
        <v>4044</v>
      </c>
      <c r="B2847" s="432" t="str">
        <f t="shared" si="53"/>
        <v>0.00</v>
      </c>
      <c r="C2847" s="435" t="str">
        <f>IF(担保方主要数据!C7,"-",TEXT(担保方主要数据!C7,"#,##0.00"))</f>
        <v>0.00</v>
      </c>
    </row>
    <row r="2848" spans="1:5">
      <c r="A2848" t="s">
        <v>4046</v>
      </c>
      <c r="B2848" s="432" t="str">
        <f t="shared" si="53"/>
        <v>0.00</v>
      </c>
      <c r="C2848" s="435" t="str">
        <f>IF(担保方主要数据!C8,"-",TEXT(担保方主要数据!C8,"#,##0.00"))</f>
        <v>0.00</v>
      </c>
    </row>
    <row r="2849" spans="1:3">
      <c r="A2849" t="s">
        <v>4048</v>
      </c>
      <c r="B2849" s="432" t="str">
        <f t="shared" si="53"/>
        <v>0.00</v>
      </c>
      <c r="C2849" s="435" t="str">
        <f>IF(担保方主要数据!C9,"-",TEXT(担保方主要数据!C9,"#,##0.00"))</f>
        <v>0.00</v>
      </c>
    </row>
    <row r="2850" spans="1:3">
      <c r="A2850" t="s">
        <v>4050</v>
      </c>
      <c r="B2850" s="432" t="str">
        <f t="shared" si="53"/>
        <v>0.00</v>
      </c>
      <c r="C2850" s="435" t="str">
        <f>IF(担保方主要数据!C10,"-",TEXT(担保方主要数据!C10,"#,##0.00"))</f>
        <v>0.00</v>
      </c>
    </row>
    <row r="2851" spans="1:3">
      <c r="A2851" t="s">
        <v>4052</v>
      </c>
      <c r="B2851" s="432" t="str">
        <f t="shared" si="53"/>
        <v>0.00</v>
      </c>
      <c r="C2851" s="435" t="str">
        <f>IF(担保方主要数据!C11,"-",TEXT(担保方主要数据!C11,"#,##0.00"))</f>
        <v>0.00</v>
      </c>
    </row>
    <row r="2852" spans="1:3">
      <c r="A2852" t="s">
        <v>4054</v>
      </c>
      <c r="B2852" s="432" t="e">
        <f t="shared" si="53"/>
        <v>#DIV/0!</v>
      </c>
      <c r="C2852" s="435" t="e">
        <f>IF(担保方主要数据!C12,"-",TEXT(担保方主要数据!C12,"#,##0.00"))</f>
        <v>#DIV/0!</v>
      </c>
    </row>
    <row r="2853" spans="1:3">
      <c r="A2853" t="s">
        <v>4056</v>
      </c>
      <c r="B2853" s="432" t="e">
        <f t="shared" si="53"/>
        <v>#DIV/0!</v>
      </c>
      <c r="C2853" s="435" t="e">
        <f>IF(担保方主要数据!C13,"-",TEXT(担保方主要数据!C13,"#,##0.00"))</f>
        <v>#DIV/0!</v>
      </c>
    </row>
    <row r="2854" spans="1:3">
      <c r="A2854" t="s">
        <v>4058</v>
      </c>
      <c r="B2854" s="432" t="e">
        <f t="shared" si="53"/>
        <v>#DIV/0!</v>
      </c>
      <c r="C2854" s="435" t="e">
        <f>IF(担保方主要数据!C14,"-",TEXT(担保方主要数据!C14,"#,##0.00"))</f>
        <v>#DIV/0!</v>
      </c>
    </row>
    <row r="2855" spans="1:3">
      <c r="A2855" t="s">
        <v>4060</v>
      </c>
      <c r="B2855" s="432" t="e">
        <f t="shared" si="53"/>
        <v>#DIV/0!</v>
      </c>
      <c r="C2855" s="435" t="e">
        <f>IF(担保方主要数据!C15,"-",TEXT(担保方主要数据!C15,"#,##0.00"))</f>
        <v>#DIV/0!</v>
      </c>
    </row>
  </sheetData>
  <autoFilter ref="A1:G1" xr:uid="{674A677C-95FD-4F5A-86EE-DB16E9F70152}"/>
  <phoneticPr fontId="1" type="noConversion"/>
  <conditionalFormatting sqref="A2856:B1048576 A1 A2836:A2855 A2:B2835">
    <cfRule type="duplicateValues" dxfId="1" priority="3"/>
  </conditionalFormatting>
  <conditionalFormatting sqref="B2836:B2855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B95CA-4E43-4A8A-810C-2090F36DEFF3}">
  <sheetPr codeName="Sheet1"/>
  <dimension ref="A1:AH251"/>
  <sheetViews>
    <sheetView topLeftCell="A76" zoomScale="85" zoomScaleNormal="85" workbookViewId="0">
      <selection activeCell="C88" sqref="C88:F88"/>
    </sheetView>
  </sheetViews>
  <sheetFormatPr defaultColWidth="8.75" defaultRowHeight="12.75"/>
  <cols>
    <col min="1" max="1" width="8.625" style="28" customWidth="1"/>
    <col min="2" max="2" width="27.75" style="28" customWidth="1"/>
    <col min="3" max="6" width="10.5" style="191" customWidth="1"/>
    <col min="7" max="7" width="14.25" style="191" customWidth="1"/>
    <col min="8" max="10" width="13.25" style="191" customWidth="1"/>
    <col min="11" max="14" width="12.75" style="191" customWidth="1"/>
    <col min="15" max="15" width="10.375" style="191" customWidth="1"/>
    <col min="16" max="16" width="10.5" style="191" customWidth="1"/>
    <col min="17" max="17" width="11" style="191" customWidth="1"/>
    <col min="18" max="18" width="12.25" style="191" customWidth="1"/>
    <col min="19" max="19" width="7.875" style="191" customWidth="1"/>
    <col min="20" max="21" width="11.75" style="191" customWidth="1"/>
    <col min="22" max="23" width="7.875" style="191" customWidth="1"/>
    <col min="24" max="24" width="9.5" style="191" customWidth="1"/>
    <col min="25" max="25" width="7.875" style="191" customWidth="1"/>
    <col min="26" max="26" width="11.125" style="191" customWidth="1"/>
    <col min="27" max="27" width="9.5" style="191" customWidth="1"/>
    <col min="28" max="29" width="7.875" style="191" customWidth="1"/>
    <col min="30" max="30" width="9.25" style="191" customWidth="1"/>
    <col min="31" max="31" width="7.875" style="191" customWidth="1"/>
    <col min="32" max="32" width="13" style="191" customWidth="1"/>
    <col min="33" max="16384" width="8.75" style="28"/>
  </cols>
  <sheetData>
    <row r="1" spans="1:32" ht="13.15" customHeight="1">
      <c r="B1" s="655" t="s">
        <v>0</v>
      </c>
      <c r="C1" s="700" t="s">
        <v>434</v>
      </c>
      <c r="D1" s="700" t="s">
        <v>433</v>
      </c>
      <c r="E1" s="700" t="s">
        <v>432</v>
      </c>
      <c r="F1" s="713" t="s">
        <v>431</v>
      </c>
      <c r="G1" s="715" t="s">
        <v>68</v>
      </c>
      <c r="H1" s="716"/>
      <c r="I1" s="716"/>
      <c r="J1" s="717"/>
      <c r="K1" s="715" t="s">
        <v>69</v>
      </c>
      <c r="L1" s="716"/>
      <c r="M1" s="716"/>
      <c r="N1" s="718"/>
      <c r="O1" s="666" t="s">
        <v>78</v>
      </c>
      <c r="P1" s="667"/>
      <c r="Q1" s="667"/>
      <c r="R1" s="667"/>
      <c r="S1" s="667"/>
      <c r="T1" s="668"/>
      <c r="U1" s="666" t="s">
        <v>77</v>
      </c>
      <c r="V1" s="667"/>
      <c r="W1" s="667"/>
      <c r="X1" s="667"/>
      <c r="Y1" s="667"/>
      <c r="Z1" s="668"/>
      <c r="AA1" s="719" t="s">
        <v>76</v>
      </c>
      <c r="AB1" s="720"/>
      <c r="AC1" s="720"/>
      <c r="AD1" s="720"/>
      <c r="AE1" s="720"/>
      <c r="AF1" s="721"/>
    </row>
    <row r="2" spans="1:32" ht="15.6" customHeight="1">
      <c r="B2" s="656"/>
      <c r="C2" s="701"/>
      <c r="D2" s="701"/>
      <c r="E2" s="701"/>
      <c r="F2" s="714"/>
      <c r="G2" s="208" t="s">
        <v>72</v>
      </c>
      <c r="H2" s="182" t="s">
        <v>73</v>
      </c>
      <c r="I2" s="182" t="s">
        <v>74</v>
      </c>
      <c r="J2" s="183" t="s">
        <v>75</v>
      </c>
      <c r="K2" s="208" t="s">
        <v>72</v>
      </c>
      <c r="L2" s="182" t="s">
        <v>73</v>
      </c>
      <c r="M2" s="182" t="s">
        <v>74</v>
      </c>
      <c r="N2" s="431" t="s">
        <v>75</v>
      </c>
      <c r="O2" s="662" t="s">
        <v>32</v>
      </c>
      <c r="P2" s="663"/>
      <c r="Q2" s="663"/>
      <c r="R2" s="663" t="s">
        <v>2388</v>
      </c>
      <c r="S2" s="663"/>
      <c r="T2" s="712"/>
      <c r="U2" s="662" t="s">
        <v>32</v>
      </c>
      <c r="V2" s="663"/>
      <c r="W2" s="663"/>
      <c r="X2" s="663" t="s">
        <v>2388</v>
      </c>
      <c r="Y2" s="663"/>
      <c r="Z2" s="712"/>
      <c r="AA2" s="662" t="s">
        <v>32</v>
      </c>
      <c r="AB2" s="663"/>
      <c r="AC2" s="663"/>
      <c r="AD2" s="663" t="s">
        <v>2388</v>
      </c>
      <c r="AE2" s="663"/>
      <c r="AF2" s="712"/>
    </row>
    <row r="3" spans="1:32" s="189" customFormat="1" ht="14.25">
      <c r="B3" s="62" t="s">
        <v>103</v>
      </c>
      <c r="C3" s="169"/>
      <c r="D3" s="169"/>
      <c r="E3" s="169"/>
      <c r="F3" s="170"/>
      <c r="G3" s="209"/>
      <c r="H3" s="204"/>
      <c r="I3" s="204"/>
      <c r="J3" s="206"/>
      <c r="K3" s="209"/>
      <c r="L3" s="204"/>
      <c r="M3" s="204"/>
      <c r="N3" s="439"/>
      <c r="O3" s="674" t="s">
        <v>2389</v>
      </c>
      <c r="P3" s="673"/>
      <c r="Q3" s="580" t="s">
        <v>2390</v>
      </c>
      <c r="R3" s="673" t="s">
        <v>2389</v>
      </c>
      <c r="S3" s="673"/>
      <c r="T3" s="474" t="s">
        <v>2390</v>
      </c>
      <c r="U3" s="674" t="s">
        <v>2389</v>
      </c>
      <c r="V3" s="673"/>
      <c r="W3" s="437" t="s">
        <v>2390</v>
      </c>
      <c r="X3" s="673" t="s">
        <v>2389</v>
      </c>
      <c r="Y3" s="673"/>
      <c r="Z3" s="438" t="s">
        <v>2390</v>
      </c>
      <c r="AA3" s="674" t="s">
        <v>2389</v>
      </c>
      <c r="AB3" s="673"/>
      <c r="AC3" s="437" t="s">
        <v>2390</v>
      </c>
      <c r="AD3" s="673" t="s">
        <v>2389</v>
      </c>
      <c r="AE3" s="673"/>
      <c r="AF3" s="438" t="s">
        <v>2390</v>
      </c>
    </row>
    <row r="4" spans="1:32" ht="14.25">
      <c r="A4" s="28" t="s">
        <v>216</v>
      </c>
      <c r="B4" s="144" t="s">
        <v>149</v>
      </c>
      <c r="C4" s="176" t="s">
        <v>454</v>
      </c>
      <c r="D4" s="176" t="s">
        <v>528</v>
      </c>
      <c r="E4" s="176" t="s">
        <v>600</v>
      </c>
      <c r="F4" s="178" t="s">
        <v>674</v>
      </c>
      <c r="G4" s="161" t="s">
        <v>1777</v>
      </c>
      <c r="H4" s="158" t="s">
        <v>1836</v>
      </c>
      <c r="I4" s="158" t="s">
        <v>1893</v>
      </c>
      <c r="J4" s="162" t="s">
        <v>1952</v>
      </c>
      <c r="K4" s="161" t="s">
        <v>2010</v>
      </c>
      <c r="L4" s="158" t="s">
        <v>2071</v>
      </c>
      <c r="M4" s="158" t="s">
        <v>2130</v>
      </c>
      <c r="N4" s="440" t="s">
        <v>2191</v>
      </c>
      <c r="O4" s="161" t="s">
        <v>2391</v>
      </c>
      <c r="P4" s="158" t="str">
        <f>IF('合并资产负债表 '!R5&gt;0,"增加",IF('合并资产负债表 '!R5=0,"无变化","减少"))</f>
        <v>无变化</v>
      </c>
      <c r="Q4" s="158" t="s">
        <v>2452</v>
      </c>
      <c r="R4" s="158" t="s">
        <v>2575</v>
      </c>
      <c r="S4" s="158" t="str">
        <f>IF('合并资产负债表 '!R5&gt;0,"增幅",IF('合并资产负债表 '!R5=0,"无变化","降幅"))</f>
        <v>无变化</v>
      </c>
      <c r="T4" s="162" t="s">
        <v>2514</v>
      </c>
      <c r="U4" s="581" t="s">
        <v>2697</v>
      </c>
      <c r="V4" s="582" t="str">
        <f>IF('合并资产负债表 '!T5&gt;0,"增加",IF('合并资产负债表 '!T5=0,"无变化","减少"))</f>
        <v>无变化</v>
      </c>
      <c r="W4" s="582" t="s">
        <v>2636</v>
      </c>
      <c r="X4" s="582" t="s">
        <v>2819</v>
      </c>
      <c r="Y4" s="582" t="str">
        <f>IF('合并资产负债表 '!T5&gt;0,"增幅",IF('合并资产负债表 '!T5=0,"无变化","降幅"))</f>
        <v>无变化</v>
      </c>
      <c r="Z4" s="162" t="s">
        <v>2758</v>
      </c>
      <c r="AA4" s="581" t="s">
        <v>2941</v>
      </c>
      <c r="AB4" s="582" t="str">
        <f>IF('合并资产负债表 '!V5&gt;0,"增加",IF('合并资产负债表 '!V5=0,"无变化","减少"))</f>
        <v>无变化</v>
      </c>
      <c r="AC4" s="582" t="s">
        <v>2880</v>
      </c>
      <c r="AD4" s="582" t="s">
        <v>3063</v>
      </c>
      <c r="AE4" s="582" t="str">
        <f>IF('合并资产负债表 '!V5&gt;0,"增幅",IF('合并资产负债表 '!V5=0,"无变化","降幅"))</f>
        <v>无变化</v>
      </c>
      <c r="AF4" s="162" t="s">
        <v>3002</v>
      </c>
    </row>
    <row r="5" spans="1:32" ht="25.5">
      <c r="A5" s="28" t="s">
        <v>217</v>
      </c>
      <c r="B5" s="129" t="s">
        <v>7</v>
      </c>
      <c r="C5" s="176" t="s">
        <v>455</v>
      </c>
      <c r="D5" s="176" t="s">
        <v>529</v>
      </c>
      <c r="E5" s="176" t="s">
        <v>601</v>
      </c>
      <c r="F5" s="178" t="s">
        <v>675</v>
      </c>
      <c r="G5" s="161" t="s">
        <v>1778</v>
      </c>
      <c r="H5" s="158" t="s">
        <v>1837</v>
      </c>
      <c r="I5" s="158" t="s">
        <v>1894</v>
      </c>
      <c r="J5" s="162" t="s">
        <v>1953</v>
      </c>
      <c r="K5" s="161" t="s">
        <v>2011</v>
      </c>
      <c r="L5" s="158" t="s">
        <v>3211</v>
      </c>
      <c r="M5" s="158" t="s">
        <v>2131</v>
      </c>
      <c r="N5" s="440" t="s">
        <v>2192</v>
      </c>
      <c r="O5" s="161" t="s">
        <v>2392</v>
      </c>
      <c r="P5" s="158" t="str">
        <f>IF('合并资产负债表 '!R6&gt;0,"增加",IF('合并资产负债表 '!R6=0,"无变化","减少"))</f>
        <v>无变化</v>
      </c>
      <c r="Q5" s="158" t="s">
        <v>2453</v>
      </c>
      <c r="R5" s="158" t="s">
        <v>2576</v>
      </c>
      <c r="S5" s="158" t="str">
        <f>IF('合并资产负债表 '!R6&gt;0,"增幅",IF('合并资产负债表 '!R6=0,"无变化","降幅"))</f>
        <v>无变化</v>
      </c>
      <c r="T5" s="162" t="s">
        <v>2515</v>
      </c>
      <c r="U5" s="581" t="s">
        <v>2698</v>
      </c>
      <c r="V5" s="582" t="str">
        <f>IF('合并资产负债表 '!T6&gt;0,"增加",IF('合并资产负债表 '!T6=0,"无变化","减少"))</f>
        <v>无变化</v>
      </c>
      <c r="W5" s="582" t="s">
        <v>2637</v>
      </c>
      <c r="X5" s="582" t="s">
        <v>2820</v>
      </c>
      <c r="Y5" s="582" t="str">
        <f>IF('合并资产负债表 '!T6&gt;0,"增幅",IF('合并资产负债表 '!T6=0,"无变化","降幅"))</f>
        <v>无变化</v>
      </c>
      <c r="Z5" s="162" t="s">
        <v>2759</v>
      </c>
      <c r="AA5" s="581" t="s">
        <v>2942</v>
      </c>
      <c r="AB5" s="582" t="str">
        <f>IF('合并资产负债表 '!V6&gt;0,"增加",IF('合并资产负债表 '!V6=0,"无变化","减少"))</f>
        <v>无变化</v>
      </c>
      <c r="AC5" s="582" t="s">
        <v>2881</v>
      </c>
      <c r="AD5" s="582" t="s">
        <v>3064</v>
      </c>
      <c r="AE5" s="582" t="str">
        <f>IF('合并资产负债表 '!V6&gt;0,"增幅",IF('合并资产负债表 '!V6=0,"无变化","降幅"))</f>
        <v>无变化</v>
      </c>
      <c r="AF5" s="162" t="s">
        <v>3003</v>
      </c>
    </row>
    <row r="6" spans="1:32">
      <c r="A6" s="28" t="s">
        <v>218</v>
      </c>
      <c r="B6" s="129" t="s">
        <v>8</v>
      </c>
      <c r="C6" s="176" t="s">
        <v>456</v>
      </c>
      <c r="D6" s="176" t="s">
        <v>3677</v>
      </c>
      <c r="E6" s="176" t="s">
        <v>602</v>
      </c>
      <c r="F6" s="178" t="s">
        <v>676</v>
      </c>
      <c r="G6" s="161" t="s">
        <v>1779</v>
      </c>
      <c r="H6" s="158" t="s">
        <v>3212</v>
      </c>
      <c r="I6" s="158" t="s">
        <v>1895</v>
      </c>
      <c r="J6" s="162" t="s">
        <v>1954</v>
      </c>
      <c r="K6" s="161" t="s">
        <v>2012</v>
      </c>
      <c r="L6" s="158" t="s">
        <v>3209</v>
      </c>
      <c r="M6" s="158" t="s">
        <v>2132</v>
      </c>
      <c r="N6" s="440" t="s">
        <v>2193</v>
      </c>
      <c r="O6" s="161" t="s">
        <v>2393</v>
      </c>
      <c r="P6" s="158" t="str">
        <f>IF('合并资产负债表 '!R7&gt;0,"增加",IF('合并资产负债表 '!R7=0,"无变化","减少"))</f>
        <v>无变化</v>
      </c>
      <c r="Q6" s="158" t="s">
        <v>2454</v>
      </c>
      <c r="R6" s="158" t="s">
        <v>2577</v>
      </c>
      <c r="S6" s="158" t="str">
        <f>IF('合并资产负债表 '!R7&gt;0,"增幅",IF('合并资产负债表 '!R7=0,"无变化","降幅"))</f>
        <v>无变化</v>
      </c>
      <c r="T6" s="162" t="s">
        <v>2516</v>
      </c>
      <c r="U6" s="581" t="s">
        <v>2699</v>
      </c>
      <c r="V6" s="582" t="str">
        <f>IF('合并资产负债表 '!T7&gt;0,"增加",IF('合并资产负债表 '!T7=0,"无变化","减少"))</f>
        <v>无变化</v>
      </c>
      <c r="W6" s="582" t="s">
        <v>2638</v>
      </c>
      <c r="X6" s="582" t="s">
        <v>2821</v>
      </c>
      <c r="Y6" s="582" t="str">
        <f>IF('合并资产负债表 '!T7&gt;0,"增幅",IF('合并资产负债表 '!T7=0,"无变化","降幅"))</f>
        <v>无变化</v>
      </c>
      <c r="Z6" s="162" t="s">
        <v>2760</v>
      </c>
      <c r="AA6" s="581" t="s">
        <v>2943</v>
      </c>
      <c r="AB6" s="582" t="str">
        <f>IF('合并资产负债表 '!V7&gt;0,"增加",IF('合并资产负债表 '!V7=0,"无变化","减少"))</f>
        <v>无变化</v>
      </c>
      <c r="AC6" s="582" t="s">
        <v>2882</v>
      </c>
      <c r="AD6" s="582" t="s">
        <v>3065</v>
      </c>
      <c r="AE6" s="582" t="str">
        <f>IF('合并资产负债表 '!V7&gt;0,"增幅",IF('合并资产负债表 '!V7=0,"无变化","降幅"))</f>
        <v>无变化</v>
      </c>
      <c r="AF6" s="162" t="s">
        <v>3004</v>
      </c>
    </row>
    <row r="7" spans="1:32">
      <c r="A7" s="28" t="s">
        <v>219</v>
      </c>
      <c r="B7" s="71" t="s">
        <v>150</v>
      </c>
      <c r="C7" s="176" t="s">
        <v>457</v>
      </c>
      <c r="D7" s="176" t="s">
        <v>3678</v>
      </c>
      <c r="E7" s="176" t="s">
        <v>603</v>
      </c>
      <c r="F7" s="178" t="s">
        <v>677</v>
      </c>
      <c r="G7" s="161" t="s">
        <v>1780</v>
      </c>
      <c r="H7" s="158" t="s">
        <v>3213</v>
      </c>
      <c r="I7" s="158" t="s">
        <v>1896</v>
      </c>
      <c r="J7" s="162" t="s">
        <v>1955</v>
      </c>
      <c r="K7" s="161" t="s">
        <v>2013</v>
      </c>
      <c r="L7" s="158" t="s">
        <v>3210</v>
      </c>
      <c r="M7" s="158" t="s">
        <v>2133</v>
      </c>
      <c r="N7" s="440" t="s">
        <v>2194</v>
      </c>
      <c r="O7" s="161" t="s">
        <v>2394</v>
      </c>
      <c r="P7" s="158" t="str">
        <f>IF('合并资产负债表 '!R8&gt;0,"增加",IF('合并资产负债表 '!R8=0,"无变化","减少"))</f>
        <v>无变化</v>
      </c>
      <c r="Q7" s="158" t="s">
        <v>2455</v>
      </c>
      <c r="R7" s="158" t="s">
        <v>2578</v>
      </c>
      <c r="S7" s="158" t="str">
        <f>IF('合并资产负债表 '!R8&gt;0,"增幅",IF('合并资产负债表 '!R8=0,"无变化","降幅"))</f>
        <v>无变化</v>
      </c>
      <c r="T7" s="162" t="s">
        <v>2517</v>
      </c>
      <c r="U7" s="581" t="s">
        <v>2700</v>
      </c>
      <c r="V7" s="582" t="str">
        <f>IF('合并资产负债表 '!T8&gt;0,"增加",IF('合并资产负债表 '!T8=0,"无变化","减少"))</f>
        <v>无变化</v>
      </c>
      <c r="W7" s="582" t="s">
        <v>2639</v>
      </c>
      <c r="X7" s="582" t="s">
        <v>2822</v>
      </c>
      <c r="Y7" s="582" t="str">
        <f>IF('合并资产负债表 '!T8&gt;0,"增幅",IF('合并资产负债表 '!T8=0,"无变化","降幅"))</f>
        <v>无变化</v>
      </c>
      <c r="Z7" s="162" t="s">
        <v>2761</v>
      </c>
      <c r="AA7" s="581" t="s">
        <v>2944</v>
      </c>
      <c r="AB7" s="582" t="str">
        <f>IF('合并资产负债表 '!V8&gt;0,"增加",IF('合并资产负债表 '!V8=0,"无变化","减少"))</f>
        <v>无变化</v>
      </c>
      <c r="AC7" s="582" t="s">
        <v>2883</v>
      </c>
      <c r="AD7" s="582" t="s">
        <v>3066</v>
      </c>
      <c r="AE7" s="582" t="str">
        <f>IF('合并资产负债表 '!V8&gt;0,"增幅",IF('合并资产负债表 '!V8=0,"无变化","降幅"))</f>
        <v>无变化</v>
      </c>
      <c r="AF7" s="162" t="s">
        <v>3005</v>
      </c>
    </row>
    <row r="8" spans="1:32">
      <c r="A8" s="28" t="s">
        <v>220</v>
      </c>
      <c r="B8" s="71" t="s">
        <v>151</v>
      </c>
      <c r="C8" s="176" t="s">
        <v>458</v>
      </c>
      <c r="D8" s="176" t="s">
        <v>530</v>
      </c>
      <c r="E8" s="176" t="s">
        <v>604</v>
      </c>
      <c r="F8" s="178" t="s">
        <v>678</v>
      </c>
      <c r="G8" s="161" t="s">
        <v>1781</v>
      </c>
      <c r="H8" s="158" t="s">
        <v>1838</v>
      </c>
      <c r="I8" s="158" t="s">
        <v>1897</v>
      </c>
      <c r="J8" s="162" t="s">
        <v>1956</v>
      </c>
      <c r="K8" s="161" t="s">
        <v>2014</v>
      </c>
      <c r="L8" s="158" t="s">
        <v>2073</v>
      </c>
      <c r="M8" s="158" t="s">
        <v>2134</v>
      </c>
      <c r="N8" s="440" t="s">
        <v>2195</v>
      </c>
      <c r="O8" s="161" t="s">
        <v>2395</v>
      </c>
      <c r="P8" s="158" t="str">
        <f>IF('合并资产负债表 '!R9&gt;0,"增加",IF('合并资产负债表 '!R9=0,"无变化","减少"))</f>
        <v>无变化</v>
      </c>
      <c r="Q8" s="158" t="s">
        <v>2456</v>
      </c>
      <c r="R8" s="158" t="s">
        <v>2579</v>
      </c>
      <c r="S8" s="158" t="str">
        <f>IF('合并资产负债表 '!R9&gt;0,"增幅",IF('合并资产负债表 '!R9=0,"无变化","降幅"))</f>
        <v>无变化</v>
      </c>
      <c r="T8" s="162" t="s">
        <v>2518</v>
      </c>
      <c r="U8" s="581" t="s">
        <v>2701</v>
      </c>
      <c r="V8" s="582" t="str">
        <f>IF('合并资产负债表 '!T9&gt;0,"增加",IF('合并资产负债表 '!T9=0,"无变化","减少"))</f>
        <v>无变化</v>
      </c>
      <c r="W8" s="582" t="s">
        <v>2640</v>
      </c>
      <c r="X8" s="582" t="s">
        <v>2823</v>
      </c>
      <c r="Y8" s="582" t="str">
        <f>IF('合并资产负债表 '!T9&gt;0,"增幅",IF('合并资产负债表 '!T9=0,"无变化","降幅"))</f>
        <v>无变化</v>
      </c>
      <c r="Z8" s="162" t="s">
        <v>2762</v>
      </c>
      <c r="AA8" s="581" t="s">
        <v>2945</v>
      </c>
      <c r="AB8" s="582" t="str">
        <f>IF('合并资产负债表 '!V9&gt;0,"增加",IF('合并资产负债表 '!V9=0,"无变化","减少"))</f>
        <v>无变化</v>
      </c>
      <c r="AC8" s="582" t="s">
        <v>2884</v>
      </c>
      <c r="AD8" s="582" t="s">
        <v>3067</v>
      </c>
      <c r="AE8" s="582" t="str">
        <f>IF('合并资产负债表 '!V9&gt;0,"增幅",IF('合并资产负债表 '!V9=0,"无变化","降幅"))</f>
        <v>无变化</v>
      </c>
      <c r="AF8" s="162" t="s">
        <v>3006</v>
      </c>
    </row>
    <row r="9" spans="1:32">
      <c r="A9" s="28" t="s">
        <v>221</v>
      </c>
      <c r="B9" s="71" t="s">
        <v>41</v>
      </c>
      <c r="C9" s="176" t="s">
        <v>459</v>
      </c>
      <c r="D9" s="176" t="s">
        <v>531</v>
      </c>
      <c r="E9" s="176" t="s">
        <v>605</v>
      </c>
      <c r="F9" s="178" t="s">
        <v>679</v>
      </c>
      <c r="G9" s="161" t="s">
        <v>1782</v>
      </c>
      <c r="H9" s="158" t="s">
        <v>1839</v>
      </c>
      <c r="I9" s="158" t="s">
        <v>1898</v>
      </c>
      <c r="J9" s="162" t="s">
        <v>1957</v>
      </c>
      <c r="K9" s="161" t="s">
        <v>2015</v>
      </c>
      <c r="L9" s="158" t="s">
        <v>2074</v>
      </c>
      <c r="M9" s="158" t="s">
        <v>2135</v>
      </c>
      <c r="N9" s="440" t="s">
        <v>2196</v>
      </c>
      <c r="O9" s="161" t="s">
        <v>2396</v>
      </c>
      <c r="P9" s="158" t="str">
        <f>IF('合并资产负债表 '!R10&gt;0,"增加",IF('合并资产负债表 '!R10=0,"无变化","减少"))</f>
        <v>无变化</v>
      </c>
      <c r="Q9" s="158" t="s">
        <v>2457</v>
      </c>
      <c r="R9" s="158" t="s">
        <v>2580</v>
      </c>
      <c r="S9" s="158" t="str">
        <f>IF('合并资产负债表 '!R10&gt;0,"增幅",IF('合并资产负债表 '!R10=0,"无变化","降幅"))</f>
        <v>无变化</v>
      </c>
      <c r="T9" s="162" t="s">
        <v>2519</v>
      </c>
      <c r="U9" s="581" t="s">
        <v>2702</v>
      </c>
      <c r="V9" s="582" t="str">
        <f>IF('合并资产负债表 '!T10&gt;0,"增加",IF('合并资产负债表 '!T10=0,"无变化","减少"))</f>
        <v>无变化</v>
      </c>
      <c r="W9" s="582" t="s">
        <v>2641</v>
      </c>
      <c r="X9" s="582" t="s">
        <v>2824</v>
      </c>
      <c r="Y9" s="582" t="str">
        <f>IF('合并资产负债表 '!T10&gt;0,"增幅",IF('合并资产负债表 '!T10=0,"无变化","降幅"))</f>
        <v>无变化</v>
      </c>
      <c r="Z9" s="162" t="s">
        <v>2763</v>
      </c>
      <c r="AA9" s="581" t="s">
        <v>2946</v>
      </c>
      <c r="AB9" s="582" t="str">
        <f>IF('合并资产负债表 '!V10&gt;0,"增加",IF('合并资产负债表 '!V10=0,"无变化","减少"))</f>
        <v>无变化</v>
      </c>
      <c r="AC9" s="582" t="s">
        <v>2885</v>
      </c>
      <c r="AD9" s="582" t="s">
        <v>3068</v>
      </c>
      <c r="AE9" s="582" t="str">
        <f>IF('合并资产负债表 '!V10&gt;0,"增幅",IF('合并资产负债表 '!V10=0,"无变化","降幅"))</f>
        <v>无变化</v>
      </c>
      <c r="AF9" s="162" t="s">
        <v>3007</v>
      </c>
    </row>
    <row r="10" spans="1:32">
      <c r="A10" s="28" t="s">
        <v>222</v>
      </c>
      <c r="B10" s="71" t="s">
        <v>40</v>
      </c>
      <c r="C10" s="176" t="s">
        <v>460</v>
      </c>
      <c r="D10" s="176" t="s">
        <v>532</v>
      </c>
      <c r="E10" s="176" t="s">
        <v>606</v>
      </c>
      <c r="F10" s="178" t="s">
        <v>680</v>
      </c>
      <c r="G10" s="161" t="s">
        <v>1783</v>
      </c>
      <c r="H10" s="158" t="s">
        <v>1840</v>
      </c>
      <c r="I10" s="158" t="s">
        <v>1899</v>
      </c>
      <c r="J10" s="162" t="s">
        <v>1958</v>
      </c>
      <c r="K10" s="161" t="s">
        <v>2016</v>
      </c>
      <c r="L10" s="158" t="s">
        <v>2075</v>
      </c>
      <c r="M10" s="158" t="s">
        <v>2136</v>
      </c>
      <c r="N10" s="440" t="s">
        <v>2197</v>
      </c>
      <c r="O10" s="161" t="s">
        <v>2397</v>
      </c>
      <c r="P10" s="158" t="str">
        <f>IF('合并资产负债表 '!R11&gt;0,"增加",IF('合并资产负债表 '!R11=0,"无变化","减少"))</f>
        <v>无变化</v>
      </c>
      <c r="Q10" s="158" t="s">
        <v>2458</v>
      </c>
      <c r="R10" s="158" t="s">
        <v>2581</v>
      </c>
      <c r="S10" s="158" t="str">
        <f>IF('合并资产负债表 '!R11&gt;0,"增幅",IF('合并资产负债表 '!R11=0,"无变化","降幅"))</f>
        <v>无变化</v>
      </c>
      <c r="T10" s="162" t="s">
        <v>2520</v>
      </c>
      <c r="U10" s="581" t="s">
        <v>2703</v>
      </c>
      <c r="V10" s="582" t="str">
        <f>IF('合并资产负债表 '!T11&gt;0,"增加",IF('合并资产负债表 '!T11=0,"无变化","减少"))</f>
        <v>无变化</v>
      </c>
      <c r="W10" s="582" t="s">
        <v>2642</v>
      </c>
      <c r="X10" s="582" t="s">
        <v>2825</v>
      </c>
      <c r="Y10" s="582" t="str">
        <f>IF('合并资产负债表 '!T11&gt;0,"增幅",IF('合并资产负债表 '!T11=0,"无变化","降幅"))</f>
        <v>无变化</v>
      </c>
      <c r="Z10" s="162" t="s">
        <v>2764</v>
      </c>
      <c r="AA10" s="581" t="s">
        <v>2947</v>
      </c>
      <c r="AB10" s="582" t="str">
        <f>IF('合并资产负债表 '!V11&gt;0,"增加",IF('合并资产负债表 '!V11=0,"无变化","减少"))</f>
        <v>无变化</v>
      </c>
      <c r="AC10" s="582" t="s">
        <v>2886</v>
      </c>
      <c r="AD10" s="582" t="s">
        <v>3069</v>
      </c>
      <c r="AE10" s="582" t="str">
        <f>IF('合并资产负债表 '!V11&gt;0,"增幅",IF('合并资产负债表 '!V11=0,"无变化","降幅"))</f>
        <v>无变化</v>
      </c>
      <c r="AF10" s="162" t="s">
        <v>3008</v>
      </c>
    </row>
    <row r="11" spans="1:32">
      <c r="A11" s="28" t="s">
        <v>223</v>
      </c>
      <c r="B11" s="136" t="s">
        <v>152</v>
      </c>
      <c r="C11" s="180" t="s">
        <v>461</v>
      </c>
      <c r="D11" s="180" t="s">
        <v>533</v>
      </c>
      <c r="E11" s="180" t="s">
        <v>607</v>
      </c>
      <c r="F11" s="181" t="s">
        <v>681</v>
      </c>
      <c r="G11" s="163" t="s">
        <v>1784</v>
      </c>
      <c r="H11" s="159" t="s">
        <v>1841</v>
      </c>
      <c r="I11" s="159" t="s">
        <v>1900</v>
      </c>
      <c r="J11" s="164" t="s">
        <v>1959</v>
      </c>
      <c r="K11" s="163" t="s">
        <v>2017</v>
      </c>
      <c r="L11" s="159" t="s">
        <v>2076</v>
      </c>
      <c r="M11" s="159" t="s">
        <v>2137</v>
      </c>
      <c r="N11" s="441" t="s">
        <v>2198</v>
      </c>
      <c r="O11" s="163" t="s">
        <v>2398</v>
      </c>
      <c r="P11" s="159" t="str">
        <f>IF('合并资产负债表 '!R12&gt;0,"增加",IF('合并资产负债表 '!R12=0,"无变化","减少"))</f>
        <v>无变化</v>
      </c>
      <c r="Q11" s="159" t="s">
        <v>2459</v>
      </c>
      <c r="R11" s="159" t="s">
        <v>2582</v>
      </c>
      <c r="S11" s="159" t="str">
        <f>IF('合并资产负债表 '!R12&gt;0,"增幅",IF('合并资产负债表 '!R12=0,"无变化","降幅"))</f>
        <v>无变化</v>
      </c>
      <c r="T11" s="164" t="s">
        <v>2521</v>
      </c>
      <c r="U11" s="163" t="s">
        <v>2704</v>
      </c>
      <c r="V11" s="159" t="str">
        <f>IF('合并资产负债表 '!T12&gt;0,"增加",IF('合并资产负债表 '!T12=0,"无变化","减少"))</f>
        <v>无变化</v>
      </c>
      <c r="W11" s="159" t="s">
        <v>2643</v>
      </c>
      <c r="X11" s="159" t="s">
        <v>2826</v>
      </c>
      <c r="Y11" s="159" t="str">
        <f>IF('合并资产负债表 '!T12&gt;0,"增幅",IF('合并资产负债表 '!T12=0,"无变化","降幅"))</f>
        <v>无变化</v>
      </c>
      <c r="Z11" s="164" t="s">
        <v>2765</v>
      </c>
      <c r="AA11" s="163" t="s">
        <v>2948</v>
      </c>
      <c r="AB11" s="159" t="str">
        <f>IF('合并资产负债表 '!V12&gt;0,"增加",IF('合并资产负债表 '!V12=0,"无变化","减少"))</f>
        <v>无变化</v>
      </c>
      <c r="AC11" s="159" t="s">
        <v>2887</v>
      </c>
      <c r="AD11" s="159" t="s">
        <v>3070</v>
      </c>
      <c r="AE11" s="159" t="str">
        <f>IF('合并资产负债表 '!V12&gt;0,"增幅",IF('合并资产负债表 '!V12=0,"无变化","降幅"))</f>
        <v>无变化</v>
      </c>
      <c r="AF11" s="164" t="s">
        <v>3009</v>
      </c>
    </row>
    <row r="12" spans="1:32">
      <c r="A12" s="28" t="s">
        <v>224</v>
      </c>
      <c r="B12" s="136" t="s">
        <v>209</v>
      </c>
      <c r="C12" s="180" t="s">
        <v>462</v>
      </c>
      <c r="D12" s="180" t="s">
        <v>534</v>
      </c>
      <c r="E12" s="180" t="s">
        <v>608</v>
      </c>
      <c r="F12" s="181" t="s">
        <v>682</v>
      </c>
      <c r="G12" s="163" t="s">
        <v>1785</v>
      </c>
      <c r="H12" s="159" t="s">
        <v>1842</v>
      </c>
      <c r="I12" s="159" t="s">
        <v>1901</v>
      </c>
      <c r="J12" s="164" t="s">
        <v>1960</v>
      </c>
      <c r="K12" s="163" t="s">
        <v>2018</v>
      </c>
      <c r="L12" s="159" t="s">
        <v>2077</v>
      </c>
      <c r="M12" s="159" t="s">
        <v>2138</v>
      </c>
      <c r="N12" s="441" t="s">
        <v>2199</v>
      </c>
      <c r="O12" s="163" t="s">
        <v>2399</v>
      </c>
      <c r="P12" s="159" t="str">
        <f>IF('合并资产负债表 '!R13&gt;0,"增加",IF('合并资产负债表 '!R13=0,"无变化","减少"))</f>
        <v>无变化</v>
      </c>
      <c r="Q12" s="159" t="s">
        <v>2460</v>
      </c>
      <c r="R12" s="159" t="s">
        <v>2583</v>
      </c>
      <c r="S12" s="159" t="str">
        <f>IF('合并资产负债表 '!R13&gt;0,"增幅",IF('合并资产负债表 '!R13=0,"无变化","降幅"))</f>
        <v>无变化</v>
      </c>
      <c r="T12" s="164" t="s">
        <v>2522</v>
      </c>
      <c r="U12" s="163" t="s">
        <v>2705</v>
      </c>
      <c r="V12" s="159" t="str">
        <f>IF('合并资产负债表 '!T13&gt;0,"增加",IF('合并资产负债表 '!T13=0,"无变化","减少"))</f>
        <v>无变化</v>
      </c>
      <c r="W12" s="159" t="s">
        <v>2644</v>
      </c>
      <c r="X12" s="159" t="s">
        <v>2827</v>
      </c>
      <c r="Y12" s="159" t="str">
        <f>IF('合并资产负债表 '!T13&gt;0,"增幅",IF('合并资产负债表 '!T13=0,"无变化","降幅"))</f>
        <v>无变化</v>
      </c>
      <c r="Z12" s="164" t="s">
        <v>2766</v>
      </c>
      <c r="AA12" s="163" t="s">
        <v>2949</v>
      </c>
      <c r="AB12" s="159" t="str">
        <f>IF('合并资产负债表 '!V13&gt;0,"增加",IF('合并资产负债表 '!V13=0,"无变化","减少"))</f>
        <v>无变化</v>
      </c>
      <c r="AC12" s="159" t="s">
        <v>2888</v>
      </c>
      <c r="AD12" s="159" t="s">
        <v>3071</v>
      </c>
      <c r="AE12" s="159" t="str">
        <f>IF('合并资产负债表 '!V13&gt;0,"增幅",IF('合并资产负债表 '!V13=0,"无变化","降幅"))</f>
        <v>无变化</v>
      </c>
      <c r="AF12" s="164" t="s">
        <v>3010</v>
      </c>
    </row>
    <row r="13" spans="1:32">
      <c r="A13" s="28" t="s">
        <v>225</v>
      </c>
      <c r="B13" s="136" t="s">
        <v>210</v>
      </c>
      <c r="C13" s="180" t="s">
        <v>463</v>
      </c>
      <c r="D13" s="180" t="s">
        <v>535</v>
      </c>
      <c r="E13" s="180" t="s">
        <v>609</v>
      </c>
      <c r="F13" s="181" t="s">
        <v>683</v>
      </c>
      <c r="G13" s="163" t="s">
        <v>1786</v>
      </c>
      <c r="H13" s="159" t="s">
        <v>1843</v>
      </c>
      <c r="I13" s="159" t="s">
        <v>1902</v>
      </c>
      <c r="J13" s="164" t="s">
        <v>1961</v>
      </c>
      <c r="K13" s="163" t="s">
        <v>2019</v>
      </c>
      <c r="L13" s="159" t="s">
        <v>2078</v>
      </c>
      <c r="M13" s="159" t="s">
        <v>2139</v>
      </c>
      <c r="N13" s="441" t="s">
        <v>2200</v>
      </c>
      <c r="O13" s="163" t="s">
        <v>2400</v>
      </c>
      <c r="P13" s="159" t="str">
        <f>IF('合并资产负债表 '!R14&gt;0,"增加",IF('合并资产负债表 '!R14=0,"无变化","减少"))</f>
        <v>无变化</v>
      </c>
      <c r="Q13" s="159" t="s">
        <v>2461</v>
      </c>
      <c r="R13" s="159" t="s">
        <v>2584</v>
      </c>
      <c r="S13" s="159" t="str">
        <f>IF('合并资产负债表 '!R14&gt;0,"增幅",IF('合并资产负债表 '!R14=0,"无变化","降幅"))</f>
        <v>无变化</v>
      </c>
      <c r="T13" s="164" t="s">
        <v>2523</v>
      </c>
      <c r="U13" s="163" t="s">
        <v>2706</v>
      </c>
      <c r="V13" s="159" t="str">
        <f>IF('合并资产负债表 '!T14&gt;0,"增加",IF('合并资产负债表 '!T14=0,"无变化","减少"))</f>
        <v>无变化</v>
      </c>
      <c r="W13" s="159" t="s">
        <v>2645</v>
      </c>
      <c r="X13" s="159" t="s">
        <v>2828</v>
      </c>
      <c r="Y13" s="159" t="str">
        <f>IF('合并资产负债表 '!T14&gt;0,"增幅",IF('合并资产负债表 '!T14=0,"无变化","降幅"))</f>
        <v>无变化</v>
      </c>
      <c r="Z13" s="164" t="s">
        <v>2767</v>
      </c>
      <c r="AA13" s="163" t="s">
        <v>2950</v>
      </c>
      <c r="AB13" s="159" t="str">
        <f>IF('合并资产负债表 '!V14&gt;0,"增加",IF('合并资产负债表 '!V14=0,"无变化","减少"))</f>
        <v>无变化</v>
      </c>
      <c r="AC13" s="159" t="s">
        <v>2889</v>
      </c>
      <c r="AD13" s="159" t="s">
        <v>3072</v>
      </c>
      <c r="AE13" s="159" t="str">
        <f>IF('合并资产负债表 '!V14&gt;0,"增幅",IF('合并资产负债表 '!V14=0,"无变化","降幅"))</f>
        <v>无变化</v>
      </c>
      <c r="AF13" s="164" t="s">
        <v>3011</v>
      </c>
    </row>
    <row r="14" spans="1:32">
      <c r="A14" s="28" t="s">
        <v>226</v>
      </c>
      <c r="B14" s="71" t="s">
        <v>42</v>
      </c>
      <c r="C14" s="176" t="s">
        <v>464</v>
      </c>
      <c r="D14" s="176" t="s">
        <v>536</v>
      </c>
      <c r="E14" s="176" t="s">
        <v>610</v>
      </c>
      <c r="F14" s="178" t="s">
        <v>684</v>
      </c>
      <c r="G14" s="161" t="s">
        <v>1787</v>
      </c>
      <c r="H14" s="158" t="s">
        <v>1844</v>
      </c>
      <c r="I14" s="158" t="s">
        <v>1903</v>
      </c>
      <c r="J14" s="162" t="s">
        <v>1962</v>
      </c>
      <c r="K14" s="161" t="s">
        <v>2020</v>
      </c>
      <c r="L14" s="158" t="s">
        <v>2079</v>
      </c>
      <c r="M14" s="158" t="s">
        <v>2140</v>
      </c>
      <c r="N14" s="440" t="s">
        <v>2201</v>
      </c>
      <c r="O14" s="161" t="s">
        <v>2401</v>
      </c>
      <c r="P14" s="158" t="str">
        <f>IF('合并资产负债表 '!R15&gt;0,"增加",IF('合并资产负债表 '!R15=0,"无变化","减少"))</f>
        <v>无变化</v>
      </c>
      <c r="Q14" s="158" t="s">
        <v>2462</v>
      </c>
      <c r="R14" s="158" t="s">
        <v>2585</v>
      </c>
      <c r="S14" s="158" t="str">
        <f>IF('合并资产负债表 '!R15&gt;0,"增幅",IF('合并资产负债表 '!R15=0,"无变化","降幅"))</f>
        <v>无变化</v>
      </c>
      <c r="T14" s="162" t="s">
        <v>2524</v>
      </c>
      <c r="U14" s="581" t="s">
        <v>2707</v>
      </c>
      <c r="V14" s="582" t="str">
        <f>IF('合并资产负债表 '!T15&gt;0,"增加",IF('合并资产负债表 '!T15=0,"无变化","减少"))</f>
        <v>无变化</v>
      </c>
      <c r="W14" s="582" t="s">
        <v>2646</v>
      </c>
      <c r="X14" s="582" t="s">
        <v>2829</v>
      </c>
      <c r="Y14" s="582" t="str">
        <f>IF('合并资产负债表 '!T15&gt;0,"增幅",IF('合并资产负债表 '!T15=0,"无变化","降幅"))</f>
        <v>无变化</v>
      </c>
      <c r="Z14" s="162" t="s">
        <v>2768</v>
      </c>
      <c r="AA14" s="581" t="s">
        <v>2951</v>
      </c>
      <c r="AB14" s="582" t="str">
        <f>IF('合并资产负债表 '!V15&gt;0,"增加",IF('合并资产负债表 '!V15=0,"无变化","减少"))</f>
        <v>无变化</v>
      </c>
      <c r="AC14" s="582" t="s">
        <v>2890</v>
      </c>
      <c r="AD14" s="582" t="s">
        <v>3073</v>
      </c>
      <c r="AE14" s="582" t="str">
        <f>IF('合并资产负债表 '!V15&gt;0,"增幅",IF('合并资产负债表 '!V15=0,"无变化","降幅"))</f>
        <v>无变化</v>
      </c>
      <c r="AF14" s="162" t="s">
        <v>3012</v>
      </c>
    </row>
    <row r="15" spans="1:32">
      <c r="A15" s="28" t="s">
        <v>227</v>
      </c>
      <c r="B15" s="129" t="s">
        <v>153</v>
      </c>
      <c r="C15" s="176" t="s">
        <v>465</v>
      </c>
      <c r="D15" s="176" t="s">
        <v>537</v>
      </c>
      <c r="E15" s="176" t="s">
        <v>611</v>
      </c>
      <c r="F15" s="178" t="s">
        <v>685</v>
      </c>
      <c r="G15" s="161" t="s">
        <v>1788</v>
      </c>
      <c r="H15" s="158" t="s">
        <v>1845</v>
      </c>
      <c r="I15" s="158" t="s">
        <v>1904</v>
      </c>
      <c r="J15" s="162" t="s">
        <v>1963</v>
      </c>
      <c r="K15" s="161" t="s">
        <v>2021</v>
      </c>
      <c r="L15" s="158" t="s">
        <v>2080</v>
      </c>
      <c r="M15" s="158" t="s">
        <v>2141</v>
      </c>
      <c r="N15" s="440" t="s">
        <v>2202</v>
      </c>
      <c r="O15" s="161" t="s">
        <v>2402</v>
      </c>
      <c r="P15" s="158" t="str">
        <f>IF('合并资产负债表 '!R16&gt;0,"增加",IF('合并资产负债表 '!R16=0,"无变化","减少"))</f>
        <v>无变化</v>
      </c>
      <c r="Q15" s="158" t="s">
        <v>2463</v>
      </c>
      <c r="R15" s="158" t="s">
        <v>2586</v>
      </c>
      <c r="S15" s="158" t="str">
        <f>IF('合并资产负债表 '!R16&gt;0,"增幅",IF('合并资产负债表 '!R16=0,"无变化","降幅"))</f>
        <v>无变化</v>
      </c>
      <c r="T15" s="162" t="s">
        <v>2525</v>
      </c>
      <c r="U15" s="581" t="s">
        <v>2708</v>
      </c>
      <c r="V15" s="582" t="str">
        <f>IF('合并资产负债表 '!T16&gt;0,"增加",IF('合并资产负债表 '!T16=0,"无变化","减少"))</f>
        <v>无变化</v>
      </c>
      <c r="W15" s="582" t="s">
        <v>2647</v>
      </c>
      <c r="X15" s="582" t="s">
        <v>2830</v>
      </c>
      <c r="Y15" s="582" t="str">
        <f>IF('合并资产负债表 '!T16&gt;0,"增幅",IF('合并资产负债表 '!T16=0,"无变化","降幅"))</f>
        <v>无变化</v>
      </c>
      <c r="Z15" s="162" t="s">
        <v>2769</v>
      </c>
      <c r="AA15" s="581" t="s">
        <v>2952</v>
      </c>
      <c r="AB15" s="582" t="str">
        <f>IF('合并资产负债表 '!V16&gt;0,"增加",IF('合并资产负债表 '!V16=0,"无变化","减少"))</f>
        <v>无变化</v>
      </c>
      <c r="AC15" s="582" t="s">
        <v>2891</v>
      </c>
      <c r="AD15" s="582" t="s">
        <v>3074</v>
      </c>
      <c r="AE15" s="582" t="str">
        <f>IF('合并资产负债表 '!V16&gt;0,"增幅",IF('合并资产负债表 '!V16=0,"无变化","降幅"))</f>
        <v>无变化</v>
      </c>
      <c r="AF15" s="162" t="s">
        <v>3013</v>
      </c>
    </row>
    <row r="16" spans="1:32">
      <c r="A16" s="28" t="s">
        <v>228</v>
      </c>
      <c r="B16" s="71" t="s">
        <v>154</v>
      </c>
      <c r="C16" s="176" t="s">
        <v>466</v>
      </c>
      <c r="D16" s="176" t="s">
        <v>538</v>
      </c>
      <c r="E16" s="176" t="s">
        <v>612</v>
      </c>
      <c r="F16" s="178" t="s">
        <v>686</v>
      </c>
      <c r="G16" s="161" t="s">
        <v>1789</v>
      </c>
      <c r="H16" s="158" t="s">
        <v>1846</v>
      </c>
      <c r="I16" s="158" t="s">
        <v>1905</v>
      </c>
      <c r="J16" s="162" t="s">
        <v>1964</v>
      </c>
      <c r="K16" s="161" t="s">
        <v>2022</v>
      </c>
      <c r="L16" s="158" t="s">
        <v>2081</v>
      </c>
      <c r="M16" s="158" t="s">
        <v>2142</v>
      </c>
      <c r="N16" s="440" t="s">
        <v>2203</v>
      </c>
      <c r="O16" s="161" t="s">
        <v>2403</v>
      </c>
      <c r="P16" s="158" t="str">
        <f>IF('合并资产负债表 '!R17&gt;0,"增加",IF('合并资产负债表 '!R17=0,"无变化","减少"))</f>
        <v>无变化</v>
      </c>
      <c r="Q16" s="158" t="s">
        <v>2464</v>
      </c>
      <c r="R16" s="158" t="s">
        <v>2587</v>
      </c>
      <c r="S16" s="158" t="str">
        <f>IF('合并资产负债表 '!R17&gt;0,"增幅",IF('合并资产负债表 '!R17=0,"无变化","降幅"))</f>
        <v>无变化</v>
      </c>
      <c r="T16" s="162" t="s">
        <v>2526</v>
      </c>
      <c r="U16" s="581" t="s">
        <v>2709</v>
      </c>
      <c r="V16" s="582" t="str">
        <f>IF('合并资产负债表 '!T17&gt;0,"增加",IF('合并资产负债表 '!T17=0,"无变化","减少"))</f>
        <v>无变化</v>
      </c>
      <c r="W16" s="582" t="s">
        <v>2648</v>
      </c>
      <c r="X16" s="582" t="s">
        <v>2831</v>
      </c>
      <c r="Y16" s="582" t="str">
        <f>IF('合并资产负债表 '!T17&gt;0,"增幅",IF('合并资产负债表 '!T17=0,"无变化","降幅"))</f>
        <v>无变化</v>
      </c>
      <c r="Z16" s="162" t="s">
        <v>2770</v>
      </c>
      <c r="AA16" s="581" t="s">
        <v>2953</v>
      </c>
      <c r="AB16" s="582" t="str">
        <f>IF('合并资产负债表 '!V17&gt;0,"增加",IF('合并资产负债表 '!V17=0,"无变化","减少"))</f>
        <v>无变化</v>
      </c>
      <c r="AC16" s="582" t="s">
        <v>2892</v>
      </c>
      <c r="AD16" s="582" t="s">
        <v>3075</v>
      </c>
      <c r="AE16" s="582" t="str">
        <f>IF('合并资产负债表 '!V17&gt;0,"增幅",IF('合并资产负债表 '!V17=0,"无变化","降幅"))</f>
        <v>无变化</v>
      </c>
      <c r="AF16" s="162" t="s">
        <v>3014</v>
      </c>
    </row>
    <row r="17" spans="1:32">
      <c r="A17" s="28" t="s">
        <v>229</v>
      </c>
      <c r="B17" s="71" t="s">
        <v>43</v>
      </c>
      <c r="C17" s="176" t="s">
        <v>467</v>
      </c>
      <c r="D17" s="176" t="s">
        <v>539</v>
      </c>
      <c r="E17" s="176" t="s">
        <v>613</v>
      </c>
      <c r="F17" s="178" t="s">
        <v>687</v>
      </c>
      <c r="G17" s="161" t="s">
        <v>1790</v>
      </c>
      <c r="H17" s="158" t="s">
        <v>1847</v>
      </c>
      <c r="I17" s="158" t="s">
        <v>1906</v>
      </c>
      <c r="J17" s="162" t="s">
        <v>1965</v>
      </c>
      <c r="K17" s="161" t="s">
        <v>2023</v>
      </c>
      <c r="L17" s="158" t="s">
        <v>2082</v>
      </c>
      <c r="M17" s="158" t="s">
        <v>2143</v>
      </c>
      <c r="N17" s="440" t="s">
        <v>2204</v>
      </c>
      <c r="O17" s="161" t="s">
        <v>2404</v>
      </c>
      <c r="P17" s="158" t="str">
        <f>IF('合并资产负债表 '!R18&gt;0,"增加",IF('合并资产负债表 '!R18=0,"无变化","减少"))</f>
        <v>无变化</v>
      </c>
      <c r="Q17" s="158" t="s">
        <v>2465</v>
      </c>
      <c r="R17" s="158" t="s">
        <v>2588</v>
      </c>
      <c r="S17" s="158" t="str">
        <f>IF('合并资产负债表 '!R18&gt;0,"增幅",IF('合并资产负债表 '!R18=0,"无变化","降幅"))</f>
        <v>无变化</v>
      </c>
      <c r="T17" s="162" t="s">
        <v>2527</v>
      </c>
      <c r="U17" s="581" t="s">
        <v>2710</v>
      </c>
      <c r="V17" s="582" t="str">
        <f>IF('合并资产负债表 '!T18&gt;0,"增加",IF('合并资产负债表 '!T18=0,"无变化","减少"))</f>
        <v>无变化</v>
      </c>
      <c r="W17" s="582" t="s">
        <v>2649</v>
      </c>
      <c r="X17" s="582" t="s">
        <v>2832</v>
      </c>
      <c r="Y17" s="582" t="str">
        <f>IF('合并资产负债表 '!T18&gt;0,"增幅",IF('合并资产负债表 '!T18=0,"无变化","降幅"))</f>
        <v>无变化</v>
      </c>
      <c r="Z17" s="162" t="s">
        <v>2771</v>
      </c>
      <c r="AA17" s="581" t="s">
        <v>2954</v>
      </c>
      <c r="AB17" s="582" t="str">
        <f>IF('合并资产负债表 '!V18&gt;0,"增加",IF('合并资产负债表 '!V18=0,"无变化","减少"))</f>
        <v>无变化</v>
      </c>
      <c r="AC17" s="582" t="s">
        <v>2893</v>
      </c>
      <c r="AD17" s="582" t="s">
        <v>3076</v>
      </c>
      <c r="AE17" s="582" t="str">
        <f>IF('合并资产负债表 '!V18&gt;0,"增幅",IF('合并资产负债表 '!V18=0,"无变化","降幅"))</f>
        <v>无变化</v>
      </c>
      <c r="AF17" s="162" t="s">
        <v>3015</v>
      </c>
    </row>
    <row r="18" spans="1:32" s="189" customFormat="1">
      <c r="A18" s="190" t="s">
        <v>213</v>
      </c>
      <c r="B18" s="76" t="s">
        <v>44</v>
      </c>
      <c r="C18" s="182" t="s">
        <v>468</v>
      </c>
      <c r="D18" s="182" t="s">
        <v>540</v>
      </c>
      <c r="E18" s="182" t="s">
        <v>614</v>
      </c>
      <c r="F18" s="183" t="s">
        <v>688</v>
      </c>
      <c r="G18" s="210" t="s">
        <v>1791</v>
      </c>
      <c r="H18" s="160" t="s">
        <v>1848</v>
      </c>
      <c r="I18" s="160" t="s">
        <v>1907</v>
      </c>
      <c r="J18" s="165" t="s">
        <v>1966</v>
      </c>
      <c r="K18" s="210" t="s">
        <v>2024</v>
      </c>
      <c r="L18" s="160" t="s">
        <v>2083</v>
      </c>
      <c r="M18" s="160" t="s">
        <v>2144</v>
      </c>
      <c r="N18" s="202" t="s">
        <v>3165</v>
      </c>
      <c r="O18" s="210" t="s">
        <v>2405</v>
      </c>
      <c r="P18" s="358" t="str">
        <f>IF('合并资产负债表 '!R19&gt;0,"增加",IF('合并资产负债表 '!R19=0,"无变化","减少"))</f>
        <v>无变化</v>
      </c>
      <c r="Q18" s="160" t="s">
        <v>2466</v>
      </c>
      <c r="R18" s="160" t="s">
        <v>2589</v>
      </c>
      <c r="S18" s="358" t="str">
        <f>IF('合并资产负债表 '!R19&gt;0,"增幅",IF('合并资产负债表 '!R19=0,"无变化","降幅"))</f>
        <v>无变化</v>
      </c>
      <c r="T18" s="165" t="s">
        <v>2528</v>
      </c>
      <c r="U18" s="210" t="s">
        <v>2711</v>
      </c>
      <c r="V18" s="358" t="str">
        <f>IF('合并资产负债表 '!T19&gt;0,"增加",IF('合并资产负债表 '!T19=0,"无变化","减少"))</f>
        <v>无变化</v>
      </c>
      <c r="W18" s="160" t="s">
        <v>2650</v>
      </c>
      <c r="X18" s="160" t="s">
        <v>2833</v>
      </c>
      <c r="Y18" s="358" t="str">
        <f>IF('合并资产负债表 '!T19&gt;0,"增幅",IF('合并资产负债表 '!T19=0,"无变化","降幅"))</f>
        <v>无变化</v>
      </c>
      <c r="Z18" s="165" t="s">
        <v>2772</v>
      </c>
      <c r="AA18" s="210" t="s">
        <v>2955</v>
      </c>
      <c r="AB18" s="358" t="str">
        <f>IF('合并资产负债表 '!V19&gt;0,"增加",IF('合并资产负债表 '!V19=0,"无变化","减少"))</f>
        <v>无变化</v>
      </c>
      <c r="AC18" s="160" t="s">
        <v>2894</v>
      </c>
      <c r="AD18" s="160" t="s">
        <v>3077</v>
      </c>
      <c r="AE18" s="358" t="str">
        <f>IF('合并资产负债表 '!V19&gt;0,"增幅",IF('合并资产负债表 '!V19=0,"无变化","降幅"))</f>
        <v>无变化</v>
      </c>
      <c r="AF18" s="165" t="s">
        <v>3016</v>
      </c>
    </row>
    <row r="19" spans="1:32" s="189" customFormat="1" ht="14.25">
      <c r="B19" s="62" t="s">
        <v>104</v>
      </c>
      <c r="C19" s="184"/>
      <c r="D19" s="184"/>
      <c r="E19" s="184"/>
      <c r="F19" s="185"/>
      <c r="G19" s="211"/>
      <c r="H19" s="205"/>
      <c r="I19" s="205"/>
      <c r="J19" s="207"/>
      <c r="K19" s="211"/>
      <c r="L19" s="205"/>
      <c r="M19" s="205"/>
      <c r="N19" s="442"/>
      <c r="O19" s="211"/>
      <c r="P19" s="158"/>
      <c r="Q19" s="205"/>
      <c r="R19" s="205"/>
      <c r="S19" s="158"/>
      <c r="T19" s="207"/>
      <c r="U19" s="211"/>
      <c r="V19" s="582"/>
      <c r="W19" s="205"/>
      <c r="X19" s="205"/>
      <c r="Y19" s="582"/>
      <c r="Z19" s="207"/>
      <c r="AA19" s="211"/>
      <c r="AB19" s="582"/>
      <c r="AC19" s="205"/>
      <c r="AD19" s="205"/>
      <c r="AE19" s="582"/>
      <c r="AF19" s="207"/>
    </row>
    <row r="20" spans="1:32">
      <c r="A20" s="28" t="s">
        <v>230</v>
      </c>
      <c r="B20" s="71" t="s">
        <v>45</v>
      </c>
      <c r="C20" s="176" t="s">
        <v>469</v>
      </c>
      <c r="D20" s="176" t="s">
        <v>541</v>
      </c>
      <c r="E20" s="176" t="s">
        <v>615</v>
      </c>
      <c r="F20" s="178" t="s">
        <v>689</v>
      </c>
      <c r="G20" s="161" t="s">
        <v>1792</v>
      </c>
      <c r="H20" s="158" t="s">
        <v>1849</v>
      </c>
      <c r="I20" s="158" t="s">
        <v>1908</v>
      </c>
      <c r="J20" s="162" t="s">
        <v>1967</v>
      </c>
      <c r="K20" s="161" t="s">
        <v>2025</v>
      </c>
      <c r="L20" s="158" t="s">
        <v>2084</v>
      </c>
      <c r="M20" s="158" t="s">
        <v>2145</v>
      </c>
      <c r="N20" s="440" t="s">
        <v>2206</v>
      </c>
      <c r="O20" s="161" t="s">
        <v>2406</v>
      </c>
      <c r="P20" s="158" t="str">
        <f>IF('合并资产负债表 '!R21&gt;0,"增加",IF('合并资产负债表 '!R21=0,"无变化","减少"))</f>
        <v>无变化</v>
      </c>
      <c r="Q20" s="158" t="s">
        <v>2467</v>
      </c>
      <c r="R20" s="158" t="s">
        <v>2590</v>
      </c>
      <c r="S20" s="158" t="str">
        <f>IF('合并资产负债表 '!R21&gt;0,"增幅",IF('合并资产负债表 '!R21=0,"无变化","降幅"))</f>
        <v>无变化</v>
      </c>
      <c r="T20" s="162" t="s">
        <v>2529</v>
      </c>
      <c r="U20" s="581" t="s">
        <v>2712</v>
      </c>
      <c r="V20" s="582" t="str">
        <f>IF('合并资产负债表 '!T21&gt;0,"增加",IF('合并资产负债表 '!T21=0,"无变化","减少"))</f>
        <v>无变化</v>
      </c>
      <c r="W20" s="582" t="s">
        <v>2651</v>
      </c>
      <c r="X20" s="582" t="s">
        <v>2834</v>
      </c>
      <c r="Y20" s="582" t="str">
        <f>IF('合并资产负债表 '!T21&gt;0,"增幅",IF('合并资产负债表 '!T21=0,"无变化","降幅"))</f>
        <v>无变化</v>
      </c>
      <c r="Z20" s="162" t="s">
        <v>2773</v>
      </c>
      <c r="AA20" s="581" t="s">
        <v>2956</v>
      </c>
      <c r="AB20" s="582" t="str">
        <f>IF('合并资产负债表 '!V21&gt;0,"增加",IF('合并资产负债表 '!V21=0,"无变化","减少"))</f>
        <v>无变化</v>
      </c>
      <c r="AC20" s="582" t="s">
        <v>2895</v>
      </c>
      <c r="AD20" s="582" t="s">
        <v>3078</v>
      </c>
      <c r="AE20" s="582" t="str">
        <f>IF('合并资产负债表 '!V21&gt;0,"增幅",IF('合并资产负债表 '!V21=0,"无变化","降幅"))</f>
        <v>无变化</v>
      </c>
      <c r="AF20" s="162" t="s">
        <v>3017</v>
      </c>
    </row>
    <row r="21" spans="1:32">
      <c r="A21" s="28" t="s">
        <v>231</v>
      </c>
      <c r="B21" s="71" t="s">
        <v>155</v>
      </c>
      <c r="C21" s="176" t="s">
        <v>470</v>
      </c>
      <c r="D21" s="176" t="s">
        <v>542</v>
      </c>
      <c r="E21" s="176" t="s">
        <v>616</v>
      </c>
      <c r="F21" s="178" t="s">
        <v>690</v>
      </c>
      <c r="G21" s="161" t="s">
        <v>1793</v>
      </c>
      <c r="H21" s="158" t="s">
        <v>1850</v>
      </c>
      <c r="I21" s="158" t="s">
        <v>1909</v>
      </c>
      <c r="J21" s="162" t="s">
        <v>1968</v>
      </c>
      <c r="K21" s="161" t="s">
        <v>2026</v>
      </c>
      <c r="L21" s="158" t="s">
        <v>2085</v>
      </c>
      <c r="M21" s="158" t="s">
        <v>2146</v>
      </c>
      <c r="N21" s="440" t="s">
        <v>2207</v>
      </c>
      <c r="O21" s="161" t="s">
        <v>2407</v>
      </c>
      <c r="P21" s="158" t="str">
        <f>IF('合并资产负债表 '!R22&gt;0,"增加",IF('合并资产负债表 '!R22=0,"无变化","减少"))</f>
        <v>无变化</v>
      </c>
      <c r="Q21" s="158" t="s">
        <v>2468</v>
      </c>
      <c r="R21" s="158" t="s">
        <v>2591</v>
      </c>
      <c r="S21" s="158" t="str">
        <f>IF('合并资产负债表 '!R22&gt;0,"增幅",IF('合并资产负债表 '!R22=0,"无变化","降幅"))</f>
        <v>无变化</v>
      </c>
      <c r="T21" s="162" t="s">
        <v>2530</v>
      </c>
      <c r="U21" s="581" t="s">
        <v>2713</v>
      </c>
      <c r="V21" s="582" t="str">
        <f>IF('合并资产负债表 '!T22&gt;0,"增加",IF('合并资产负债表 '!T22=0,"无变化","减少"))</f>
        <v>无变化</v>
      </c>
      <c r="W21" s="582" t="s">
        <v>2652</v>
      </c>
      <c r="X21" s="582" t="s">
        <v>2835</v>
      </c>
      <c r="Y21" s="582" t="str">
        <f>IF('合并资产负债表 '!T22&gt;0,"增幅",IF('合并资产负债表 '!T22=0,"无变化","降幅"))</f>
        <v>无变化</v>
      </c>
      <c r="Z21" s="162" t="s">
        <v>2774</v>
      </c>
      <c r="AA21" s="581" t="s">
        <v>2957</v>
      </c>
      <c r="AB21" s="582" t="str">
        <f>IF('合并资产负债表 '!V22&gt;0,"增加",IF('合并资产负债表 '!V22=0,"无变化","减少"))</f>
        <v>无变化</v>
      </c>
      <c r="AC21" s="582" t="s">
        <v>2896</v>
      </c>
      <c r="AD21" s="582" t="s">
        <v>3079</v>
      </c>
      <c r="AE21" s="582" t="str">
        <f>IF('合并资产负债表 '!V22&gt;0,"增幅",IF('合并资产负债表 '!V22=0,"无变化","降幅"))</f>
        <v>无变化</v>
      </c>
      <c r="AF21" s="162" t="s">
        <v>3018</v>
      </c>
    </row>
    <row r="22" spans="1:32">
      <c r="A22" s="28" t="s">
        <v>232</v>
      </c>
      <c r="B22" s="71" t="s">
        <v>156</v>
      </c>
      <c r="C22" s="176" t="s">
        <v>471</v>
      </c>
      <c r="D22" s="176" t="s">
        <v>543</v>
      </c>
      <c r="E22" s="176" t="s">
        <v>617</v>
      </c>
      <c r="F22" s="178" t="s">
        <v>691</v>
      </c>
      <c r="G22" s="161" t="s">
        <v>1794</v>
      </c>
      <c r="H22" s="158" t="s">
        <v>1851</v>
      </c>
      <c r="I22" s="158" t="s">
        <v>1910</v>
      </c>
      <c r="J22" s="162" t="s">
        <v>1969</v>
      </c>
      <c r="K22" s="161" t="s">
        <v>2027</v>
      </c>
      <c r="L22" s="158" t="s">
        <v>2086</v>
      </c>
      <c r="M22" s="158" t="s">
        <v>2147</v>
      </c>
      <c r="N22" s="440" t="s">
        <v>2208</v>
      </c>
      <c r="O22" s="161" t="s">
        <v>2408</v>
      </c>
      <c r="P22" s="158" t="str">
        <f>IF('合并资产负债表 '!R23&gt;0,"增加",IF('合并资产负债表 '!R23=0,"无变化","减少"))</f>
        <v>无变化</v>
      </c>
      <c r="Q22" s="158" t="s">
        <v>2469</v>
      </c>
      <c r="R22" s="158" t="s">
        <v>2592</v>
      </c>
      <c r="S22" s="158" t="str">
        <f>IF('合并资产负债表 '!R23&gt;0,"增幅",IF('合并资产负债表 '!R23=0,"无变化","降幅"))</f>
        <v>无变化</v>
      </c>
      <c r="T22" s="162" t="s">
        <v>2531</v>
      </c>
      <c r="U22" s="581" t="s">
        <v>2714</v>
      </c>
      <c r="V22" s="582" t="str">
        <f>IF('合并资产负债表 '!T23&gt;0,"增加",IF('合并资产负债表 '!T23=0,"无变化","减少"))</f>
        <v>无变化</v>
      </c>
      <c r="W22" s="582" t="s">
        <v>2653</v>
      </c>
      <c r="X22" s="582" t="s">
        <v>2836</v>
      </c>
      <c r="Y22" s="582" t="str">
        <f>IF('合并资产负债表 '!T23&gt;0,"增幅",IF('合并资产负债表 '!T23=0,"无变化","降幅"))</f>
        <v>无变化</v>
      </c>
      <c r="Z22" s="162" t="s">
        <v>2775</v>
      </c>
      <c r="AA22" s="581" t="s">
        <v>2958</v>
      </c>
      <c r="AB22" s="582" t="str">
        <f>IF('合并资产负债表 '!V23&gt;0,"增加",IF('合并资产负债表 '!V23=0,"无变化","减少"))</f>
        <v>无变化</v>
      </c>
      <c r="AC22" s="582" t="s">
        <v>2897</v>
      </c>
      <c r="AD22" s="582" t="s">
        <v>3080</v>
      </c>
      <c r="AE22" s="582" t="str">
        <f>IF('合并资产负债表 '!V23&gt;0,"增幅",IF('合并资产负债表 '!V23=0,"无变化","降幅"))</f>
        <v>无变化</v>
      </c>
      <c r="AF22" s="162" t="s">
        <v>3019</v>
      </c>
    </row>
    <row r="23" spans="1:32">
      <c r="A23" s="28" t="s">
        <v>233</v>
      </c>
      <c r="B23" s="71" t="s">
        <v>46</v>
      </c>
      <c r="C23" s="176" t="s">
        <v>472</v>
      </c>
      <c r="D23" s="176" t="s">
        <v>4087</v>
      </c>
      <c r="E23" s="176" t="s">
        <v>618</v>
      </c>
      <c r="F23" s="178" t="s">
        <v>692</v>
      </c>
      <c r="G23" s="161" t="s">
        <v>1795</v>
      </c>
      <c r="H23" s="158" t="s">
        <v>1852</v>
      </c>
      <c r="I23" s="158" t="s">
        <v>1911</v>
      </c>
      <c r="J23" s="162" t="s">
        <v>1970</v>
      </c>
      <c r="K23" s="161" t="s">
        <v>2028</v>
      </c>
      <c r="L23" s="158" t="s">
        <v>2087</v>
      </c>
      <c r="M23" s="158" t="s">
        <v>2148</v>
      </c>
      <c r="N23" s="440" t="s">
        <v>2209</v>
      </c>
      <c r="O23" s="161" t="s">
        <v>2409</v>
      </c>
      <c r="P23" s="158" t="str">
        <f>IF('合并资产负债表 '!R24&gt;0,"增加",IF('合并资产负债表 '!R24=0,"无变化","减少"))</f>
        <v>无变化</v>
      </c>
      <c r="Q23" s="158" t="s">
        <v>2470</v>
      </c>
      <c r="R23" s="158" t="s">
        <v>2593</v>
      </c>
      <c r="S23" s="158" t="str">
        <f>IF('合并资产负债表 '!R24&gt;0,"增幅",IF('合并资产负债表 '!R24=0,"无变化","降幅"))</f>
        <v>无变化</v>
      </c>
      <c r="T23" s="162" t="s">
        <v>2532</v>
      </c>
      <c r="U23" s="581" t="s">
        <v>2715</v>
      </c>
      <c r="V23" s="582" t="str">
        <f>IF('合并资产负债表 '!T24&gt;0,"增加",IF('合并资产负债表 '!T24=0,"无变化","减少"))</f>
        <v>无变化</v>
      </c>
      <c r="W23" s="582" t="s">
        <v>2654</v>
      </c>
      <c r="X23" s="582" t="s">
        <v>2837</v>
      </c>
      <c r="Y23" s="582" t="str">
        <f>IF('合并资产负债表 '!T24&gt;0,"增幅",IF('合并资产负债表 '!T24=0,"无变化","降幅"))</f>
        <v>无变化</v>
      </c>
      <c r="Z23" s="162" t="s">
        <v>2776</v>
      </c>
      <c r="AA23" s="581" t="s">
        <v>2959</v>
      </c>
      <c r="AB23" s="582" t="str">
        <f>IF('合并资产负债表 '!V24&gt;0,"增加",IF('合并资产负债表 '!V24=0,"无变化","减少"))</f>
        <v>无变化</v>
      </c>
      <c r="AC23" s="582" t="s">
        <v>2898</v>
      </c>
      <c r="AD23" s="582" t="s">
        <v>3081</v>
      </c>
      <c r="AE23" s="582" t="str">
        <f>IF('合并资产负债表 '!V24&gt;0,"增幅",IF('合并资产负债表 '!V24=0,"无变化","降幅"))</f>
        <v>无变化</v>
      </c>
      <c r="AF23" s="162" t="s">
        <v>3020</v>
      </c>
    </row>
    <row r="24" spans="1:32">
      <c r="A24" s="28" t="s">
        <v>234</v>
      </c>
      <c r="B24" s="71" t="s">
        <v>47</v>
      </c>
      <c r="C24" s="176" t="s">
        <v>473</v>
      </c>
      <c r="D24" s="176" t="s">
        <v>545</v>
      </c>
      <c r="E24" s="176" t="s">
        <v>619</v>
      </c>
      <c r="F24" s="178" t="s">
        <v>693</v>
      </c>
      <c r="G24" s="161" t="s">
        <v>1796</v>
      </c>
      <c r="H24" s="158" t="s">
        <v>1853</v>
      </c>
      <c r="I24" s="158" t="s">
        <v>1912</v>
      </c>
      <c r="J24" s="162" t="s">
        <v>1971</v>
      </c>
      <c r="K24" s="161" t="s">
        <v>2029</v>
      </c>
      <c r="L24" s="158" t="s">
        <v>2088</v>
      </c>
      <c r="M24" s="158" t="s">
        <v>2149</v>
      </c>
      <c r="N24" s="440" t="s">
        <v>2210</v>
      </c>
      <c r="O24" s="161" t="s">
        <v>2410</v>
      </c>
      <c r="P24" s="158" t="str">
        <f>IF('合并资产负债表 '!R25&gt;0,"增加",IF('合并资产负债表 '!R25=0,"无变化","减少"))</f>
        <v>无变化</v>
      </c>
      <c r="Q24" s="158" t="s">
        <v>2471</v>
      </c>
      <c r="R24" s="158" t="s">
        <v>2594</v>
      </c>
      <c r="S24" s="158" t="str">
        <f>IF('合并资产负债表 '!R25&gt;0,"增幅",IF('合并资产负债表 '!R25=0,"无变化","降幅"))</f>
        <v>无变化</v>
      </c>
      <c r="T24" s="162" t="s">
        <v>2533</v>
      </c>
      <c r="U24" s="581" t="s">
        <v>2716</v>
      </c>
      <c r="V24" s="582" t="str">
        <f>IF('合并资产负债表 '!T25&gt;0,"增加",IF('合并资产负债表 '!T25=0,"无变化","减少"))</f>
        <v>无变化</v>
      </c>
      <c r="W24" s="582" t="s">
        <v>2655</v>
      </c>
      <c r="X24" s="582" t="s">
        <v>2838</v>
      </c>
      <c r="Y24" s="582" t="str">
        <f>IF('合并资产负债表 '!T25&gt;0,"增幅",IF('合并资产负债表 '!T25=0,"无变化","降幅"))</f>
        <v>无变化</v>
      </c>
      <c r="Z24" s="162" t="s">
        <v>2777</v>
      </c>
      <c r="AA24" s="581" t="s">
        <v>2960</v>
      </c>
      <c r="AB24" s="582" t="str">
        <f>IF('合并资产负债表 '!V25&gt;0,"增加",IF('合并资产负债表 '!V25=0,"无变化","减少"))</f>
        <v>无变化</v>
      </c>
      <c r="AC24" s="582" t="s">
        <v>2899</v>
      </c>
      <c r="AD24" s="582" t="s">
        <v>3082</v>
      </c>
      <c r="AE24" s="582" t="str">
        <f>IF('合并资产负债表 '!V25&gt;0,"增幅",IF('合并资产负债表 '!V25=0,"无变化","降幅"))</f>
        <v>无变化</v>
      </c>
      <c r="AF24" s="162" t="s">
        <v>3021</v>
      </c>
    </row>
    <row r="25" spans="1:32">
      <c r="A25" s="28" t="s">
        <v>235</v>
      </c>
      <c r="B25" s="71" t="s">
        <v>48</v>
      </c>
      <c r="C25" s="176" t="s">
        <v>474</v>
      </c>
      <c r="D25" s="176" t="s">
        <v>546</v>
      </c>
      <c r="E25" s="176" t="s">
        <v>620</v>
      </c>
      <c r="F25" s="178" t="s">
        <v>694</v>
      </c>
      <c r="G25" s="161" t="s">
        <v>1797</v>
      </c>
      <c r="H25" s="158" t="s">
        <v>1854</v>
      </c>
      <c r="I25" s="158" t="s">
        <v>1913</v>
      </c>
      <c r="J25" s="162" t="s">
        <v>1972</v>
      </c>
      <c r="K25" s="161" t="s">
        <v>2030</v>
      </c>
      <c r="L25" s="158" t="s">
        <v>2089</v>
      </c>
      <c r="M25" s="158" t="s">
        <v>2150</v>
      </c>
      <c r="N25" s="440" t="s">
        <v>2211</v>
      </c>
      <c r="O25" s="161" t="s">
        <v>2411</v>
      </c>
      <c r="P25" s="158" t="str">
        <f>IF('合并资产负债表 '!R26&gt;0,"增加",IF('合并资产负债表 '!R26=0,"无变化","减少"))</f>
        <v>无变化</v>
      </c>
      <c r="Q25" s="158" t="s">
        <v>2472</v>
      </c>
      <c r="R25" s="158" t="s">
        <v>2595</v>
      </c>
      <c r="S25" s="158" t="str">
        <f>IF('合并资产负债表 '!R26&gt;0,"增幅",IF('合并资产负债表 '!R26=0,"无变化","降幅"))</f>
        <v>无变化</v>
      </c>
      <c r="T25" s="162" t="s">
        <v>2534</v>
      </c>
      <c r="U25" s="581" t="s">
        <v>2717</v>
      </c>
      <c r="V25" s="582" t="str">
        <f>IF('合并资产负债表 '!T26&gt;0,"增加",IF('合并资产负债表 '!T26=0,"无变化","减少"))</f>
        <v>无变化</v>
      </c>
      <c r="W25" s="582" t="s">
        <v>2656</v>
      </c>
      <c r="X25" s="582" t="s">
        <v>2839</v>
      </c>
      <c r="Y25" s="582" t="str">
        <f>IF('合并资产负债表 '!T26&gt;0,"增幅",IF('合并资产负债表 '!T26=0,"无变化","降幅"))</f>
        <v>无变化</v>
      </c>
      <c r="Z25" s="162" t="s">
        <v>2778</v>
      </c>
      <c r="AA25" s="581" t="s">
        <v>2961</v>
      </c>
      <c r="AB25" s="582" t="str">
        <f>IF('合并资产负债表 '!V26&gt;0,"增加",IF('合并资产负债表 '!V26=0,"无变化","减少"))</f>
        <v>无变化</v>
      </c>
      <c r="AC25" s="582" t="s">
        <v>2900</v>
      </c>
      <c r="AD25" s="582" t="s">
        <v>3083</v>
      </c>
      <c r="AE25" s="582" t="str">
        <f>IF('合并资产负债表 '!V26&gt;0,"增幅",IF('合并资产负债表 '!V26=0,"无变化","降幅"))</f>
        <v>无变化</v>
      </c>
      <c r="AF25" s="162" t="s">
        <v>3022</v>
      </c>
    </row>
    <row r="26" spans="1:32">
      <c r="A26" s="28" t="s">
        <v>236</v>
      </c>
      <c r="B26" s="71" t="s">
        <v>49</v>
      </c>
      <c r="C26" s="176" t="s">
        <v>475</v>
      </c>
      <c r="D26" s="176" t="s">
        <v>547</v>
      </c>
      <c r="E26" s="176" t="s">
        <v>621</v>
      </c>
      <c r="F26" s="178" t="s">
        <v>695</v>
      </c>
      <c r="G26" s="161" t="s">
        <v>1798</v>
      </c>
      <c r="H26" s="158" t="s">
        <v>1855</v>
      </c>
      <c r="I26" s="158" t="s">
        <v>1914</v>
      </c>
      <c r="J26" s="162" t="s">
        <v>1973</v>
      </c>
      <c r="K26" s="161" t="s">
        <v>2031</v>
      </c>
      <c r="L26" s="158" t="s">
        <v>2090</v>
      </c>
      <c r="M26" s="158" t="s">
        <v>2151</v>
      </c>
      <c r="N26" s="440" t="s">
        <v>2212</v>
      </c>
      <c r="O26" s="161" t="s">
        <v>2412</v>
      </c>
      <c r="P26" s="158" t="str">
        <f>IF('合并资产负债表 '!R27&gt;0,"增加",IF('合并资产负债表 '!R27=0,"无变化","减少"))</f>
        <v>无变化</v>
      </c>
      <c r="Q26" s="158" t="s">
        <v>2473</v>
      </c>
      <c r="R26" s="158" t="s">
        <v>2596</v>
      </c>
      <c r="S26" s="158" t="str">
        <f>IF('合并资产负债表 '!R27&gt;0,"增幅",IF('合并资产负债表 '!R27=0,"无变化","降幅"))</f>
        <v>无变化</v>
      </c>
      <c r="T26" s="162" t="s">
        <v>2535</v>
      </c>
      <c r="U26" s="581" t="s">
        <v>2718</v>
      </c>
      <c r="V26" s="582" t="str">
        <f>IF('合并资产负债表 '!T27&gt;0,"增加",IF('合并资产负债表 '!T27=0,"无变化","减少"))</f>
        <v>无变化</v>
      </c>
      <c r="W26" s="582" t="s">
        <v>2657</v>
      </c>
      <c r="X26" s="582" t="s">
        <v>2840</v>
      </c>
      <c r="Y26" s="582" t="str">
        <f>IF('合并资产负债表 '!T27&gt;0,"增幅",IF('合并资产负债表 '!T27=0,"无变化","降幅"))</f>
        <v>无变化</v>
      </c>
      <c r="Z26" s="162" t="s">
        <v>2779</v>
      </c>
      <c r="AA26" s="581" t="s">
        <v>2962</v>
      </c>
      <c r="AB26" s="582" t="str">
        <f>IF('合并资产负债表 '!V27&gt;0,"增加",IF('合并资产负债表 '!V27=0,"无变化","减少"))</f>
        <v>无变化</v>
      </c>
      <c r="AC26" s="582" t="s">
        <v>2901</v>
      </c>
      <c r="AD26" s="582" t="s">
        <v>3084</v>
      </c>
      <c r="AE26" s="582" t="str">
        <f>IF('合并资产负债表 '!V27&gt;0,"增幅",IF('合并资产负债表 '!V27=0,"无变化","降幅"))</f>
        <v>无变化</v>
      </c>
      <c r="AF26" s="162" t="s">
        <v>3023</v>
      </c>
    </row>
    <row r="27" spans="1:32">
      <c r="A27" s="28" t="s">
        <v>237</v>
      </c>
      <c r="B27" s="71" t="s">
        <v>157</v>
      </c>
      <c r="C27" s="176" t="s">
        <v>476</v>
      </c>
      <c r="D27" s="176" t="s">
        <v>548</v>
      </c>
      <c r="E27" s="176" t="s">
        <v>622</v>
      </c>
      <c r="F27" s="178" t="s">
        <v>696</v>
      </c>
      <c r="G27" s="161" t="s">
        <v>1799</v>
      </c>
      <c r="H27" s="158" t="s">
        <v>1856</v>
      </c>
      <c r="I27" s="158" t="s">
        <v>1915</v>
      </c>
      <c r="J27" s="162" t="s">
        <v>1974</v>
      </c>
      <c r="K27" s="161" t="s">
        <v>2032</v>
      </c>
      <c r="L27" s="158" t="s">
        <v>2091</v>
      </c>
      <c r="M27" s="158" t="s">
        <v>2152</v>
      </c>
      <c r="N27" s="440" t="s">
        <v>2213</v>
      </c>
      <c r="O27" s="161" t="s">
        <v>2413</v>
      </c>
      <c r="P27" s="158" t="str">
        <f>IF('合并资产负债表 '!R28&gt;0,"增加",IF('合并资产负债表 '!R28=0,"无变化","减少"))</f>
        <v>无变化</v>
      </c>
      <c r="Q27" s="158" t="s">
        <v>2474</v>
      </c>
      <c r="R27" s="158" t="s">
        <v>2597</v>
      </c>
      <c r="S27" s="158" t="str">
        <f>IF('合并资产负债表 '!R28&gt;0,"增幅",IF('合并资产负债表 '!R28=0,"无变化","降幅"))</f>
        <v>无变化</v>
      </c>
      <c r="T27" s="162" t="s">
        <v>2536</v>
      </c>
      <c r="U27" s="581" t="s">
        <v>2719</v>
      </c>
      <c r="V27" s="582" t="str">
        <f>IF('合并资产负债表 '!T28&gt;0,"增加",IF('合并资产负债表 '!T28=0,"无变化","减少"))</f>
        <v>无变化</v>
      </c>
      <c r="W27" s="582" t="s">
        <v>2658</v>
      </c>
      <c r="X27" s="582" t="s">
        <v>2841</v>
      </c>
      <c r="Y27" s="582" t="str">
        <f>IF('合并资产负债表 '!T28&gt;0,"增幅",IF('合并资产负债表 '!T28=0,"无变化","降幅"))</f>
        <v>无变化</v>
      </c>
      <c r="Z27" s="162" t="s">
        <v>2780</v>
      </c>
      <c r="AA27" s="581" t="s">
        <v>2963</v>
      </c>
      <c r="AB27" s="582" t="str">
        <f>IF('合并资产负债表 '!V28&gt;0,"增加",IF('合并资产负债表 '!V28=0,"无变化","减少"))</f>
        <v>无变化</v>
      </c>
      <c r="AC27" s="582" t="s">
        <v>2902</v>
      </c>
      <c r="AD27" s="582" t="s">
        <v>3085</v>
      </c>
      <c r="AE27" s="582" t="str">
        <f>IF('合并资产负债表 '!V28&gt;0,"增幅",IF('合并资产负债表 '!V28=0,"无变化","降幅"))</f>
        <v>无变化</v>
      </c>
      <c r="AF27" s="162" t="s">
        <v>3024</v>
      </c>
    </row>
    <row r="28" spans="1:32">
      <c r="A28" s="28" t="s">
        <v>238</v>
      </c>
      <c r="B28" s="71" t="s">
        <v>158</v>
      </c>
      <c r="C28" s="176" t="s">
        <v>477</v>
      </c>
      <c r="D28" s="176" t="s">
        <v>549</v>
      </c>
      <c r="E28" s="176" t="s">
        <v>623</v>
      </c>
      <c r="F28" s="178" t="s">
        <v>697</v>
      </c>
      <c r="G28" s="161" t="s">
        <v>1800</v>
      </c>
      <c r="H28" s="158" t="s">
        <v>1857</v>
      </c>
      <c r="I28" s="158" t="s">
        <v>1916</v>
      </c>
      <c r="J28" s="162" t="s">
        <v>1975</v>
      </c>
      <c r="K28" s="161" t="s">
        <v>2033</v>
      </c>
      <c r="L28" s="158" t="s">
        <v>2092</v>
      </c>
      <c r="M28" s="158" t="s">
        <v>2153</v>
      </c>
      <c r="N28" s="440" t="s">
        <v>2214</v>
      </c>
      <c r="O28" s="161" t="s">
        <v>2414</v>
      </c>
      <c r="P28" s="158" t="str">
        <f>IF('合并资产负债表 '!R29&gt;0,"增加",IF('合并资产负债表 '!R29=0,"无变化","减少"))</f>
        <v>无变化</v>
      </c>
      <c r="Q28" s="158" t="s">
        <v>2475</v>
      </c>
      <c r="R28" s="158" t="s">
        <v>2598</v>
      </c>
      <c r="S28" s="158" t="str">
        <f>IF('合并资产负债表 '!R29&gt;0,"增幅",IF('合并资产负债表 '!R29=0,"无变化","降幅"))</f>
        <v>无变化</v>
      </c>
      <c r="T28" s="162" t="s">
        <v>2537</v>
      </c>
      <c r="U28" s="581" t="s">
        <v>2720</v>
      </c>
      <c r="V28" s="582" t="str">
        <f>IF('合并资产负债表 '!T29&gt;0,"增加",IF('合并资产负债表 '!T29=0,"无变化","减少"))</f>
        <v>无变化</v>
      </c>
      <c r="W28" s="582" t="s">
        <v>2659</v>
      </c>
      <c r="X28" s="582" t="s">
        <v>2842</v>
      </c>
      <c r="Y28" s="582" t="str">
        <f>IF('合并资产负债表 '!T29&gt;0,"增幅",IF('合并资产负债表 '!T29=0,"无变化","降幅"))</f>
        <v>无变化</v>
      </c>
      <c r="Z28" s="162" t="s">
        <v>2781</v>
      </c>
      <c r="AA28" s="581" t="s">
        <v>2964</v>
      </c>
      <c r="AB28" s="582" t="str">
        <f>IF('合并资产负债表 '!V29&gt;0,"增加",IF('合并资产负债表 '!V29=0,"无变化","减少"))</f>
        <v>无变化</v>
      </c>
      <c r="AC28" s="582" t="s">
        <v>2903</v>
      </c>
      <c r="AD28" s="582" t="s">
        <v>3086</v>
      </c>
      <c r="AE28" s="582" t="str">
        <f>IF('合并资产负债表 '!V29&gt;0,"增幅",IF('合并资产负债表 '!V29=0,"无变化","降幅"))</f>
        <v>无变化</v>
      </c>
      <c r="AF28" s="162" t="s">
        <v>3025</v>
      </c>
    </row>
    <row r="29" spans="1:32">
      <c r="A29" s="28" t="s">
        <v>239</v>
      </c>
      <c r="B29" s="71" t="s">
        <v>50</v>
      </c>
      <c r="C29" s="176" t="s">
        <v>478</v>
      </c>
      <c r="D29" s="176" t="s">
        <v>550</v>
      </c>
      <c r="E29" s="176" t="s">
        <v>624</v>
      </c>
      <c r="F29" s="178" t="s">
        <v>698</v>
      </c>
      <c r="G29" s="161" t="s">
        <v>1801</v>
      </c>
      <c r="H29" s="158" t="s">
        <v>1858</v>
      </c>
      <c r="I29" s="158" t="s">
        <v>1917</v>
      </c>
      <c r="J29" s="162" t="s">
        <v>1976</v>
      </c>
      <c r="K29" s="161" t="s">
        <v>2034</v>
      </c>
      <c r="L29" s="158" t="s">
        <v>2093</v>
      </c>
      <c r="M29" s="158" t="s">
        <v>2154</v>
      </c>
      <c r="N29" s="440" t="s">
        <v>2215</v>
      </c>
      <c r="O29" s="161" t="s">
        <v>2415</v>
      </c>
      <c r="P29" s="158" t="str">
        <f>IF('合并资产负债表 '!R30&gt;0,"增加",IF('合并资产负债表 '!R30=0,"无变化","减少"))</f>
        <v>无变化</v>
      </c>
      <c r="Q29" s="158" t="s">
        <v>2476</v>
      </c>
      <c r="R29" s="158" t="s">
        <v>2599</v>
      </c>
      <c r="S29" s="158" t="str">
        <f>IF('合并资产负债表 '!R30&gt;0,"增幅",IF('合并资产负债表 '!R30=0,"无变化","降幅"))</f>
        <v>无变化</v>
      </c>
      <c r="T29" s="162" t="s">
        <v>2538</v>
      </c>
      <c r="U29" s="581" t="s">
        <v>2721</v>
      </c>
      <c r="V29" s="582" t="str">
        <f>IF('合并资产负债表 '!T30&gt;0,"增加",IF('合并资产负债表 '!T30=0,"无变化","减少"))</f>
        <v>无变化</v>
      </c>
      <c r="W29" s="582" t="s">
        <v>2660</v>
      </c>
      <c r="X29" s="582" t="s">
        <v>2843</v>
      </c>
      <c r="Y29" s="582" t="str">
        <f>IF('合并资产负债表 '!T30&gt;0,"增幅",IF('合并资产负债表 '!T30=0,"无变化","降幅"))</f>
        <v>无变化</v>
      </c>
      <c r="Z29" s="162" t="s">
        <v>2782</v>
      </c>
      <c r="AA29" s="581" t="s">
        <v>2965</v>
      </c>
      <c r="AB29" s="582" t="str">
        <f>IF('合并资产负债表 '!V30&gt;0,"增加",IF('合并资产负债表 '!V30=0,"无变化","减少"))</f>
        <v>无变化</v>
      </c>
      <c r="AC29" s="582" t="s">
        <v>2904</v>
      </c>
      <c r="AD29" s="582" t="s">
        <v>3087</v>
      </c>
      <c r="AE29" s="582" t="str">
        <f>IF('合并资产负债表 '!V30&gt;0,"增幅",IF('合并资产负债表 '!V30=0,"无变化","降幅"))</f>
        <v>无变化</v>
      </c>
      <c r="AF29" s="162" t="s">
        <v>3026</v>
      </c>
    </row>
    <row r="30" spans="1:32">
      <c r="A30" s="28" t="s">
        <v>240</v>
      </c>
      <c r="B30" s="71" t="s">
        <v>159</v>
      </c>
      <c r="C30" s="176" t="s">
        <v>479</v>
      </c>
      <c r="D30" s="176" t="s">
        <v>551</v>
      </c>
      <c r="E30" s="176" t="s">
        <v>625</v>
      </c>
      <c r="F30" s="178" t="s">
        <v>699</v>
      </c>
      <c r="G30" s="161" t="s">
        <v>1802</v>
      </c>
      <c r="H30" s="158" t="s">
        <v>1859</v>
      </c>
      <c r="I30" s="158" t="s">
        <v>1918</v>
      </c>
      <c r="J30" s="162" t="s">
        <v>1977</v>
      </c>
      <c r="K30" s="161" t="s">
        <v>2035</v>
      </c>
      <c r="L30" s="158" t="s">
        <v>2094</v>
      </c>
      <c r="M30" s="158" t="s">
        <v>2155</v>
      </c>
      <c r="N30" s="440" t="s">
        <v>2216</v>
      </c>
      <c r="O30" s="161" t="s">
        <v>2416</v>
      </c>
      <c r="P30" s="158" t="str">
        <f>IF('合并资产负债表 '!R31&gt;0,"增加",IF('合并资产负债表 '!R31=0,"无变化","减少"))</f>
        <v>无变化</v>
      </c>
      <c r="Q30" s="158" t="s">
        <v>2477</v>
      </c>
      <c r="R30" s="158" t="s">
        <v>2600</v>
      </c>
      <c r="S30" s="158" t="str">
        <f>IF('合并资产负债表 '!R31&gt;0,"增幅",IF('合并资产负债表 '!R31=0,"无变化","降幅"))</f>
        <v>无变化</v>
      </c>
      <c r="T30" s="162" t="s">
        <v>2539</v>
      </c>
      <c r="U30" s="581" t="s">
        <v>2722</v>
      </c>
      <c r="V30" s="582" t="str">
        <f>IF('合并资产负债表 '!T31&gt;0,"增加",IF('合并资产负债表 '!T31=0,"无变化","减少"))</f>
        <v>无变化</v>
      </c>
      <c r="W30" s="582" t="s">
        <v>2661</v>
      </c>
      <c r="X30" s="582" t="s">
        <v>2844</v>
      </c>
      <c r="Y30" s="582" t="str">
        <f>IF('合并资产负债表 '!T31&gt;0,"增幅",IF('合并资产负债表 '!T31=0,"无变化","降幅"))</f>
        <v>无变化</v>
      </c>
      <c r="Z30" s="162" t="s">
        <v>2783</v>
      </c>
      <c r="AA30" s="581" t="s">
        <v>2966</v>
      </c>
      <c r="AB30" s="582" t="str">
        <f>IF('合并资产负债表 '!V31&gt;0,"增加",IF('合并资产负债表 '!V31=0,"无变化","减少"))</f>
        <v>无变化</v>
      </c>
      <c r="AC30" s="582" t="s">
        <v>2905</v>
      </c>
      <c r="AD30" s="582" t="s">
        <v>3088</v>
      </c>
      <c r="AE30" s="582" t="str">
        <f>IF('合并资产负债表 '!V31&gt;0,"增幅",IF('合并资产负债表 '!V31=0,"无变化","降幅"))</f>
        <v>无变化</v>
      </c>
      <c r="AF30" s="162" t="s">
        <v>3027</v>
      </c>
    </row>
    <row r="31" spans="1:32">
      <c r="A31" s="28" t="s">
        <v>241</v>
      </c>
      <c r="B31" s="71" t="s">
        <v>160</v>
      </c>
      <c r="C31" s="176" t="s">
        <v>480</v>
      </c>
      <c r="D31" s="176" t="s">
        <v>552</v>
      </c>
      <c r="E31" s="176" t="s">
        <v>626</v>
      </c>
      <c r="F31" s="178" t="s">
        <v>700</v>
      </c>
      <c r="G31" s="161" t="s">
        <v>1803</v>
      </c>
      <c r="H31" s="158" t="s">
        <v>1860</v>
      </c>
      <c r="I31" s="158" t="s">
        <v>1919</v>
      </c>
      <c r="J31" s="162" t="s">
        <v>1978</v>
      </c>
      <c r="K31" s="161" t="s">
        <v>2036</v>
      </c>
      <c r="L31" s="158" t="s">
        <v>2095</v>
      </c>
      <c r="M31" s="158" t="s">
        <v>2156</v>
      </c>
      <c r="N31" s="440" t="s">
        <v>2217</v>
      </c>
      <c r="O31" s="161" t="s">
        <v>2417</v>
      </c>
      <c r="P31" s="158" t="str">
        <f>IF('合并资产负债表 '!R32&gt;0,"增加",IF('合并资产负债表 '!R32=0,"无变化","减少"))</f>
        <v>无变化</v>
      </c>
      <c r="Q31" s="158" t="s">
        <v>2478</v>
      </c>
      <c r="R31" s="158" t="s">
        <v>2601</v>
      </c>
      <c r="S31" s="158" t="str">
        <f>IF('合并资产负债表 '!R32&gt;0,"增幅",IF('合并资产负债表 '!R32=0,"无变化","降幅"))</f>
        <v>无变化</v>
      </c>
      <c r="T31" s="162" t="s">
        <v>2540</v>
      </c>
      <c r="U31" s="581" t="s">
        <v>2723</v>
      </c>
      <c r="V31" s="582" t="str">
        <f>IF('合并资产负债表 '!T32&gt;0,"增加",IF('合并资产负债表 '!T32=0,"无变化","减少"))</f>
        <v>无变化</v>
      </c>
      <c r="W31" s="582" t="s">
        <v>2662</v>
      </c>
      <c r="X31" s="582" t="s">
        <v>2845</v>
      </c>
      <c r="Y31" s="582" t="str">
        <f>IF('合并资产负债表 '!T32&gt;0,"增幅",IF('合并资产负债表 '!T32=0,"无变化","降幅"))</f>
        <v>无变化</v>
      </c>
      <c r="Z31" s="162" t="s">
        <v>2784</v>
      </c>
      <c r="AA31" s="581" t="s">
        <v>2967</v>
      </c>
      <c r="AB31" s="582" t="str">
        <f>IF('合并资产负债表 '!V32&gt;0,"增加",IF('合并资产负债表 '!V32=0,"无变化","减少"))</f>
        <v>无变化</v>
      </c>
      <c r="AC31" s="582" t="s">
        <v>2906</v>
      </c>
      <c r="AD31" s="582" t="s">
        <v>3089</v>
      </c>
      <c r="AE31" s="582" t="str">
        <f>IF('合并资产负债表 '!V32&gt;0,"增幅",IF('合并资产负债表 '!V32=0,"无变化","降幅"))</f>
        <v>无变化</v>
      </c>
      <c r="AF31" s="162" t="s">
        <v>3028</v>
      </c>
    </row>
    <row r="32" spans="1:32">
      <c r="A32" s="28" t="s">
        <v>242</v>
      </c>
      <c r="B32" s="71" t="s">
        <v>51</v>
      </c>
      <c r="C32" s="176" t="s">
        <v>481</v>
      </c>
      <c r="D32" s="176" t="s">
        <v>553</v>
      </c>
      <c r="E32" s="176" t="s">
        <v>627</v>
      </c>
      <c r="F32" s="178" t="s">
        <v>701</v>
      </c>
      <c r="G32" s="161" t="s">
        <v>1804</v>
      </c>
      <c r="H32" s="158" t="s">
        <v>1861</v>
      </c>
      <c r="I32" s="158" t="s">
        <v>1920</v>
      </c>
      <c r="J32" s="162" t="s">
        <v>1979</v>
      </c>
      <c r="K32" s="161" t="s">
        <v>2037</v>
      </c>
      <c r="L32" s="158" t="s">
        <v>2096</v>
      </c>
      <c r="M32" s="158" t="s">
        <v>2157</v>
      </c>
      <c r="N32" s="440" t="s">
        <v>2218</v>
      </c>
      <c r="O32" s="161" t="s">
        <v>2418</v>
      </c>
      <c r="P32" s="158" t="str">
        <f>IF('合并资产负债表 '!R33&gt;0,"增加",IF('合并资产负债表 '!R33=0,"无变化","减少"))</f>
        <v>无变化</v>
      </c>
      <c r="Q32" s="158" t="s">
        <v>2479</v>
      </c>
      <c r="R32" s="158" t="s">
        <v>2602</v>
      </c>
      <c r="S32" s="158" t="str">
        <f>IF('合并资产负债表 '!R33&gt;0,"增幅",IF('合并资产负债表 '!R33=0,"无变化","降幅"))</f>
        <v>无变化</v>
      </c>
      <c r="T32" s="162" t="s">
        <v>2541</v>
      </c>
      <c r="U32" s="581" t="s">
        <v>2724</v>
      </c>
      <c r="V32" s="582" t="str">
        <f>IF('合并资产负债表 '!T33&gt;0,"增加",IF('合并资产负债表 '!T33=0,"无变化","减少"))</f>
        <v>无变化</v>
      </c>
      <c r="W32" s="582" t="s">
        <v>2663</v>
      </c>
      <c r="X32" s="582" t="s">
        <v>2846</v>
      </c>
      <c r="Y32" s="582" t="str">
        <f>IF('合并资产负债表 '!T33&gt;0,"增幅",IF('合并资产负债表 '!T33=0,"无变化","降幅"))</f>
        <v>无变化</v>
      </c>
      <c r="Z32" s="162" t="s">
        <v>2785</v>
      </c>
      <c r="AA32" s="581" t="s">
        <v>2968</v>
      </c>
      <c r="AB32" s="582" t="str">
        <f>IF('合并资产负债表 '!V33&gt;0,"增加",IF('合并资产负债表 '!V33=0,"无变化","减少"))</f>
        <v>无变化</v>
      </c>
      <c r="AC32" s="582" t="s">
        <v>2907</v>
      </c>
      <c r="AD32" s="582" t="s">
        <v>3090</v>
      </c>
      <c r="AE32" s="582" t="str">
        <f>IF('合并资产负债表 '!V33&gt;0,"增幅",IF('合并资产负债表 '!V33=0,"无变化","降幅"))</f>
        <v>无变化</v>
      </c>
      <c r="AF32" s="162" t="s">
        <v>3029</v>
      </c>
    </row>
    <row r="33" spans="1:32">
      <c r="A33" s="28" t="s">
        <v>243</v>
      </c>
      <c r="B33" s="71" t="s">
        <v>52</v>
      </c>
      <c r="C33" s="176" t="s">
        <v>482</v>
      </c>
      <c r="D33" s="176" t="s">
        <v>554</v>
      </c>
      <c r="E33" s="176" t="s">
        <v>628</v>
      </c>
      <c r="F33" s="178" t="s">
        <v>702</v>
      </c>
      <c r="G33" s="161" t="s">
        <v>1805</v>
      </c>
      <c r="H33" s="158" t="s">
        <v>1862</v>
      </c>
      <c r="I33" s="158" t="s">
        <v>1921</v>
      </c>
      <c r="J33" s="162" t="s">
        <v>1980</v>
      </c>
      <c r="K33" s="161" t="s">
        <v>2038</v>
      </c>
      <c r="L33" s="158" t="s">
        <v>2097</v>
      </c>
      <c r="M33" s="158" t="s">
        <v>2158</v>
      </c>
      <c r="N33" s="440" t="s">
        <v>2219</v>
      </c>
      <c r="O33" s="161" t="s">
        <v>2419</v>
      </c>
      <c r="P33" s="158" t="str">
        <f>IF('合并资产负债表 '!R34&gt;0,"增加",IF('合并资产负债表 '!R34=0,"无变化","减少"))</f>
        <v>无变化</v>
      </c>
      <c r="Q33" s="158" t="s">
        <v>2480</v>
      </c>
      <c r="R33" s="158" t="s">
        <v>2603</v>
      </c>
      <c r="S33" s="158" t="str">
        <f>IF('合并资产负债表 '!R34&gt;0,"增幅",IF('合并资产负债表 '!R34=0,"无变化","降幅"))</f>
        <v>无变化</v>
      </c>
      <c r="T33" s="162" t="s">
        <v>2542</v>
      </c>
      <c r="U33" s="581" t="s">
        <v>2725</v>
      </c>
      <c r="V33" s="582" t="str">
        <f>IF('合并资产负债表 '!T34&gt;0,"增加",IF('合并资产负债表 '!T34=0,"无变化","减少"))</f>
        <v>无变化</v>
      </c>
      <c r="W33" s="582" t="s">
        <v>2664</v>
      </c>
      <c r="X33" s="582" t="s">
        <v>2847</v>
      </c>
      <c r="Y33" s="582" t="str">
        <f>IF('合并资产负债表 '!T34&gt;0,"增幅",IF('合并资产负债表 '!T34=0,"无变化","降幅"))</f>
        <v>无变化</v>
      </c>
      <c r="Z33" s="162" t="s">
        <v>2786</v>
      </c>
      <c r="AA33" s="581" t="s">
        <v>2969</v>
      </c>
      <c r="AB33" s="582" t="str">
        <f>IF('合并资产负债表 '!V34&gt;0,"增加",IF('合并资产负债表 '!V34=0,"无变化","减少"))</f>
        <v>无变化</v>
      </c>
      <c r="AC33" s="582" t="s">
        <v>2908</v>
      </c>
      <c r="AD33" s="582" t="s">
        <v>3091</v>
      </c>
      <c r="AE33" s="582" t="str">
        <f>IF('合并资产负债表 '!V34&gt;0,"增幅",IF('合并资产负债表 '!V34=0,"无变化","降幅"))</f>
        <v>无变化</v>
      </c>
      <c r="AF33" s="162" t="s">
        <v>3030</v>
      </c>
    </row>
    <row r="34" spans="1:32">
      <c r="A34" s="28" t="s">
        <v>244</v>
      </c>
      <c r="B34" s="71" t="s">
        <v>161</v>
      </c>
      <c r="C34" s="176" t="s">
        <v>483</v>
      </c>
      <c r="D34" s="176" t="s">
        <v>555</v>
      </c>
      <c r="E34" s="176" t="s">
        <v>629</v>
      </c>
      <c r="F34" s="178" t="s">
        <v>703</v>
      </c>
      <c r="G34" s="161" t="s">
        <v>1806</v>
      </c>
      <c r="H34" s="158" t="s">
        <v>1863</v>
      </c>
      <c r="I34" s="158" t="s">
        <v>1922</v>
      </c>
      <c r="J34" s="162" t="s">
        <v>1981</v>
      </c>
      <c r="K34" s="161" t="s">
        <v>2039</v>
      </c>
      <c r="L34" s="158" t="s">
        <v>2098</v>
      </c>
      <c r="M34" s="158" t="s">
        <v>2159</v>
      </c>
      <c r="N34" s="440" t="s">
        <v>2220</v>
      </c>
      <c r="O34" s="161" t="s">
        <v>2420</v>
      </c>
      <c r="P34" s="158" t="str">
        <f>IF('合并资产负债表 '!R35&gt;0,"增加",IF('合并资产负债表 '!R35=0,"无变化","减少"))</f>
        <v>无变化</v>
      </c>
      <c r="Q34" s="158" t="s">
        <v>2481</v>
      </c>
      <c r="R34" s="158" t="s">
        <v>2604</v>
      </c>
      <c r="S34" s="158" t="str">
        <f>IF('合并资产负债表 '!R35&gt;0,"增幅",IF('合并资产负债表 '!R35=0,"无变化","降幅"))</f>
        <v>无变化</v>
      </c>
      <c r="T34" s="162" t="s">
        <v>2543</v>
      </c>
      <c r="U34" s="581" t="s">
        <v>2726</v>
      </c>
      <c r="V34" s="582" t="str">
        <f>IF('合并资产负债表 '!T35&gt;0,"增加",IF('合并资产负债表 '!T35=0,"无变化","减少"))</f>
        <v>无变化</v>
      </c>
      <c r="W34" s="582" t="s">
        <v>2665</v>
      </c>
      <c r="X34" s="582" t="s">
        <v>2848</v>
      </c>
      <c r="Y34" s="582" t="str">
        <f>IF('合并资产负债表 '!T35&gt;0,"增幅",IF('合并资产负债表 '!T35=0,"无变化","降幅"))</f>
        <v>无变化</v>
      </c>
      <c r="Z34" s="162" t="s">
        <v>2787</v>
      </c>
      <c r="AA34" s="581" t="s">
        <v>2970</v>
      </c>
      <c r="AB34" s="582" t="str">
        <f>IF('合并资产负债表 '!V35&gt;0,"增加",IF('合并资产负债表 '!V35=0,"无变化","减少"))</f>
        <v>无变化</v>
      </c>
      <c r="AC34" s="582" t="s">
        <v>2909</v>
      </c>
      <c r="AD34" s="582" t="s">
        <v>3092</v>
      </c>
      <c r="AE34" s="582" t="str">
        <f>IF('合并资产负债表 '!V35&gt;0,"增幅",IF('合并资产负债表 '!V35=0,"无变化","降幅"))</f>
        <v>无变化</v>
      </c>
      <c r="AF34" s="162" t="s">
        <v>3031</v>
      </c>
    </row>
    <row r="35" spans="1:32" s="189" customFormat="1">
      <c r="A35" s="190" t="s">
        <v>214</v>
      </c>
      <c r="B35" s="76" t="s">
        <v>53</v>
      </c>
      <c r="C35" s="182" t="s">
        <v>484</v>
      </c>
      <c r="D35" s="182" t="s">
        <v>556</v>
      </c>
      <c r="E35" s="182" t="s">
        <v>630</v>
      </c>
      <c r="F35" s="183" t="s">
        <v>704</v>
      </c>
      <c r="G35" s="210" t="s">
        <v>1807</v>
      </c>
      <c r="H35" s="160" t="s">
        <v>1864</v>
      </c>
      <c r="I35" s="160" t="s">
        <v>1923</v>
      </c>
      <c r="J35" s="165" t="s">
        <v>1982</v>
      </c>
      <c r="K35" s="210" t="s">
        <v>2040</v>
      </c>
      <c r="L35" s="160" t="s">
        <v>2099</v>
      </c>
      <c r="M35" s="160" t="s">
        <v>2160</v>
      </c>
      <c r="N35" s="202" t="s">
        <v>2221</v>
      </c>
      <c r="O35" s="210" t="s">
        <v>2421</v>
      </c>
      <c r="P35" s="358" t="str">
        <f>IF('合并资产负债表 '!R36&gt;0,"增加",IF('合并资产负债表 '!R36=0,"无变化","减少"))</f>
        <v>无变化</v>
      </c>
      <c r="Q35" s="160" t="s">
        <v>2482</v>
      </c>
      <c r="R35" s="160" t="s">
        <v>2605</v>
      </c>
      <c r="S35" s="358" t="str">
        <f>IF('合并资产负债表 '!R36&gt;0,"增幅",IF('合并资产负债表 '!R36=0,"无变化","降幅"))</f>
        <v>无变化</v>
      </c>
      <c r="T35" s="165" t="s">
        <v>2544</v>
      </c>
      <c r="U35" s="210" t="s">
        <v>2727</v>
      </c>
      <c r="V35" s="358" t="str">
        <f>IF('合并资产负债表 '!T36&gt;0,"增加",IF('合并资产负债表 '!T36=0,"无变化","减少"))</f>
        <v>无变化</v>
      </c>
      <c r="W35" s="160" t="s">
        <v>2666</v>
      </c>
      <c r="X35" s="160" t="s">
        <v>2849</v>
      </c>
      <c r="Y35" s="358" t="str">
        <f>IF('合并资产负债表 '!T36&gt;0,"增幅",IF('合并资产负债表 '!T36=0,"无变化","降幅"))</f>
        <v>无变化</v>
      </c>
      <c r="Z35" s="165" t="s">
        <v>2788</v>
      </c>
      <c r="AA35" s="210" t="s">
        <v>2971</v>
      </c>
      <c r="AB35" s="358" t="str">
        <f>IF('合并资产负债表 '!V36&gt;0,"增加",IF('合并资产负债表 '!V36=0,"无变化","减少"))</f>
        <v>无变化</v>
      </c>
      <c r="AC35" s="160" t="s">
        <v>2910</v>
      </c>
      <c r="AD35" s="160" t="s">
        <v>3093</v>
      </c>
      <c r="AE35" s="358" t="str">
        <f>IF('合并资产负债表 '!V36&gt;0,"增幅",IF('合并资产负债表 '!V36=0,"无变化","降幅"))</f>
        <v>无变化</v>
      </c>
      <c r="AF35" s="165" t="s">
        <v>3032</v>
      </c>
    </row>
    <row r="36" spans="1:32" s="189" customFormat="1">
      <c r="A36" s="190" t="s">
        <v>215</v>
      </c>
      <c r="B36" s="86" t="s">
        <v>54</v>
      </c>
      <c r="C36" s="182" t="s">
        <v>485</v>
      </c>
      <c r="D36" s="182" t="s">
        <v>557</v>
      </c>
      <c r="E36" s="182" t="s">
        <v>631</v>
      </c>
      <c r="F36" s="183" t="s">
        <v>705</v>
      </c>
      <c r="G36" s="210"/>
      <c r="H36" s="160"/>
      <c r="I36" s="160"/>
      <c r="J36" s="165"/>
      <c r="K36" s="210" t="s">
        <v>2041</v>
      </c>
      <c r="L36" s="160" t="s">
        <v>2100</v>
      </c>
      <c r="M36" s="160" t="s">
        <v>2161</v>
      </c>
      <c r="N36" s="202" t="s">
        <v>2222</v>
      </c>
      <c r="O36" s="210" t="s">
        <v>2422</v>
      </c>
      <c r="P36" s="358" t="str">
        <f>IF('合并资产负债表 '!R37&gt;0,"增加",IF('合并资产负债表 '!R37=0,"无变化","减少"))</f>
        <v>无变化</v>
      </c>
      <c r="Q36" s="160" t="s">
        <v>2483</v>
      </c>
      <c r="R36" s="160" t="s">
        <v>2606</v>
      </c>
      <c r="S36" s="358" t="str">
        <f>IF('合并资产负债表 '!R37&gt;0,"增幅",IF('合并资产负债表 '!R37=0,"无变化","降幅"))</f>
        <v>无变化</v>
      </c>
      <c r="T36" s="165" t="s">
        <v>2545</v>
      </c>
      <c r="U36" s="210" t="s">
        <v>2728</v>
      </c>
      <c r="V36" s="358" t="str">
        <f>IF('合并资产负债表 '!T37&gt;0,"增加",IF('合并资产负债表 '!T37=0,"无变化","减少"))</f>
        <v>无变化</v>
      </c>
      <c r="W36" s="160" t="s">
        <v>2667</v>
      </c>
      <c r="X36" s="160" t="s">
        <v>2850</v>
      </c>
      <c r="Y36" s="358" t="str">
        <f>IF('合并资产负债表 '!T37&gt;0,"增幅",IF('合并资产负债表 '!T37=0,"无变化","降幅"))</f>
        <v>无变化</v>
      </c>
      <c r="Z36" s="165" t="s">
        <v>2789</v>
      </c>
      <c r="AA36" s="210" t="s">
        <v>3162</v>
      </c>
      <c r="AB36" s="358" t="str">
        <f>IF('合并资产负债表 '!V37&gt;0,"增加",IF('合并资产负债表 '!V37=0,"无变化","减少"))</f>
        <v>无变化</v>
      </c>
      <c r="AC36" s="160" t="s">
        <v>2911</v>
      </c>
      <c r="AD36" s="160" t="s">
        <v>3163</v>
      </c>
      <c r="AE36" s="358" t="str">
        <f>IF('合并资产负债表 '!V37&gt;0,"增幅",IF('合并资产负债表 '!V37=0,"无变化","降幅"))</f>
        <v>无变化</v>
      </c>
      <c r="AF36" s="165" t="s">
        <v>3033</v>
      </c>
    </row>
    <row r="37" spans="1:32" s="189" customFormat="1" ht="14.25">
      <c r="B37" s="62" t="s">
        <v>105</v>
      </c>
      <c r="C37" s="186"/>
      <c r="D37" s="186"/>
      <c r="E37" s="184"/>
      <c r="F37" s="185"/>
      <c r="G37" s="211"/>
      <c r="H37" s="205"/>
      <c r="I37" s="205"/>
      <c r="J37" s="207"/>
      <c r="K37" s="211"/>
      <c r="L37" s="205"/>
      <c r="M37" s="205"/>
      <c r="N37" s="442"/>
      <c r="O37" s="211"/>
      <c r="P37" s="158"/>
      <c r="Q37" s="205"/>
      <c r="R37" s="205"/>
      <c r="S37" s="158"/>
      <c r="T37" s="207"/>
      <c r="U37" s="211"/>
      <c r="V37" s="582"/>
      <c r="W37" s="205"/>
      <c r="X37" s="205"/>
      <c r="Y37" s="582"/>
      <c r="Z37" s="207"/>
      <c r="AA37" s="211"/>
      <c r="AB37" s="582"/>
      <c r="AC37" s="205"/>
      <c r="AD37" s="205"/>
      <c r="AE37" s="582"/>
      <c r="AF37" s="207"/>
    </row>
    <row r="38" spans="1:32">
      <c r="A38" s="28" t="s">
        <v>245</v>
      </c>
      <c r="B38" s="71" t="s">
        <v>55</v>
      </c>
      <c r="C38" s="176" t="s">
        <v>486</v>
      </c>
      <c r="D38" s="176" t="s">
        <v>558</v>
      </c>
      <c r="E38" s="176" t="s">
        <v>632</v>
      </c>
      <c r="F38" s="178" t="s">
        <v>706</v>
      </c>
      <c r="G38" s="161" t="s">
        <v>1808</v>
      </c>
      <c r="H38" s="158" t="s">
        <v>1865</v>
      </c>
      <c r="I38" s="158" t="s">
        <v>1924</v>
      </c>
      <c r="J38" s="162" t="s">
        <v>1983</v>
      </c>
      <c r="K38" s="161" t="s">
        <v>2042</v>
      </c>
      <c r="L38" s="158" t="s">
        <v>2101</v>
      </c>
      <c r="M38" s="158" t="s">
        <v>2162</v>
      </c>
      <c r="N38" s="440" t="s">
        <v>2223</v>
      </c>
      <c r="O38" s="161" t="s">
        <v>2423</v>
      </c>
      <c r="P38" s="158" t="str">
        <f>IF('合并资产负债表 '!R39&gt;0,"增加",IF('合并资产负债表 '!R39=0,"无变化","减少"))</f>
        <v>无变化</v>
      </c>
      <c r="Q38" s="158" t="s">
        <v>2484</v>
      </c>
      <c r="R38" s="158" t="s">
        <v>2607</v>
      </c>
      <c r="S38" s="158" t="str">
        <f>IF('合并资产负债表 '!R39&gt;0,"增幅",IF('合并资产负债表 '!R39=0,"无变化","降幅"))</f>
        <v>无变化</v>
      </c>
      <c r="T38" s="162" t="s">
        <v>2546</v>
      </c>
      <c r="U38" s="581" t="s">
        <v>2729</v>
      </c>
      <c r="V38" s="582" t="str">
        <f>IF('合并资产负债表 '!T39&gt;0,"增加",IF('合并资产负债表 '!T39=0,"无变化","减少"))</f>
        <v>无变化</v>
      </c>
      <c r="W38" s="582" t="s">
        <v>2668</v>
      </c>
      <c r="X38" s="582" t="s">
        <v>2851</v>
      </c>
      <c r="Y38" s="582" t="str">
        <f>IF('合并资产负债表 '!T39&gt;0,"增幅",IF('合并资产负债表 '!T39=0,"无变化","降幅"))</f>
        <v>无变化</v>
      </c>
      <c r="Z38" s="162" t="s">
        <v>2790</v>
      </c>
      <c r="AA38" s="581" t="s">
        <v>2973</v>
      </c>
      <c r="AB38" s="582" t="str">
        <f>IF('合并资产负债表 '!V39&gt;0,"增加",IF('合并资产负债表 '!V39=0,"无变化","减少"))</f>
        <v>无变化</v>
      </c>
      <c r="AC38" s="582" t="s">
        <v>2912</v>
      </c>
      <c r="AD38" s="582" t="s">
        <v>3095</v>
      </c>
      <c r="AE38" s="582" t="str">
        <f>IF('合并资产负债表 '!V39&gt;0,"增幅",IF('合并资产负债表 '!V39=0,"无变化","降幅"))</f>
        <v>无变化</v>
      </c>
      <c r="AF38" s="162" t="s">
        <v>3034</v>
      </c>
    </row>
    <row r="39" spans="1:32" ht="25.5">
      <c r="A39" s="28" t="s">
        <v>246</v>
      </c>
      <c r="B39" s="129" t="s">
        <v>9</v>
      </c>
      <c r="C39" s="176" t="s">
        <v>487</v>
      </c>
      <c r="D39" s="176" t="s">
        <v>559</v>
      </c>
      <c r="E39" s="176" t="s">
        <v>633</v>
      </c>
      <c r="F39" s="178" t="s">
        <v>707</v>
      </c>
      <c r="G39" s="161" t="s">
        <v>1809</v>
      </c>
      <c r="H39" s="158" t="s">
        <v>1866</v>
      </c>
      <c r="I39" s="158" t="s">
        <v>1925</v>
      </c>
      <c r="J39" s="162" t="s">
        <v>1984</v>
      </c>
      <c r="K39" s="161" t="s">
        <v>2043</v>
      </c>
      <c r="L39" s="158" t="s">
        <v>2102</v>
      </c>
      <c r="M39" s="158" t="s">
        <v>2163</v>
      </c>
      <c r="N39" s="440" t="s">
        <v>2224</v>
      </c>
      <c r="O39" s="161" t="s">
        <v>2424</v>
      </c>
      <c r="P39" s="158" t="str">
        <f>IF('合并资产负债表 '!R40&gt;0,"增加",IF('合并资产负债表 '!R40=0,"无变化","减少"))</f>
        <v>无变化</v>
      </c>
      <c r="Q39" s="158" t="s">
        <v>2485</v>
      </c>
      <c r="R39" s="158" t="s">
        <v>2608</v>
      </c>
      <c r="S39" s="158" t="str">
        <f>IF('合并资产负债表 '!R40&gt;0,"增幅",IF('合并资产负债表 '!R40=0,"无变化","降幅"))</f>
        <v>无变化</v>
      </c>
      <c r="T39" s="162" t="s">
        <v>2547</v>
      </c>
      <c r="U39" s="581" t="s">
        <v>2730</v>
      </c>
      <c r="V39" s="582" t="str">
        <f>IF('合并资产负债表 '!T40&gt;0,"增加",IF('合并资产负债表 '!T40=0,"无变化","减少"))</f>
        <v>无变化</v>
      </c>
      <c r="W39" s="582" t="s">
        <v>2669</v>
      </c>
      <c r="X39" s="582" t="s">
        <v>2852</v>
      </c>
      <c r="Y39" s="582" t="str">
        <f>IF('合并资产负债表 '!T40&gt;0,"增幅",IF('合并资产负债表 '!T40=0,"无变化","降幅"))</f>
        <v>无变化</v>
      </c>
      <c r="Z39" s="162" t="s">
        <v>2791</v>
      </c>
      <c r="AA39" s="581" t="s">
        <v>2974</v>
      </c>
      <c r="AB39" s="582" t="str">
        <f>IF('合并资产负债表 '!V40&gt;0,"增加",IF('合并资产负债表 '!V40=0,"无变化","减少"))</f>
        <v>无变化</v>
      </c>
      <c r="AC39" s="582" t="s">
        <v>2913</v>
      </c>
      <c r="AD39" s="582" t="s">
        <v>3096</v>
      </c>
      <c r="AE39" s="582" t="str">
        <f>IF('合并资产负债表 '!V40&gt;0,"增幅",IF('合并资产负债表 '!V40=0,"无变化","降幅"))</f>
        <v>无变化</v>
      </c>
      <c r="AF39" s="162" t="s">
        <v>3035</v>
      </c>
    </row>
    <row r="40" spans="1:32">
      <c r="A40" s="28" t="s">
        <v>247</v>
      </c>
      <c r="B40" s="129" t="s">
        <v>10</v>
      </c>
      <c r="C40" s="176" t="s">
        <v>488</v>
      </c>
      <c r="D40" s="176" t="s">
        <v>560</v>
      </c>
      <c r="E40" s="176" t="s">
        <v>634</v>
      </c>
      <c r="F40" s="178" t="s">
        <v>708</v>
      </c>
      <c r="G40" s="161" t="s">
        <v>1810</v>
      </c>
      <c r="H40" s="158" t="s">
        <v>1867</v>
      </c>
      <c r="I40" s="158" t="s">
        <v>1926</v>
      </c>
      <c r="J40" s="162" t="s">
        <v>1985</v>
      </c>
      <c r="K40" s="161" t="s">
        <v>2044</v>
      </c>
      <c r="L40" s="158" t="s">
        <v>2103</v>
      </c>
      <c r="M40" s="158" t="s">
        <v>2164</v>
      </c>
      <c r="N40" s="440" t="s">
        <v>2225</v>
      </c>
      <c r="O40" s="161" t="s">
        <v>2425</v>
      </c>
      <c r="P40" s="158" t="str">
        <f>IF('合并资产负债表 '!R41&gt;0,"增加",IF('合并资产负债表 '!R41=0,"无变化","减少"))</f>
        <v>无变化</v>
      </c>
      <c r="Q40" s="158" t="s">
        <v>2486</v>
      </c>
      <c r="R40" s="158" t="s">
        <v>2609</v>
      </c>
      <c r="S40" s="158" t="str">
        <f>IF('合并资产负债表 '!R41&gt;0,"增幅",IF('合并资产负债表 '!R41=0,"无变化","降幅"))</f>
        <v>无变化</v>
      </c>
      <c r="T40" s="162" t="s">
        <v>2548</v>
      </c>
      <c r="U40" s="581" t="s">
        <v>2731</v>
      </c>
      <c r="V40" s="582" t="str">
        <f>IF('合并资产负债表 '!T41&gt;0,"增加",IF('合并资产负债表 '!T41=0,"无变化","减少"))</f>
        <v>无变化</v>
      </c>
      <c r="W40" s="582" t="s">
        <v>2670</v>
      </c>
      <c r="X40" s="582" t="s">
        <v>2853</v>
      </c>
      <c r="Y40" s="582" t="str">
        <f>IF('合并资产负债表 '!T41&gt;0,"增幅",IF('合并资产负债表 '!T41=0,"无变化","降幅"))</f>
        <v>无变化</v>
      </c>
      <c r="Z40" s="162" t="s">
        <v>2792</v>
      </c>
      <c r="AA40" s="581" t="s">
        <v>2975</v>
      </c>
      <c r="AB40" s="582" t="str">
        <f>IF('合并资产负债表 '!V41&gt;0,"增加",IF('合并资产负债表 '!V41=0,"无变化","减少"))</f>
        <v>无变化</v>
      </c>
      <c r="AC40" s="582" t="s">
        <v>2914</v>
      </c>
      <c r="AD40" s="582" t="s">
        <v>3097</v>
      </c>
      <c r="AE40" s="582" t="str">
        <f>IF('合并资产负债表 '!V41&gt;0,"增幅",IF('合并资产负债表 '!V41=0,"无变化","降幅"))</f>
        <v>无变化</v>
      </c>
      <c r="AF40" s="162" t="s">
        <v>3036</v>
      </c>
    </row>
    <row r="41" spans="1:32">
      <c r="A41" s="28" t="s">
        <v>248</v>
      </c>
      <c r="B41" s="71" t="s">
        <v>162</v>
      </c>
      <c r="C41" s="176" t="s">
        <v>489</v>
      </c>
      <c r="D41" s="176" t="s">
        <v>561</v>
      </c>
      <c r="E41" s="176" t="s">
        <v>635</v>
      </c>
      <c r="F41" s="178" t="s">
        <v>709</v>
      </c>
      <c r="G41" s="161" t="s">
        <v>1811</v>
      </c>
      <c r="H41" s="158" t="s">
        <v>1868</v>
      </c>
      <c r="I41" s="158" t="s">
        <v>1927</v>
      </c>
      <c r="J41" s="162" t="s">
        <v>1986</v>
      </c>
      <c r="K41" s="161" t="s">
        <v>2045</v>
      </c>
      <c r="L41" s="158" t="s">
        <v>2104</v>
      </c>
      <c r="M41" s="158" t="s">
        <v>2165</v>
      </c>
      <c r="N41" s="440" t="s">
        <v>2226</v>
      </c>
      <c r="O41" s="161" t="s">
        <v>2426</v>
      </c>
      <c r="P41" s="158" t="str">
        <f>IF('合并资产负债表 '!R42&gt;0,"增加",IF('合并资产负债表 '!R42=0,"无变化","减少"))</f>
        <v>无变化</v>
      </c>
      <c r="Q41" s="158" t="s">
        <v>2487</v>
      </c>
      <c r="R41" s="158" t="s">
        <v>2610</v>
      </c>
      <c r="S41" s="158" t="str">
        <f>IF('合并资产负债表 '!R42&gt;0,"增幅",IF('合并资产负债表 '!R42=0,"无变化","降幅"))</f>
        <v>无变化</v>
      </c>
      <c r="T41" s="162" t="s">
        <v>2549</v>
      </c>
      <c r="U41" s="581" t="s">
        <v>2732</v>
      </c>
      <c r="V41" s="582" t="str">
        <f>IF('合并资产负债表 '!T42&gt;0,"增加",IF('合并资产负债表 '!T42=0,"无变化","减少"))</f>
        <v>无变化</v>
      </c>
      <c r="W41" s="582" t="s">
        <v>2671</v>
      </c>
      <c r="X41" s="582" t="s">
        <v>2854</v>
      </c>
      <c r="Y41" s="582" t="str">
        <f>IF('合并资产负债表 '!T42&gt;0,"增幅",IF('合并资产负债表 '!T42=0,"无变化","降幅"))</f>
        <v>无变化</v>
      </c>
      <c r="Z41" s="162" t="s">
        <v>2793</v>
      </c>
      <c r="AA41" s="581" t="s">
        <v>2976</v>
      </c>
      <c r="AB41" s="582" t="str">
        <f>IF('合并资产负债表 '!V42&gt;0,"增加",IF('合并资产负债表 '!V42=0,"无变化","减少"))</f>
        <v>无变化</v>
      </c>
      <c r="AC41" s="582" t="s">
        <v>2915</v>
      </c>
      <c r="AD41" s="582" t="s">
        <v>3098</v>
      </c>
      <c r="AE41" s="582" t="str">
        <f>IF('合并资产负债表 '!V42&gt;0,"增幅",IF('合并资产负债表 '!V42=0,"无变化","降幅"))</f>
        <v>无变化</v>
      </c>
      <c r="AF41" s="162" t="s">
        <v>3037</v>
      </c>
    </row>
    <row r="42" spans="1:32">
      <c r="A42" s="28" t="s">
        <v>249</v>
      </c>
      <c r="B42" s="71" t="s">
        <v>163</v>
      </c>
      <c r="C42" s="176" t="s">
        <v>490</v>
      </c>
      <c r="D42" s="176" t="s">
        <v>562</v>
      </c>
      <c r="E42" s="176" t="s">
        <v>636</v>
      </c>
      <c r="F42" s="178" t="s">
        <v>710</v>
      </c>
      <c r="G42" s="161" t="s">
        <v>1812</v>
      </c>
      <c r="H42" s="158" t="s">
        <v>1869</v>
      </c>
      <c r="I42" s="158" t="s">
        <v>1928</v>
      </c>
      <c r="J42" s="162" t="s">
        <v>1987</v>
      </c>
      <c r="K42" s="161" t="s">
        <v>2046</v>
      </c>
      <c r="L42" s="158" t="s">
        <v>2105</v>
      </c>
      <c r="M42" s="158" t="s">
        <v>2166</v>
      </c>
      <c r="N42" s="440" t="s">
        <v>2227</v>
      </c>
      <c r="O42" s="161" t="s">
        <v>2427</v>
      </c>
      <c r="P42" s="158" t="str">
        <f>IF('合并资产负债表 '!R43&gt;0,"增加",IF('合并资产负债表 '!R43=0,"无变化","减少"))</f>
        <v>无变化</v>
      </c>
      <c r="Q42" s="158" t="s">
        <v>2488</v>
      </c>
      <c r="R42" s="158" t="s">
        <v>2611</v>
      </c>
      <c r="S42" s="158" t="str">
        <f>IF('合并资产负债表 '!R43&gt;0,"增幅",IF('合并资产负债表 '!R43=0,"无变化","降幅"))</f>
        <v>无变化</v>
      </c>
      <c r="T42" s="162" t="s">
        <v>2550</v>
      </c>
      <c r="U42" s="581" t="s">
        <v>2733</v>
      </c>
      <c r="V42" s="582" t="str">
        <f>IF('合并资产负债表 '!T43&gt;0,"增加",IF('合并资产负债表 '!T43=0,"无变化","减少"))</f>
        <v>无变化</v>
      </c>
      <c r="W42" s="582" t="s">
        <v>2672</v>
      </c>
      <c r="X42" s="582" t="s">
        <v>2855</v>
      </c>
      <c r="Y42" s="582" t="str">
        <f>IF('合并资产负债表 '!T43&gt;0,"增幅",IF('合并资产负债表 '!T43=0,"无变化","降幅"))</f>
        <v>无变化</v>
      </c>
      <c r="Z42" s="162" t="s">
        <v>2794</v>
      </c>
      <c r="AA42" s="581" t="s">
        <v>2977</v>
      </c>
      <c r="AB42" s="582" t="str">
        <f>IF('合并资产负债表 '!V43&gt;0,"增加",IF('合并资产负债表 '!V43=0,"无变化","减少"))</f>
        <v>无变化</v>
      </c>
      <c r="AC42" s="582" t="s">
        <v>2916</v>
      </c>
      <c r="AD42" s="582" t="s">
        <v>3099</v>
      </c>
      <c r="AE42" s="582" t="str">
        <f>IF('合并资产负债表 '!V43&gt;0,"增幅",IF('合并资产负债表 '!V43=0,"无变化","降幅"))</f>
        <v>无变化</v>
      </c>
      <c r="AF42" s="162" t="s">
        <v>3038</v>
      </c>
    </row>
    <row r="43" spans="1:32">
      <c r="A43" s="28" t="s">
        <v>250</v>
      </c>
      <c r="B43" s="71" t="s">
        <v>56</v>
      </c>
      <c r="C43" s="176" t="s">
        <v>491</v>
      </c>
      <c r="D43" s="176" t="s">
        <v>563</v>
      </c>
      <c r="E43" s="176" t="s">
        <v>637</v>
      </c>
      <c r="F43" s="178" t="s">
        <v>711</v>
      </c>
      <c r="G43" s="161" t="s">
        <v>1813</v>
      </c>
      <c r="H43" s="158" t="s">
        <v>1870</v>
      </c>
      <c r="I43" s="158" t="s">
        <v>1929</v>
      </c>
      <c r="J43" s="162" t="s">
        <v>1988</v>
      </c>
      <c r="K43" s="161" t="s">
        <v>2047</v>
      </c>
      <c r="L43" s="158" t="s">
        <v>2106</v>
      </c>
      <c r="M43" s="158" t="s">
        <v>2167</v>
      </c>
      <c r="N43" s="440" t="s">
        <v>2228</v>
      </c>
      <c r="O43" s="161" t="s">
        <v>2428</v>
      </c>
      <c r="P43" s="158" t="str">
        <f>IF('合并资产负债表 '!R44&gt;0,"增加",IF('合并资产负债表 '!R44=0,"无变化","减少"))</f>
        <v>无变化</v>
      </c>
      <c r="Q43" s="158" t="s">
        <v>2489</v>
      </c>
      <c r="R43" s="158" t="s">
        <v>2612</v>
      </c>
      <c r="S43" s="158" t="str">
        <f>IF('合并资产负债表 '!R44&gt;0,"增幅",IF('合并资产负债表 '!R44=0,"无变化","降幅"))</f>
        <v>无变化</v>
      </c>
      <c r="T43" s="162" t="s">
        <v>2551</v>
      </c>
      <c r="U43" s="581" t="s">
        <v>2734</v>
      </c>
      <c r="V43" s="582" t="str">
        <f>IF('合并资产负债表 '!T44&gt;0,"增加",IF('合并资产负债表 '!T44=0,"无变化","减少"))</f>
        <v>无变化</v>
      </c>
      <c r="W43" s="582" t="s">
        <v>2673</v>
      </c>
      <c r="X43" s="582" t="s">
        <v>2856</v>
      </c>
      <c r="Y43" s="582" t="str">
        <f>IF('合并资产负债表 '!T44&gt;0,"增幅",IF('合并资产负债表 '!T44=0,"无变化","降幅"))</f>
        <v>无变化</v>
      </c>
      <c r="Z43" s="162" t="s">
        <v>2795</v>
      </c>
      <c r="AA43" s="581" t="s">
        <v>2978</v>
      </c>
      <c r="AB43" s="582" t="str">
        <f>IF('合并资产负债表 '!V44&gt;0,"增加",IF('合并资产负债表 '!V44=0,"无变化","减少"))</f>
        <v>无变化</v>
      </c>
      <c r="AC43" s="582" t="s">
        <v>2917</v>
      </c>
      <c r="AD43" s="582" t="s">
        <v>3100</v>
      </c>
      <c r="AE43" s="582" t="str">
        <f>IF('合并资产负债表 '!V44&gt;0,"增幅",IF('合并资产负债表 '!V44=0,"无变化","降幅"))</f>
        <v>无变化</v>
      </c>
      <c r="AF43" s="162" t="s">
        <v>3039</v>
      </c>
    </row>
    <row r="44" spans="1:32">
      <c r="A44" s="28" t="s">
        <v>251</v>
      </c>
      <c r="B44" s="71" t="s">
        <v>57</v>
      </c>
      <c r="C44" s="176" t="s">
        <v>492</v>
      </c>
      <c r="D44" s="176" t="s">
        <v>564</v>
      </c>
      <c r="E44" s="176" t="s">
        <v>638</v>
      </c>
      <c r="F44" s="178" t="s">
        <v>712</v>
      </c>
      <c r="G44" s="161" t="s">
        <v>1814</v>
      </c>
      <c r="H44" s="158" t="s">
        <v>1871</v>
      </c>
      <c r="I44" s="158" t="s">
        <v>1930</v>
      </c>
      <c r="J44" s="162" t="s">
        <v>1989</v>
      </c>
      <c r="K44" s="161" t="s">
        <v>2048</v>
      </c>
      <c r="L44" s="158" t="s">
        <v>2107</v>
      </c>
      <c r="M44" s="158" t="s">
        <v>2168</v>
      </c>
      <c r="N44" s="440" t="s">
        <v>2229</v>
      </c>
      <c r="O44" s="161" t="s">
        <v>2429</v>
      </c>
      <c r="P44" s="158" t="str">
        <f>IF('合并资产负债表 '!R45&gt;0,"增加",IF('合并资产负债表 '!R45=0,"无变化","减少"))</f>
        <v>无变化</v>
      </c>
      <c r="Q44" s="158" t="s">
        <v>2490</v>
      </c>
      <c r="R44" s="158" t="s">
        <v>2613</v>
      </c>
      <c r="S44" s="158" t="str">
        <f>IF('合并资产负债表 '!R45&gt;0,"增幅",IF('合并资产负债表 '!R45=0,"无变化","降幅"))</f>
        <v>无变化</v>
      </c>
      <c r="T44" s="162" t="s">
        <v>2552</v>
      </c>
      <c r="U44" s="581" t="s">
        <v>2735</v>
      </c>
      <c r="V44" s="582" t="str">
        <f>IF('合并资产负债表 '!T45&gt;0,"增加",IF('合并资产负债表 '!T45=0,"无变化","减少"))</f>
        <v>无变化</v>
      </c>
      <c r="W44" s="582" t="s">
        <v>2674</v>
      </c>
      <c r="X44" s="582" t="s">
        <v>2857</v>
      </c>
      <c r="Y44" s="582" t="str">
        <f>IF('合并资产负债表 '!T45&gt;0,"增幅",IF('合并资产负债表 '!T45=0,"无变化","降幅"))</f>
        <v>无变化</v>
      </c>
      <c r="Z44" s="162" t="s">
        <v>2796</v>
      </c>
      <c r="AA44" s="581" t="s">
        <v>2979</v>
      </c>
      <c r="AB44" s="582" t="str">
        <f>IF('合并资产负债表 '!V45&gt;0,"增加",IF('合并资产负债表 '!V45=0,"无变化","减少"))</f>
        <v>无变化</v>
      </c>
      <c r="AC44" s="582" t="s">
        <v>2918</v>
      </c>
      <c r="AD44" s="582" t="s">
        <v>3101</v>
      </c>
      <c r="AE44" s="582" t="str">
        <f>IF('合并资产负债表 '!V45&gt;0,"增幅",IF('合并资产负债表 '!V45=0,"无变化","降幅"))</f>
        <v>无变化</v>
      </c>
      <c r="AF44" s="162" t="s">
        <v>3040</v>
      </c>
    </row>
    <row r="45" spans="1:32">
      <c r="A45" s="28" t="s">
        <v>252</v>
      </c>
      <c r="B45" s="71" t="s">
        <v>58</v>
      </c>
      <c r="C45" s="176" t="s">
        <v>493</v>
      </c>
      <c r="D45" s="176" t="s">
        <v>565</v>
      </c>
      <c r="E45" s="176" t="s">
        <v>639</v>
      </c>
      <c r="F45" s="178" t="s">
        <v>713</v>
      </c>
      <c r="G45" s="161" t="s">
        <v>1815</v>
      </c>
      <c r="H45" s="158" t="s">
        <v>1872</v>
      </c>
      <c r="I45" s="158" t="s">
        <v>1931</v>
      </c>
      <c r="J45" s="162" t="s">
        <v>1990</v>
      </c>
      <c r="K45" s="161" t="s">
        <v>2049</v>
      </c>
      <c r="L45" s="158" t="s">
        <v>2108</v>
      </c>
      <c r="M45" s="158" t="s">
        <v>2169</v>
      </c>
      <c r="N45" s="440" t="s">
        <v>2230</v>
      </c>
      <c r="O45" s="161" t="s">
        <v>2430</v>
      </c>
      <c r="P45" s="158" t="str">
        <f>IF('合并资产负债表 '!R46&gt;0,"增加",IF('合并资产负债表 '!R46=0,"无变化","减少"))</f>
        <v>无变化</v>
      </c>
      <c r="Q45" s="158" t="s">
        <v>2491</v>
      </c>
      <c r="R45" s="158" t="s">
        <v>2614</v>
      </c>
      <c r="S45" s="158" t="str">
        <f>IF('合并资产负债表 '!R46&gt;0,"增幅",IF('合并资产负债表 '!R46=0,"无变化","降幅"))</f>
        <v>无变化</v>
      </c>
      <c r="T45" s="162" t="s">
        <v>2553</v>
      </c>
      <c r="U45" s="581" t="s">
        <v>2736</v>
      </c>
      <c r="V45" s="582" t="str">
        <f>IF('合并资产负债表 '!T46&gt;0,"增加",IF('合并资产负债表 '!T46=0,"无变化","减少"))</f>
        <v>无变化</v>
      </c>
      <c r="W45" s="582" t="s">
        <v>2675</v>
      </c>
      <c r="X45" s="582" t="s">
        <v>2858</v>
      </c>
      <c r="Y45" s="582" t="str">
        <f>IF('合并资产负债表 '!T46&gt;0,"增幅",IF('合并资产负债表 '!T46=0,"无变化","降幅"))</f>
        <v>无变化</v>
      </c>
      <c r="Z45" s="162" t="s">
        <v>2797</v>
      </c>
      <c r="AA45" s="581" t="s">
        <v>2980</v>
      </c>
      <c r="AB45" s="582" t="str">
        <f>IF('合并资产负债表 '!V46&gt;0,"增加",IF('合并资产负债表 '!V46=0,"无变化","减少"))</f>
        <v>无变化</v>
      </c>
      <c r="AC45" s="582" t="s">
        <v>2919</v>
      </c>
      <c r="AD45" s="582" t="s">
        <v>3102</v>
      </c>
      <c r="AE45" s="582" t="str">
        <f>IF('合并资产负债表 '!V46&gt;0,"增幅",IF('合并资产负债表 '!V46=0,"无变化","降幅"))</f>
        <v>无变化</v>
      </c>
      <c r="AF45" s="162" t="s">
        <v>3041</v>
      </c>
    </row>
    <row r="46" spans="1:32">
      <c r="A46" s="28" t="s">
        <v>253</v>
      </c>
      <c r="B46" s="71" t="s">
        <v>59</v>
      </c>
      <c r="C46" s="176" t="s">
        <v>494</v>
      </c>
      <c r="D46" s="176" t="s">
        <v>566</v>
      </c>
      <c r="E46" s="176" t="s">
        <v>640</v>
      </c>
      <c r="F46" s="178" t="s">
        <v>640</v>
      </c>
      <c r="G46" s="161" t="s">
        <v>1816</v>
      </c>
      <c r="H46" s="158" t="s">
        <v>1873</v>
      </c>
      <c r="I46" s="158" t="s">
        <v>1932</v>
      </c>
      <c r="J46" s="162" t="s">
        <v>1932</v>
      </c>
      <c r="K46" s="161" t="s">
        <v>2050</v>
      </c>
      <c r="L46" s="158" t="s">
        <v>2109</v>
      </c>
      <c r="M46" s="158" t="s">
        <v>2170</v>
      </c>
      <c r="N46" s="440" t="s">
        <v>2170</v>
      </c>
      <c r="O46" s="161" t="s">
        <v>2431</v>
      </c>
      <c r="P46" s="158" t="str">
        <f>IF('合并资产负债表 '!R47&gt;0,"增加",IF('合并资产负债表 '!R47=0,"无变化","减少"))</f>
        <v>无变化</v>
      </c>
      <c r="Q46" s="158" t="s">
        <v>2492</v>
      </c>
      <c r="R46" s="158" t="s">
        <v>2615</v>
      </c>
      <c r="S46" s="158" t="str">
        <f>IF('合并资产负债表 '!R47&gt;0,"增幅",IF('合并资产负债表 '!R47=0,"无变化","降幅"))</f>
        <v>无变化</v>
      </c>
      <c r="T46" s="162" t="s">
        <v>2554</v>
      </c>
      <c r="U46" s="581" t="s">
        <v>2737</v>
      </c>
      <c r="V46" s="582" t="str">
        <f>IF('合并资产负债表 '!T47&gt;0,"增加",IF('合并资产负债表 '!T47=0,"无变化","减少"))</f>
        <v>无变化</v>
      </c>
      <c r="W46" s="582" t="s">
        <v>2676</v>
      </c>
      <c r="X46" s="582" t="s">
        <v>2859</v>
      </c>
      <c r="Y46" s="582" t="str">
        <f>IF('合并资产负债表 '!T47&gt;0,"增幅",IF('合并资产负债表 '!T47=0,"无变化","降幅"))</f>
        <v>无变化</v>
      </c>
      <c r="Z46" s="162" t="s">
        <v>2798</v>
      </c>
      <c r="AA46" s="581" t="s">
        <v>2981</v>
      </c>
      <c r="AB46" s="582" t="str">
        <f>IF('合并资产负债表 '!V47&gt;0,"增加",IF('合并资产负债表 '!V47=0,"无变化","减少"))</f>
        <v>无变化</v>
      </c>
      <c r="AC46" s="582" t="s">
        <v>2920</v>
      </c>
      <c r="AD46" s="582" t="s">
        <v>3103</v>
      </c>
      <c r="AE46" s="582" t="str">
        <f>IF('合并资产负债表 '!V47&gt;0,"增幅",IF('合并资产负债表 '!V47=0,"无变化","降幅"))</f>
        <v>无变化</v>
      </c>
      <c r="AF46" s="162" t="s">
        <v>3042</v>
      </c>
    </row>
    <row r="47" spans="1:32">
      <c r="A47" s="28" t="s">
        <v>254</v>
      </c>
      <c r="B47" s="136" t="s">
        <v>164</v>
      </c>
      <c r="C47" s="180" t="s">
        <v>495</v>
      </c>
      <c r="D47" s="180" t="s">
        <v>567</v>
      </c>
      <c r="E47" s="180" t="s">
        <v>641</v>
      </c>
      <c r="F47" s="181" t="s">
        <v>714</v>
      </c>
      <c r="G47" s="163" t="s">
        <v>1817</v>
      </c>
      <c r="H47" s="159" t="s">
        <v>1874</v>
      </c>
      <c r="I47" s="159" t="s">
        <v>1933</v>
      </c>
      <c r="J47" s="164" t="s">
        <v>1991</v>
      </c>
      <c r="K47" s="163" t="s">
        <v>2051</v>
      </c>
      <c r="L47" s="159" t="s">
        <v>2110</v>
      </c>
      <c r="M47" s="159" t="s">
        <v>2171</v>
      </c>
      <c r="N47" s="441" t="s">
        <v>2231</v>
      </c>
      <c r="O47" s="163" t="s">
        <v>2432</v>
      </c>
      <c r="P47" s="159" t="str">
        <f>IF('合并资产负债表 '!R48&gt;0,"增加",IF('合并资产负债表 '!R48=0,"无变化","减少"))</f>
        <v>无变化</v>
      </c>
      <c r="Q47" s="159" t="s">
        <v>2493</v>
      </c>
      <c r="R47" s="159" t="s">
        <v>2616</v>
      </c>
      <c r="S47" s="159" t="str">
        <f>IF('合并资产负债表 '!R48&gt;0,"增幅",IF('合并资产负债表 '!R48=0,"无变化","降幅"))</f>
        <v>无变化</v>
      </c>
      <c r="T47" s="164" t="s">
        <v>2555</v>
      </c>
      <c r="U47" s="163" t="s">
        <v>2738</v>
      </c>
      <c r="V47" s="159" t="str">
        <f>IF('合并资产负债表 '!T48&gt;0,"增加",IF('合并资产负债表 '!T48=0,"无变化","减少"))</f>
        <v>无变化</v>
      </c>
      <c r="W47" s="159" t="s">
        <v>2677</v>
      </c>
      <c r="X47" s="159" t="s">
        <v>2860</v>
      </c>
      <c r="Y47" s="159" t="str">
        <f>IF('合并资产负债表 '!T48&gt;0,"增幅",IF('合并资产负债表 '!T48=0,"无变化","降幅"))</f>
        <v>无变化</v>
      </c>
      <c r="Z47" s="164" t="s">
        <v>2799</v>
      </c>
      <c r="AA47" s="163" t="s">
        <v>2982</v>
      </c>
      <c r="AB47" s="159" t="str">
        <f>IF('合并资产负债表 '!V48&gt;0,"增加",IF('合并资产负债表 '!V48=0,"无变化","减少"))</f>
        <v>无变化</v>
      </c>
      <c r="AC47" s="159" t="s">
        <v>2921</v>
      </c>
      <c r="AD47" s="159" t="s">
        <v>3104</v>
      </c>
      <c r="AE47" s="159" t="str">
        <f>IF('合并资产负债表 '!V48&gt;0,"增幅",IF('合并资产负债表 '!V48=0,"无变化","降幅"))</f>
        <v>无变化</v>
      </c>
      <c r="AF47" s="164" t="s">
        <v>3043</v>
      </c>
    </row>
    <row r="48" spans="1:32">
      <c r="A48" s="28" t="s">
        <v>255</v>
      </c>
      <c r="B48" s="136" t="s">
        <v>211</v>
      </c>
      <c r="C48" s="180" t="s">
        <v>496</v>
      </c>
      <c r="D48" s="180" t="s">
        <v>568</v>
      </c>
      <c r="E48" s="180" t="s">
        <v>642</v>
      </c>
      <c r="F48" s="181" t="s">
        <v>715</v>
      </c>
      <c r="G48" s="163" t="s">
        <v>1818</v>
      </c>
      <c r="H48" s="159" t="s">
        <v>1875</v>
      </c>
      <c r="I48" s="159" t="s">
        <v>1934</v>
      </c>
      <c r="J48" s="164" t="s">
        <v>1992</v>
      </c>
      <c r="K48" s="163" t="s">
        <v>2052</v>
      </c>
      <c r="L48" s="159" t="s">
        <v>2111</v>
      </c>
      <c r="M48" s="159" t="s">
        <v>2172</v>
      </c>
      <c r="N48" s="441" t="s">
        <v>2232</v>
      </c>
      <c r="O48" s="163" t="s">
        <v>2433</v>
      </c>
      <c r="P48" s="159" t="str">
        <f>IF('合并资产负债表 '!R49&gt;0,"增加",IF('合并资产负债表 '!R49=0,"无变化","减少"))</f>
        <v>无变化</v>
      </c>
      <c r="Q48" s="159" t="s">
        <v>2494</v>
      </c>
      <c r="R48" s="159" t="s">
        <v>2617</v>
      </c>
      <c r="S48" s="159" t="str">
        <f>IF('合并资产负债表 '!R49&gt;0,"增幅",IF('合并资产负债表 '!R49=0,"无变化","降幅"))</f>
        <v>无变化</v>
      </c>
      <c r="T48" s="164" t="s">
        <v>2556</v>
      </c>
      <c r="U48" s="163" t="s">
        <v>2739</v>
      </c>
      <c r="V48" s="159" t="str">
        <f>IF('合并资产负债表 '!T49&gt;0,"增加",IF('合并资产负债表 '!T49=0,"无变化","减少"))</f>
        <v>无变化</v>
      </c>
      <c r="W48" s="159" t="s">
        <v>2678</v>
      </c>
      <c r="X48" s="159" t="s">
        <v>2861</v>
      </c>
      <c r="Y48" s="159" t="str">
        <f>IF('合并资产负债表 '!T49&gt;0,"增幅",IF('合并资产负债表 '!T49=0,"无变化","降幅"))</f>
        <v>无变化</v>
      </c>
      <c r="Z48" s="164" t="s">
        <v>2800</v>
      </c>
      <c r="AA48" s="163" t="s">
        <v>2983</v>
      </c>
      <c r="AB48" s="159" t="str">
        <f>IF('合并资产负债表 '!V49&gt;0,"增加",IF('合并资产负债表 '!V49=0,"无变化","减少"))</f>
        <v>无变化</v>
      </c>
      <c r="AC48" s="159" t="s">
        <v>2922</v>
      </c>
      <c r="AD48" s="159" t="s">
        <v>3105</v>
      </c>
      <c r="AE48" s="159" t="str">
        <f>IF('合并资产负债表 '!V49&gt;0,"增幅",IF('合并资产负债表 '!V49=0,"无变化","降幅"))</f>
        <v>无变化</v>
      </c>
      <c r="AF48" s="164" t="s">
        <v>3044</v>
      </c>
    </row>
    <row r="49" spans="1:32">
      <c r="A49" s="28" t="s">
        <v>256</v>
      </c>
      <c r="B49" s="136" t="s">
        <v>212</v>
      </c>
      <c r="C49" s="180" t="s">
        <v>497</v>
      </c>
      <c r="D49" s="180" t="s">
        <v>569</v>
      </c>
      <c r="E49" s="180" t="s">
        <v>643</v>
      </c>
      <c r="F49" s="181" t="s">
        <v>716</v>
      </c>
      <c r="G49" s="163" t="s">
        <v>1819</v>
      </c>
      <c r="H49" s="159" t="s">
        <v>1876</v>
      </c>
      <c r="I49" s="159" t="s">
        <v>1935</v>
      </c>
      <c r="J49" s="164" t="s">
        <v>1993</v>
      </c>
      <c r="K49" s="163" t="s">
        <v>2053</v>
      </c>
      <c r="L49" s="159" t="s">
        <v>2112</v>
      </c>
      <c r="M49" s="159" t="s">
        <v>2173</v>
      </c>
      <c r="N49" s="441" t="s">
        <v>2233</v>
      </c>
      <c r="O49" s="163" t="s">
        <v>2434</v>
      </c>
      <c r="P49" s="159" t="str">
        <f>IF('合并资产负债表 '!R50&gt;0,"增加",IF('合并资产负债表 '!R50=0,"无变化","减少"))</f>
        <v>无变化</v>
      </c>
      <c r="Q49" s="159" t="s">
        <v>2495</v>
      </c>
      <c r="R49" s="159" t="s">
        <v>2618</v>
      </c>
      <c r="S49" s="159" t="str">
        <f>IF('合并资产负债表 '!R50&gt;0,"增幅",IF('合并资产负债表 '!R50=0,"无变化","降幅"))</f>
        <v>无变化</v>
      </c>
      <c r="T49" s="164" t="s">
        <v>2557</v>
      </c>
      <c r="U49" s="163" t="s">
        <v>2740</v>
      </c>
      <c r="V49" s="159" t="str">
        <f>IF('合并资产负债表 '!T50&gt;0,"增加",IF('合并资产负债表 '!T50=0,"无变化","减少"))</f>
        <v>无变化</v>
      </c>
      <c r="W49" s="159" t="s">
        <v>2679</v>
      </c>
      <c r="X49" s="159" t="s">
        <v>2862</v>
      </c>
      <c r="Y49" s="159" t="str">
        <f>IF('合并资产负债表 '!T50&gt;0,"增幅",IF('合并资产负债表 '!T50=0,"无变化","降幅"))</f>
        <v>无变化</v>
      </c>
      <c r="Z49" s="164" t="s">
        <v>2801</v>
      </c>
      <c r="AA49" s="163" t="s">
        <v>2984</v>
      </c>
      <c r="AB49" s="159" t="str">
        <f>IF('合并资产负债表 '!V50&gt;0,"增加",IF('合并资产负债表 '!V50=0,"无变化","减少"))</f>
        <v>无变化</v>
      </c>
      <c r="AC49" s="159" t="s">
        <v>2923</v>
      </c>
      <c r="AD49" s="159" t="s">
        <v>3106</v>
      </c>
      <c r="AE49" s="159" t="str">
        <f>IF('合并资产负债表 '!V50&gt;0,"增幅",IF('合并资产负债表 '!V50=0,"无变化","降幅"))</f>
        <v>无变化</v>
      </c>
      <c r="AF49" s="164" t="s">
        <v>3045</v>
      </c>
    </row>
    <row r="50" spans="1:32">
      <c r="A50" s="28" t="s">
        <v>257</v>
      </c>
      <c r="B50" s="71" t="s">
        <v>165</v>
      </c>
      <c r="C50" s="176" t="s">
        <v>498</v>
      </c>
      <c r="D50" s="176" t="s">
        <v>570</v>
      </c>
      <c r="E50" s="176" t="s">
        <v>644</v>
      </c>
      <c r="F50" s="178" t="s">
        <v>717</v>
      </c>
      <c r="G50" s="161" t="s">
        <v>1820</v>
      </c>
      <c r="H50" s="158" t="s">
        <v>1877</v>
      </c>
      <c r="I50" s="158" t="s">
        <v>1936</v>
      </c>
      <c r="J50" s="162" t="s">
        <v>1994</v>
      </c>
      <c r="K50" s="161" t="s">
        <v>2054</v>
      </c>
      <c r="L50" s="158" t="s">
        <v>2113</v>
      </c>
      <c r="M50" s="158" t="s">
        <v>2174</v>
      </c>
      <c r="N50" s="440" t="s">
        <v>2234</v>
      </c>
      <c r="O50" s="161" t="s">
        <v>2435</v>
      </c>
      <c r="P50" s="158" t="str">
        <f>IF('合并资产负债表 '!R51&gt;0,"增加",IF('合并资产负债表 '!R51=0,"无变化","减少"))</f>
        <v>无变化</v>
      </c>
      <c r="Q50" s="158" t="s">
        <v>2496</v>
      </c>
      <c r="R50" s="158" t="s">
        <v>2619</v>
      </c>
      <c r="S50" s="158" t="str">
        <f>IF('合并资产负债表 '!R51&gt;0,"增幅",IF('合并资产负债表 '!R51=0,"无变化","降幅"))</f>
        <v>无变化</v>
      </c>
      <c r="T50" s="162" t="s">
        <v>2558</v>
      </c>
      <c r="U50" s="581" t="s">
        <v>2741</v>
      </c>
      <c r="V50" s="582" t="str">
        <f>IF('合并资产负债表 '!T51&gt;0,"增加",IF('合并资产负债表 '!T51=0,"无变化","减少"))</f>
        <v>无变化</v>
      </c>
      <c r="W50" s="582" t="s">
        <v>2680</v>
      </c>
      <c r="X50" s="582" t="s">
        <v>2863</v>
      </c>
      <c r="Y50" s="582" t="str">
        <f>IF('合并资产负债表 '!T51&gt;0,"增幅",IF('合并资产负债表 '!T51=0,"无变化","降幅"))</f>
        <v>无变化</v>
      </c>
      <c r="Z50" s="162" t="s">
        <v>2802</v>
      </c>
      <c r="AA50" s="581" t="s">
        <v>2985</v>
      </c>
      <c r="AB50" s="582" t="str">
        <f>IF('合并资产负债表 '!V51&gt;0,"增加",IF('合并资产负债表 '!V51=0,"无变化","减少"))</f>
        <v>无变化</v>
      </c>
      <c r="AC50" s="582" t="s">
        <v>2924</v>
      </c>
      <c r="AD50" s="582" t="s">
        <v>3107</v>
      </c>
      <c r="AE50" s="582" t="str">
        <f>IF('合并资产负债表 '!V51&gt;0,"增幅",IF('合并资产负债表 '!V51=0,"无变化","降幅"))</f>
        <v>无变化</v>
      </c>
      <c r="AF50" s="162" t="s">
        <v>3046</v>
      </c>
    </row>
    <row r="51" spans="1:32">
      <c r="A51" s="28" t="s">
        <v>258</v>
      </c>
      <c r="B51" s="71" t="s">
        <v>60</v>
      </c>
      <c r="C51" s="176" t="s">
        <v>499</v>
      </c>
      <c r="D51" s="176" t="s">
        <v>571</v>
      </c>
      <c r="E51" s="176" t="s">
        <v>645</v>
      </c>
      <c r="F51" s="178" t="s">
        <v>718</v>
      </c>
      <c r="G51" s="161" t="s">
        <v>1821</v>
      </c>
      <c r="H51" s="158" t="s">
        <v>1878</v>
      </c>
      <c r="I51" s="158" t="s">
        <v>1937</v>
      </c>
      <c r="J51" s="162" t="s">
        <v>1995</v>
      </c>
      <c r="K51" s="161" t="s">
        <v>2055</v>
      </c>
      <c r="L51" s="158" t="s">
        <v>2114</v>
      </c>
      <c r="M51" s="158" t="s">
        <v>2175</v>
      </c>
      <c r="N51" s="440" t="s">
        <v>2235</v>
      </c>
      <c r="O51" s="161" t="s">
        <v>2436</v>
      </c>
      <c r="P51" s="158" t="str">
        <f>IF('合并资产负债表 '!R52&gt;0,"增加",IF('合并资产负债表 '!R52=0,"无变化","减少"))</f>
        <v>无变化</v>
      </c>
      <c r="Q51" s="158" t="s">
        <v>2497</v>
      </c>
      <c r="R51" s="158" t="s">
        <v>2620</v>
      </c>
      <c r="S51" s="158" t="str">
        <f>IF('合并资产负债表 '!R52&gt;0,"增幅",IF('合并资产负债表 '!R52=0,"无变化","降幅"))</f>
        <v>无变化</v>
      </c>
      <c r="T51" s="162" t="s">
        <v>2559</v>
      </c>
      <c r="U51" s="581" t="s">
        <v>2742</v>
      </c>
      <c r="V51" s="582" t="str">
        <f>IF('合并资产负债表 '!T52&gt;0,"增加",IF('合并资产负债表 '!T52=0,"无变化","减少"))</f>
        <v>无变化</v>
      </c>
      <c r="W51" s="582" t="s">
        <v>2681</v>
      </c>
      <c r="X51" s="582" t="s">
        <v>2864</v>
      </c>
      <c r="Y51" s="582" t="str">
        <f>IF('合并资产负债表 '!T52&gt;0,"增幅",IF('合并资产负债表 '!T52=0,"无变化","降幅"))</f>
        <v>无变化</v>
      </c>
      <c r="Z51" s="162" t="s">
        <v>2803</v>
      </c>
      <c r="AA51" s="581" t="s">
        <v>2986</v>
      </c>
      <c r="AB51" s="582" t="str">
        <f>IF('合并资产负债表 '!V52&gt;0,"增加",IF('合并资产负债表 '!V52=0,"无变化","减少"))</f>
        <v>无变化</v>
      </c>
      <c r="AC51" s="582" t="s">
        <v>2925</v>
      </c>
      <c r="AD51" s="582" t="s">
        <v>3108</v>
      </c>
      <c r="AE51" s="582" t="str">
        <f>IF('合并资产负债表 '!V52&gt;0,"增幅",IF('合并资产负债表 '!V52=0,"无变化","降幅"))</f>
        <v>无变化</v>
      </c>
      <c r="AF51" s="162" t="s">
        <v>3047</v>
      </c>
    </row>
    <row r="52" spans="1:32">
      <c r="A52" s="28" t="s">
        <v>259</v>
      </c>
      <c r="B52" s="71" t="s">
        <v>166</v>
      </c>
      <c r="C52" s="176" t="s">
        <v>500</v>
      </c>
      <c r="D52" s="176" t="s">
        <v>572</v>
      </c>
      <c r="E52" s="176" t="s">
        <v>646</v>
      </c>
      <c r="F52" s="178" t="s">
        <v>719</v>
      </c>
      <c r="G52" s="161" t="s">
        <v>1822</v>
      </c>
      <c r="H52" s="158" t="s">
        <v>1879</v>
      </c>
      <c r="I52" s="158" t="s">
        <v>1938</v>
      </c>
      <c r="J52" s="162" t="s">
        <v>1996</v>
      </c>
      <c r="K52" s="161" t="s">
        <v>2056</v>
      </c>
      <c r="L52" s="158" t="s">
        <v>2115</v>
      </c>
      <c r="M52" s="158" t="s">
        <v>2176</v>
      </c>
      <c r="N52" s="440" t="s">
        <v>2236</v>
      </c>
      <c r="O52" s="161" t="s">
        <v>2437</v>
      </c>
      <c r="P52" s="158" t="str">
        <f>IF('合并资产负债表 '!R53&gt;0,"增加",IF('合并资产负债表 '!R53=0,"无变化","减少"))</f>
        <v>无变化</v>
      </c>
      <c r="Q52" s="158" t="s">
        <v>2498</v>
      </c>
      <c r="R52" s="158" t="s">
        <v>2621</v>
      </c>
      <c r="S52" s="158" t="str">
        <f>IF('合并资产负债表 '!R53&gt;0,"增幅",IF('合并资产负债表 '!R53=0,"无变化","降幅"))</f>
        <v>无变化</v>
      </c>
      <c r="T52" s="162" t="s">
        <v>2560</v>
      </c>
      <c r="U52" s="581" t="s">
        <v>2743</v>
      </c>
      <c r="V52" s="582" t="str">
        <f>IF('合并资产负债表 '!T53&gt;0,"增加",IF('合并资产负债表 '!T53=0,"无变化","减少"))</f>
        <v>无变化</v>
      </c>
      <c r="W52" s="582" t="s">
        <v>2682</v>
      </c>
      <c r="X52" s="582" t="s">
        <v>2865</v>
      </c>
      <c r="Y52" s="582" t="str">
        <f>IF('合并资产负债表 '!T53&gt;0,"增幅",IF('合并资产负债表 '!T53=0,"无变化","降幅"))</f>
        <v>无变化</v>
      </c>
      <c r="Z52" s="162" t="s">
        <v>2804</v>
      </c>
      <c r="AA52" s="581" t="s">
        <v>2987</v>
      </c>
      <c r="AB52" s="582" t="str">
        <f>IF('合并资产负债表 '!V53&gt;0,"增加",IF('合并资产负债表 '!V53=0,"无变化","减少"))</f>
        <v>无变化</v>
      </c>
      <c r="AC52" s="582" t="s">
        <v>2926</v>
      </c>
      <c r="AD52" s="582" t="s">
        <v>3109</v>
      </c>
      <c r="AE52" s="582" t="str">
        <f>IF('合并资产负债表 '!V53&gt;0,"增幅",IF('合并资产负债表 '!V53=0,"无变化","降幅"))</f>
        <v>无变化</v>
      </c>
      <c r="AF52" s="162" t="s">
        <v>3048</v>
      </c>
    </row>
    <row r="53" spans="1:32" s="189" customFormat="1">
      <c r="A53" s="190" t="s">
        <v>260</v>
      </c>
      <c r="B53" s="76" t="s">
        <v>61</v>
      </c>
      <c r="C53" s="182" t="s">
        <v>501</v>
      </c>
      <c r="D53" s="182" t="s">
        <v>573</v>
      </c>
      <c r="E53" s="182" t="s">
        <v>647</v>
      </c>
      <c r="F53" s="183" t="s">
        <v>720</v>
      </c>
      <c r="G53" s="210" t="s">
        <v>1823</v>
      </c>
      <c r="H53" s="160" t="s">
        <v>1880</v>
      </c>
      <c r="I53" s="160" t="s">
        <v>1939</v>
      </c>
      <c r="J53" s="165" t="s">
        <v>1997</v>
      </c>
      <c r="K53" s="210" t="s">
        <v>2057</v>
      </c>
      <c r="L53" s="160" t="s">
        <v>4028</v>
      </c>
      <c r="M53" s="160" t="s">
        <v>2177</v>
      </c>
      <c r="N53" s="202" t="s">
        <v>2237</v>
      </c>
      <c r="O53" s="210" t="s">
        <v>2438</v>
      </c>
      <c r="P53" s="358" t="str">
        <f>IF('合并资产负债表 '!R54&gt;0,"增加",IF('合并资产负债表 '!R54=0,"无变化","减少"))</f>
        <v>无变化</v>
      </c>
      <c r="Q53" s="160" t="s">
        <v>2499</v>
      </c>
      <c r="R53" s="160" t="s">
        <v>2622</v>
      </c>
      <c r="S53" s="358" t="str">
        <f>IF('合并资产负债表 '!R54&gt;0,"增幅",IF('合并资产负债表 '!R54=0,"无变化","降幅"))</f>
        <v>无变化</v>
      </c>
      <c r="T53" s="165" t="s">
        <v>2561</v>
      </c>
      <c r="U53" s="210" t="s">
        <v>2744</v>
      </c>
      <c r="V53" s="358" t="str">
        <f>IF('合并资产负债表 '!T54&gt;0,"增加",IF('合并资产负债表 '!T54=0,"无变化","减少"))</f>
        <v>无变化</v>
      </c>
      <c r="W53" s="160" t="s">
        <v>2683</v>
      </c>
      <c r="X53" s="160" t="s">
        <v>2866</v>
      </c>
      <c r="Y53" s="358" t="str">
        <f>IF('合并资产负债表 '!T54&gt;0,"增幅",IF('合并资产负债表 '!T54=0,"无变化","降幅"))</f>
        <v>无变化</v>
      </c>
      <c r="Z53" s="165" t="s">
        <v>2805</v>
      </c>
      <c r="AA53" s="210" t="s">
        <v>2988</v>
      </c>
      <c r="AB53" s="358" t="str">
        <f>IF('合并资产负债表 '!V54&gt;0,"增加",IF('合并资产负债表 '!V54=0,"无变化","减少"))</f>
        <v>无变化</v>
      </c>
      <c r="AC53" s="160" t="s">
        <v>2927</v>
      </c>
      <c r="AD53" s="160" t="s">
        <v>3110</v>
      </c>
      <c r="AE53" s="358" t="str">
        <f>IF('合并资产负债表 '!V54&gt;0,"增幅",IF('合并资产负债表 '!V54=0,"无变化","降幅"))</f>
        <v>无变化</v>
      </c>
      <c r="AF53" s="165" t="s">
        <v>3049</v>
      </c>
    </row>
    <row r="54" spans="1:32" s="189" customFormat="1" ht="14.25">
      <c r="B54" s="62" t="s">
        <v>106</v>
      </c>
      <c r="C54" s="186"/>
      <c r="D54" s="186"/>
      <c r="E54" s="184"/>
      <c r="F54" s="185"/>
      <c r="G54" s="211"/>
      <c r="H54" s="205"/>
      <c r="I54" s="205"/>
      <c r="J54" s="207"/>
      <c r="K54" s="211"/>
      <c r="L54" s="205"/>
      <c r="M54" s="205"/>
      <c r="N54" s="442"/>
      <c r="O54" s="211"/>
      <c r="P54" s="158"/>
      <c r="Q54" s="205"/>
      <c r="R54" s="205"/>
      <c r="S54" s="158"/>
      <c r="T54" s="207"/>
      <c r="U54" s="211"/>
      <c r="V54" s="582"/>
      <c r="W54" s="205"/>
      <c r="X54" s="205"/>
      <c r="Y54" s="582"/>
      <c r="Z54" s="207"/>
      <c r="AA54" s="211"/>
      <c r="AB54" s="582"/>
      <c r="AC54" s="205"/>
      <c r="AD54" s="205"/>
      <c r="AE54" s="582"/>
      <c r="AF54" s="207"/>
    </row>
    <row r="55" spans="1:32">
      <c r="A55" s="28" t="s">
        <v>263</v>
      </c>
      <c r="B55" s="71" t="s">
        <v>62</v>
      </c>
      <c r="C55" s="176" t="s">
        <v>502</v>
      </c>
      <c r="D55" s="176" t="s">
        <v>574</v>
      </c>
      <c r="E55" s="176" t="s">
        <v>648</v>
      </c>
      <c r="F55" s="178" t="s">
        <v>721</v>
      </c>
      <c r="G55" s="161" t="s">
        <v>1824</v>
      </c>
      <c r="H55" s="158" t="s">
        <v>1881</v>
      </c>
      <c r="I55" s="158" t="s">
        <v>1940</v>
      </c>
      <c r="J55" s="162" t="s">
        <v>1998</v>
      </c>
      <c r="K55" s="161" t="s">
        <v>2058</v>
      </c>
      <c r="L55" s="158" t="s">
        <v>2117</v>
      </c>
      <c r="M55" s="158" t="s">
        <v>2178</v>
      </c>
      <c r="N55" s="440" t="s">
        <v>2238</v>
      </c>
      <c r="O55" s="161" t="s">
        <v>2439</v>
      </c>
      <c r="P55" s="158" t="str">
        <f>IF('合并资产负债表 '!R56&gt;0,"增加",IF('合并资产负债表 '!R56=0,"无变化","减少"))</f>
        <v>无变化</v>
      </c>
      <c r="Q55" s="158" t="s">
        <v>2500</v>
      </c>
      <c r="R55" s="158" t="s">
        <v>2623</v>
      </c>
      <c r="S55" s="158" t="str">
        <f>IF('合并资产负债表 '!R56&gt;0,"增幅",IF('合并资产负债表 '!R56=0,"无变化","降幅"))</f>
        <v>无变化</v>
      </c>
      <c r="T55" s="162" t="s">
        <v>2562</v>
      </c>
      <c r="U55" s="581" t="s">
        <v>2745</v>
      </c>
      <c r="V55" s="582" t="str">
        <f>IF('合并资产负债表 '!T56&gt;0,"增加",IF('合并资产负债表 '!T56=0,"无变化","减少"))</f>
        <v>无变化</v>
      </c>
      <c r="W55" s="582" t="s">
        <v>2684</v>
      </c>
      <c r="X55" s="582" t="s">
        <v>2867</v>
      </c>
      <c r="Y55" s="582" t="str">
        <f>IF('合并资产负债表 '!T56&gt;0,"增幅",IF('合并资产负债表 '!T56=0,"无变化","降幅"))</f>
        <v>无变化</v>
      </c>
      <c r="Z55" s="162" t="s">
        <v>2806</v>
      </c>
      <c r="AA55" s="581" t="s">
        <v>2989</v>
      </c>
      <c r="AB55" s="582" t="str">
        <f>IF('合并资产负债表 '!V56&gt;0,"增加",IF('合并资产负债表 '!V56=0,"无变化","减少"))</f>
        <v>无变化</v>
      </c>
      <c r="AC55" s="582" t="s">
        <v>2928</v>
      </c>
      <c r="AD55" s="582" t="s">
        <v>3111</v>
      </c>
      <c r="AE55" s="582" t="str">
        <f>IF('合并资产负债表 '!V56&gt;0,"增幅",IF('合并资产负债表 '!V56=0,"无变化","降幅"))</f>
        <v>无变化</v>
      </c>
      <c r="AF55" s="162" t="s">
        <v>3050</v>
      </c>
    </row>
    <row r="56" spans="1:32">
      <c r="A56" s="28" t="s">
        <v>264</v>
      </c>
      <c r="B56" s="71" t="s">
        <v>63</v>
      </c>
      <c r="C56" s="176" t="s">
        <v>503</v>
      </c>
      <c r="D56" s="176" t="s">
        <v>575</v>
      </c>
      <c r="E56" s="176" t="s">
        <v>649</v>
      </c>
      <c r="F56" s="178" t="s">
        <v>722</v>
      </c>
      <c r="G56" s="161" t="s">
        <v>1825</v>
      </c>
      <c r="H56" s="158" t="s">
        <v>1882</v>
      </c>
      <c r="I56" s="158" t="s">
        <v>1941</v>
      </c>
      <c r="J56" s="162" t="s">
        <v>1999</v>
      </c>
      <c r="K56" s="161" t="s">
        <v>2059</v>
      </c>
      <c r="L56" s="158" t="s">
        <v>2118</v>
      </c>
      <c r="M56" s="158" t="s">
        <v>2179</v>
      </c>
      <c r="N56" s="440" t="s">
        <v>2239</v>
      </c>
      <c r="O56" s="161" t="s">
        <v>2440</v>
      </c>
      <c r="P56" s="158" t="str">
        <f>IF('合并资产负债表 '!R57&gt;0,"增加",IF('合并资产负债表 '!R57=0,"无变化","减少"))</f>
        <v>无变化</v>
      </c>
      <c r="Q56" s="158" t="s">
        <v>2501</v>
      </c>
      <c r="R56" s="158" t="s">
        <v>2624</v>
      </c>
      <c r="S56" s="158" t="str">
        <f>IF('合并资产负债表 '!R57&gt;0,"增幅",IF('合并资产负债表 '!R57=0,"无变化","降幅"))</f>
        <v>无变化</v>
      </c>
      <c r="T56" s="162" t="s">
        <v>2563</v>
      </c>
      <c r="U56" s="581" t="s">
        <v>2746</v>
      </c>
      <c r="V56" s="582" t="str">
        <f>IF('合并资产负债表 '!T57&gt;0,"增加",IF('合并资产负债表 '!T57=0,"无变化","减少"))</f>
        <v>无变化</v>
      </c>
      <c r="W56" s="582" t="s">
        <v>2685</v>
      </c>
      <c r="X56" s="582" t="s">
        <v>2868</v>
      </c>
      <c r="Y56" s="582" t="str">
        <f>IF('合并资产负债表 '!T57&gt;0,"增幅",IF('合并资产负债表 '!T57=0,"无变化","降幅"))</f>
        <v>无变化</v>
      </c>
      <c r="Z56" s="162" t="s">
        <v>2807</v>
      </c>
      <c r="AA56" s="581" t="s">
        <v>2990</v>
      </c>
      <c r="AB56" s="582" t="str">
        <f>IF('合并资产负债表 '!V57&gt;0,"增加",IF('合并资产负债表 '!V57=0,"无变化","减少"))</f>
        <v>无变化</v>
      </c>
      <c r="AC56" s="582" t="s">
        <v>2929</v>
      </c>
      <c r="AD56" s="582" t="s">
        <v>3112</v>
      </c>
      <c r="AE56" s="582" t="str">
        <f>IF('合并资产负债表 '!V57&gt;0,"增幅",IF('合并资产负债表 '!V57=0,"无变化","降幅"))</f>
        <v>无变化</v>
      </c>
      <c r="AF56" s="162" t="s">
        <v>3051</v>
      </c>
    </row>
    <row r="57" spans="1:32">
      <c r="A57" s="28" t="s">
        <v>265</v>
      </c>
      <c r="B57" s="71" t="s">
        <v>167</v>
      </c>
      <c r="C57" s="176" t="s">
        <v>504</v>
      </c>
      <c r="D57" s="176" t="s">
        <v>576</v>
      </c>
      <c r="E57" s="176" t="s">
        <v>650</v>
      </c>
      <c r="F57" s="178" t="s">
        <v>723</v>
      </c>
      <c r="G57" s="161" t="s">
        <v>1826</v>
      </c>
      <c r="H57" s="158" t="s">
        <v>1883</v>
      </c>
      <c r="I57" s="158" t="s">
        <v>1942</v>
      </c>
      <c r="J57" s="162" t="s">
        <v>2000</v>
      </c>
      <c r="K57" s="161" t="s">
        <v>2060</v>
      </c>
      <c r="L57" s="158" t="s">
        <v>2119</v>
      </c>
      <c r="M57" s="158" t="s">
        <v>2180</v>
      </c>
      <c r="N57" s="440" t="s">
        <v>2240</v>
      </c>
      <c r="O57" s="161" t="s">
        <v>2441</v>
      </c>
      <c r="P57" s="158" t="str">
        <f>IF('合并资产负债表 '!R58&gt;0,"增加",IF('合并资产负债表 '!R58=0,"无变化","减少"))</f>
        <v>无变化</v>
      </c>
      <c r="Q57" s="158" t="s">
        <v>2502</v>
      </c>
      <c r="R57" s="158" t="s">
        <v>2625</v>
      </c>
      <c r="S57" s="158" t="str">
        <f>IF('合并资产负债表 '!R58&gt;0,"增幅",IF('合并资产负债表 '!R58=0,"无变化","降幅"))</f>
        <v>无变化</v>
      </c>
      <c r="T57" s="162" t="s">
        <v>2564</v>
      </c>
      <c r="U57" s="581" t="s">
        <v>2747</v>
      </c>
      <c r="V57" s="582" t="str">
        <f>IF('合并资产负债表 '!T58&gt;0,"增加",IF('合并资产负债表 '!T58=0,"无变化","减少"))</f>
        <v>无变化</v>
      </c>
      <c r="W57" s="582" t="s">
        <v>2686</v>
      </c>
      <c r="X57" s="582" t="s">
        <v>2869</v>
      </c>
      <c r="Y57" s="582" t="str">
        <f>IF('合并资产负债表 '!T58&gt;0,"增幅",IF('合并资产负债表 '!T58=0,"无变化","降幅"))</f>
        <v>无变化</v>
      </c>
      <c r="Z57" s="162" t="s">
        <v>2808</v>
      </c>
      <c r="AA57" s="581" t="s">
        <v>2991</v>
      </c>
      <c r="AB57" s="582" t="str">
        <f>IF('合并资产负债表 '!V58&gt;0,"增加",IF('合并资产负债表 '!V58=0,"无变化","减少"))</f>
        <v>无变化</v>
      </c>
      <c r="AC57" s="582" t="s">
        <v>2930</v>
      </c>
      <c r="AD57" s="582" t="s">
        <v>3113</v>
      </c>
      <c r="AE57" s="582" t="str">
        <f>IF('合并资产负债表 '!V58&gt;0,"增幅",IF('合并资产负债表 '!V58=0,"无变化","降幅"))</f>
        <v>无变化</v>
      </c>
      <c r="AF57" s="162" t="s">
        <v>3052</v>
      </c>
    </row>
    <row r="58" spans="1:32">
      <c r="A58" s="28" t="s">
        <v>266</v>
      </c>
      <c r="B58" s="71" t="s">
        <v>3204</v>
      </c>
      <c r="C58" s="176" t="s">
        <v>505</v>
      </c>
      <c r="D58" s="176" t="s">
        <v>577</v>
      </c>
      <c r="E58" s="176" t="s">
        <v>651</v>
      </c>
      <c r="F58" s="178" t="s">
        <v>724</v>
      </c>
      <c r="G58" s="161" t="s">
        <v>1827</v>
      </c>
      <c r="H58" s="158" t="s">
        <v>1884</v>
      </c>
      <c r="I58" s="158" t="s">
        <v>1943</v>
      </c>
      <c r="J58" s="162" t="s">
        <v>2001</v>
      </c>
      <c r="K58" s="161" t="s">
        <v>2061</v>
      </c>
      <c r="L58" s="158" t="s">
        <v>2120</v>
      </c>
      <c r="M58" s="158" t="s">
        <v>2181</v>
      </c>
      <c r="N58" s="440" t="s">
        <v>2241</v>
      </c>
      <c r="O58" s="161" t="s">
        <v>2442</v>
      </c>
      <c r="P58" s="158" t="str">
        <f>IF('合并资产负债表 '!R59&gt;0,"增加",IF('合并资产负债表 '!R59=0,"无变化","减少"))</f>
        <v>无变化</v>
      </c>
      <c r="Q58" s="158" t="s">
        <v>2503</v>
      </c>
      <c r="R58" s="158" t="s">
        <v>2626</v>
      </c>
      <c r="S58" s="158" t="str">
        <f>IF('合并资产负债表 '!R59&gt;0,"增幅",IF('合并资产负债表 '!R59=0,"无变化","降幅"))</f>
        <v>无变化</v>
      </c>
      <c r="T58" s="162" t="s">
        <v>2565</v>
      </c>
      <c r="U58" s="581" t="s">
        <v>2748</v>
      </c>
      <c r="V58" s="582" t="str">
        <f>IF('合并资产负债表 '!T59&gt;0,"增加",IF('合并资产负债表 '!T59=0,"无变化","减少"))</f>
        <v>无变化</v>
      </c>
      <c r="W58" s="582" t="s">
        <v>2687</v>
      </c>
      <c r="X58" s="582" t="s">
        <v>2870</v>
      </c>
      <c r="Y58" s="582" t="str">
        <f>IF('合并资产负债表 '!T59&gt;0,"增幅",IF('合并资产负债表 '!T59=0,"无变化","降幅"))</f>
        <v>无变化</v>
      </c>
      <c r="Z58" s="162" t="s">
        <v>2809</v>
      </c>
      <c r="AA58" s="581" t="s">
        <v>2992</v>
      </c>
      <c r="AB58" s="582" t="str">
        <f>IF('合并资产负债表 '!V59&gt;0,"增加",IF('合并资产负债表 '!V59=0,"无变化","减少"))</f>
        <v>无变化</v>
      </c>
      <c r="AC58" s="582" t="s">
        <v>2931</v>
      </c>
      <c r="AD58" s="582" t="s">
        <v>3114</v>
      </c>
      <c r="AE58" s="582" t="str">
        <f>IF('合并资产负债表 '!V59&gt;0,"增幅",IF('合并资产负债表 '!V59=0,"无变化","降幅"))</f>
        <v>无变化</v>
      </c>
      <c r="AF58" s="162" t="s">
        <v>3053</v>
      </c>
    </row>
    <row r="59" spans="1:32">
      <c r="A59" s="28" t="s">
        <v>267</v>
      </c>
      <c r="B59" s="71" t="s">
        <v>64</v>
      </c>
      <c r="C59" s="176" t="s">
        <v>506</v>
      </c>
      <c r="D59" s="176" t="s">
        <v>578</v>
      </c>
      <c r="E59" s="176" t="s">
        <v>652</v>
      </c>
      <c r="F59" s="178" t="s">
        <v>725</v>
      </c>
      <c r="G59" s="161" t="s">
        <v>1828</v>
      </c>
      <c r="H59" s="158" t="s">
        <v>1885</v>
      </c>
      <c r="I59" s="158" t="s">
        <v>1944</v>
      </c>
      <c r="J59" s="162" t="s">
        <v>2002</v>
      </c>
      <c r="K59" s="161" t="s">
        <v>2062</v>
      </c>
      <c r="L59" s="158" t="s">
        <v>2121</v>
      </c>
      <c r="M59" s="158" t="s">
        <v>2182</v>
      </c>
      <c r="N59" s="440" t="s">
        <v>2242</v>
      </c>
      <c r="O59" s="161" t="s">
        <v>2443</v>
      </c>
      <c r="P59" s="158" t="str">
        <f>IF('合并资产负债表 '!R60&gt;0,"增加",IF('合并资产负债表 '!R60=0,"无变化","减少"))</f>
        <v>无变化</v>
      </c>
      <c r="Q59" s="158" t="s">
        <v>2504</v>
      </c>
      <c r="R59" s="158" t="s">
        <v>2627</v>
      </c>
      <c r="S59" s="158" t="str">
        <f>IF('合并资产负债表 '!R60&gt;0,"增幅",IF('合并资产负债表 '!R60=0,"无变化","降幅"))</f>
        <v>无变化</v>
      </c>
      <c r="T59" s="162" t="s">
        <v>2566</v>
      </c>
      <c r="U59" s="581" t="s">
        <v>2749</v>
      </c>
      <c r="V59" s="582" t="str">
        <f>IF('合并资产负债表 '!T60&gt;0,"增加",IF('合并资产负债表 '!T60=0,"无变化","减少"))</f>
        <v>无变化</v>
      </c>
      <c r="W59" s="582" t="s">
        <v>2688</v>
      </c>
      <c r="X59" s="582" t="s">
        <v>2871</v>
      </c>
      <c r="Y59" s="582" t="str">
        <f>IF('合并资产负债表 '!T60&gt;0,"增幅",IF('合并资产负债表 '!T60=0,"无变化","降幅"))</f>
        <v>无变化</v>
      </c>
      <c r="Z59" s="162" t="s">
        <v>2810</v>
      </c>
      <c r="AA59" s="581" t="s">
        <v>2993</v>
      </c>
      <c r="AB59" s="582" t="str">
        <f>IF('合并资产负债表 '!V60&gt;0,"增加",IF('合并资产负债表 '!V60=0,"无变化","减少"))</f>
        <v>无变化</v>
      </c>
      <c r="AC59" s="582" t="s">
        <v>2932</v>
      </c>
      <c r="AD59" s="582" t="s">
        <v>3115</v>
      </c>
      <c r="AE59" s="582" t="str">
        <f>IF('合并资产负债表 '!V60&gt;0,"增幅",IF('合并资产负债表 '!V60=0,"无变化","降幅"))</f>
        <v>无变化</v>
      </c>
      <c r="AF59" s="162" t="s">
        <v>3054</v>
      </c>
    </row>
    <row r="60" spans="1:32">
      <c r="A60" s="28" t="s">
        <v>268</v>
      </c>
      <c r="B60" s="71" t="s">
        <v>169</v>
      </c>
      <c r="C60" s="176" t="s">
        <v>507</v>
      </c>
      <c r="D60" s="176" t="s">
        <v>579</v>
      </c>
      <c r="E60" s="176" t="s">
        <v>653</v>
      </c>
      <c r="F60" s="178" t="s">
        <v>726</v>
      </c>
      <c r="G60" s="161" t="s">
        <v>1829</v>
      </c>
      <c r="H60" s="158" t="s">
        <v>1886</v>
      </c>
      <c r="I60" s="158" t="s">
        <v>1945</v>
      </c>
      <c r="J60" s="162" t="s">
        <v>2003</v>
      </c>
      <c r="K60" s="161" t="s">
        <v>2063</v>
      </c>
      <c r="L60" s="158" t="s">
        <v>2122</v>
      </c>
      <c r="M60" s="158" t="s">
        <v>2183</v>
      </c>
      <c r="N60" s="440" t="s">
        <v>2243</v>
      </c>
      <c r="O60" s="161" t="s">
        <v>2444</v>
      </c>
      <c r="P60" s="158" t="str">
        <f>IF('合并资产负债表 '!R61&gt;0,"增加",IF('合并资产负债表 '!R61=0,"无变化","减少"))</f>
        <v>无变化</v>
      </c>
      <c r="Q60" s="158" t="s">
        <v>2505</v>
      </c>
      <c r="R60" s="158" t="s">
        <v>2628</v>
      </c>
      <c r="S60" s="158" t="str">
        <f>IF('合并资产负债表 '!R61&gt;0,"增幅",IF('合并资产负债表 '!R61=0,"无变化","降幅"))</f>
        <v>无变化</v>
      </c>
      <c r="T60" s="162" t="s">
        <v>2567</v>
      </c>
      <c r="U60" s="581" t="s">
        <v>2750</v>
      </c>
      <c r="V60" s="582" t="str">
        <f>IF('合并资产负债表 '!T61&gt;0,"增加",IF('合并资产负债表 '!T61=0,"无变化","减少"))</f>
        <v>无变化</v>
      </c>
      <c r="W60" s="582" t="s">
        <v>2689</v>
      </c>
      <c r="X60" s="582" t="s">
        <v>2872</v>
      </c>
      <c r="Y60" s="582" t="str">
        <f>IF('合并资产负债表 '!T61&gt;0,"增幅",IF('合并资产负债表 '!T61=0,"无变化","降幅"))</f>
        <v>无变化</v>
      </c>
      <c r="Z60" s="162" t="s">
        <v>2811</v>
      </c>
      <c r="AA60" s="581" t="s">
        <v>2994</v>
      </c>
      <c r="AB60" s="582" t="str">
        <f>IF('合并资产负债表 '!V61&gt;0,"增加",IF('合并资产负债表 '!V61=0,"无变化","减少"))</f>
        <v>无变化</v>
      </c>
      <c r="AC60" s="582" t="s">
        <v>2933</v>
      </c>
      <c r="AD60" s="582" t="s">
        <v>3116</v>
      </c>
      <c r="AE60" s="582" t="str">
        <f>IF('合并资产负债表 '!V61&gt;0,"增幅",IF('合并资产负债表 '!V61=0,"无变化","降幅"))</f>
        <v>无变化</v>
      </c>
      <c r="AF60" s="162" t="s">
        <v>3055</v>
      </c>
    </row>
    <row r="61" spans="1:32">
      <c r="A61" s="28" t="s">
        <v>269</v>
      </c>
      <c r="B61" s="71" t="s">
        <v>3203</v>
      </c>
      <c r="C61" s="176" t="s">
        <v>508</v>
      </c>
      <c r="D61" s="176" t="s">
        <v>580</v>
      </c>
      <c r="E61" s="176" t="s">
        <v>654</v>
      </c>
      <c r="F61" s="178" t="s">
        <v>727</v>
      </c>
      <c r="G61" s="161" t="s">
        <v>1830</v>
      </c>
      <c r="H61" s="158" t="s">
        <v>1887</v>
      </c>
      <c r="I61" s="158" t="s">
        <v>1946</v>
      </c>
      <c r="J61" s="162" t="s">
        <v>2004</v>
      </c>
      <c r="K61" s="161" t="s">
        <v>2064</v>
      </c>
      <c r="L61" s="158" t="s">
        <v>2123</v>
      </c>
      <c r="M61" s="158" t="s">
        <v>2184</v>
      </c>
      <c r="N61" s="440" t="s">
        <v>2244</v>
      </c>
      <c r="O61" s="161" t="s">
        <v>2445</v>
      </c>
      <c r="P61" s="158" t="str">
        <f>IF('合并资产负债表 '!R62&gt;0,"增加",IF('合并资产负债表 '!R62=0,"无变化","减少"))</f>
        <v>无变化</v>
      </c>
      <c r="Q61" s="158" t="s">
        <v>2506</v>
      </c>
      <c r="R61" s="158" t="s">
        <v>2629</v>
      </c>
      <c r="S61" s="158" t="str">
        <f>IF('合并资产负债表 '!R62&gt;0,"增幅",IF('合并资产负债表 '!R62=0,"无变化","降幅"))</f>
        <v>无变化</v>
      </c>
      <c r="T61" s="162" t="s">
        <v>2568</v>
      </c>
      <c r="U61" s="581" t="s">
        <v>2751</v>
      </c>
      <c r="V61" s="582" t="str">
        <f>IF('合并资产负债表 '!T62&gt;0,"增加",IF('合并资产负债表 '!T62=0,"无变化","减少"))</f>
        <v>无变化</v>
      </c>
      <c r="W61" s="582" t="s">
        <v>2690</v>
      </c>
      <c r="X61" s="582" t="s">
        <v>2873</v>
      </c>
      <c r="Y61" s="582" t="str">
        <f>IF('合并资产负债表 '!T62&gt;0,"增幅",IF('合并资产负债表 '!T62=0,"无变化","降幅"))</f>
        <v>无变化</v>
      </c>
      <c r="Z61" s="162" t="s">
        <v>2812</v>
      </c>
      <c r="AA61" s="581" t="s">
        <v>2995</v>
      </c>
      <c r="AB61" s="582" t="str">
        <f>IF('合并资产负债表 '!V62&gt;0,"增加",IF('合并资产负债表 '!V62=0,"无变化","减少"))</f>
        <v>无变化</v>
      </c>
      <c r="AC61" s="582" t="s">
        <v>2934</v>
      </c>
      <c r="AD61" s="582" t="s">
        <v>3117</v>
      </c>
      <c r="AE61" s="582" t="str">
        <f>IF('合并资产负债表 '!V62&gt;0,"增幅",IF('合并资产负债表 '!V62=0,"无变化","降幅"))</f>
        <v>无变化</v>
      </c>
      <c r="AF61" s="162" t="s">
        <v>3056</v>
      </c>
    </row>
    <row r="62" spans="1:32">
      <c r="A62" s="28" t="s">
        <v>270</v>
      </c>
      <c r="B62" s="71" t="s">
        <v>170</v>
      </c>
      <c r="C62" s="176" t="s">
        <v>509</v>
      </c>
      <c r="D62" s="176" t="s">
        <v>581</v>
      </c>
      <c r="E62" s="176" t="s">
        <v>655</v>
      </c>
      <c r="F62" s="178" t="s">
        <v>728</v>
      </c>
      <c r="G62" s="161" t="s">
        <v>1831</v>
      </c>
      <c r="H62" s="158" t="s">
        <v>1888</v>
      </c>
      <c r="I62" s="158" t="s">
        <v>1947</v>
      </c>
      <c r="J62" s="162" t="s">
        <v>2005</v>
      </c>
      <c r="K62" s="161" t="s">
        <v>2065</v>
      </c>
      <c r="L62" s="158" t="s">
        <v>2124</v>
      </c>
      <c r="M62" s="158" t="s">
        <v>2185</v>
      </c>
      <c r="N62" s="440" t="s">
        <v>2245</v>
      </c>
      <c r="O62" s="161" t="s">
        <v>2446</v>
      </c>
      <c r="P62" s="158" t="str">
        <f>IF('合并资产负债表 '!R63&gt;0,"增加",IF('合并资产负债表 '!R63=0,"无变化","减少"))</f>
        <v>无变化</v>
      </c>
      <c r="Q62" s="158" t="s">
        <v>2507</v>
      </c>
      <c r="R62" s="158" t="s">
        <v>2630</v>
      </c>
      <c r="S62" s="158" t="str">
        <f>IF('合并资产负债表 '!R63&gt;0,"增幅",IF('合并资产负债表 '!R63=0,"无变化","降幅"))</f>
        <v>无变化</v>
      </c>
      <c r="T62" s="162" t="s">
        <v>2569</v>
      </c>
      <c r="U62" s="581" t="s">
        <v>2752</v>
      </c>
      <c r="V62" s="582" t="str">
        <f>IF('合并资产负债表 '!T63&gt;0,"增加",IF('合并资产负债表 '!T63=0,"无变化","减少"))</f>
        <v>无变化</v>
      </c>
      <c r="W62" s="582" t="s">
        <v>2691</v>
      </c>
      <c r="X62" s="582" t="s">
        <v>2874</v>
      </c>
      <c r="Y62" s="582" t="str">
        <f>IF('合并资产负债表 '!T63&gt;0,"增幅",IF('合并资产负债表 '!T63=0,"无变化","降幅"))</f>
        <v>无变化</v>
      </c>
      <c r="Z62" s="162" t="s">
        <v>2813</v>
      </c>
      <c r="AA62" s="581" t="s">
        <v>2996</v>
      </c>
      <c r="AB62" s="582" t="str">
        <f>IF('合并资产负债表 '!V63&gt;0,"增加",IF('合并资产负债表 '!V63=0,"无变化","减少"))</f>
        <v>无变化</v>
      </c>
      <c r="AC62" s="582" t="s">
        <v>2935</v>
      </c>
      <c r="AD62" s="582" t="s">
        <v>3118</v>
      </c>
      <c r="AE62" s="582" t="str">
        <f>IF('合并资产负债表 '!V63&gt;0,"增幅",IF('合并资产负债表 '!V63=0,"无变化","降幅"))</f>
        <v>无变化</v>
      </c>
      <c r="AF62" s="162" t="s">
        <v>3057</v>
      </c>
    </row>
    <row r="63" spans="1:32">
      <c r="A63" s="28" t="s">
        <v>271</v>
      </c>
      <c r="B63" s="71" t="s">
        <v>171</v>
      </c>
      <c r="C63" s="176" t="s">
        <v>510</v>
      </c>
      <c r="D63" s="176" t="s">
        <v>582</v>
      </c>
      <c r="E63" s="176" t="s">
        <v>656</v>
      </c>
      <c r="F63" s="178" t="s">
        <v>729</v>
      </c>
      <c r="G63" s="161" t="s">
        <v>1832</v>
      </c>
      <c r="H63" s="158" t="s">
        <v>1889</v>
      </c>
      <c r="I63" s="158" t="s">
        <v>1948</v>
      </c>
      <c r="J63" s="162" t="s">
        <v>2006</v>
      </c>
      <c r="K63" s="161" t="s">
        <v>2066</v>
      </c>
      <c r="L63" s="158" t="s">
        <v>2125</v>
      </c>
      <c r="M63" s="158" t="s">
        <v>2186</v>
      </c>
      <c r="N63" s="440" t="s">
        <v>2246</v>
      </c>
      <c r="O63" s="161" t="s">
        <v>2447</v>
      </c>
      <c r="P63" s="158" t="str">
        <f>IF('合并资产负债表 '!R64&gt;0,"增加",IF('合并资产负债表 '!R64=0,"无变化","减少"))</f>
        <v>无变化</v>
      </c>
      <c r="Q63" s="158" t="s">
        <v>2508</v>
      </c>
      <c r="R63" s="158" t="s">
        <v>2631</v>
      </c>
      <c r="S63" s="158" t="str">
        <f>IF('合并资产负债表 '!R64&gt;0,"增幅",IF('合并资产负债表 '!R64=0,"无变化","降幅"))</f>
        <v>无变化</v>
      </c>
      <c r="T63" s="162" t="s">
        <v>2570</v>
      </c>
      <c r="U63" s="581" t="s">
        <v>2753</v>
      </c>
      <c r="V63" s="582" t="str">
        <f>IF('合并资产负债表 '!T64&gt;0,"增加",IF('合并资产负债表 '!T64=0,"无变化","减少"))</f>
        <v>无变化</v>
      </c>
      <c r="W63" s="582" t="s">
        <v>2692</v>
      </c>
      <c r="X63" s="582" t="s">
        <v>2875</v>
      </c>
      <c r="Y63" s="582" t="str">
        <f>IF('合并资产负债表 '!T64&gt;0,"增幅",IF('合并资产负债表 '!T64=0,"无变化","降幅"))</f>
        <v>无变化</v>
      </c>
      <c r="Z63" s="162" t="s">
        <v>2814</v>
      </c>
      <c r="AA63" s="581" t="s">
        <v>2997</v>
      </c>
      <c r="AB63" s="582" t="str">
        <f>IF('合并资产负债表 '!V64&gt;0,"增加",IF('合并资产负债表 '!V64=0,"无变化","减少"))</f>
        <v>无变化</v>
      </c>
      <c r="AC63" s="582" t="s">
        <v>2936</v>
      </c>
      <c r="AD63" s="582" t="s">
        <v>3119</v>
      </c>
      <c r="AE63" s="582" t="str">
        <f>IF('合并资产负债表 '!V64&gt;0,"增幅",IF('合并资产负债表 '!V64=0,"无变化","降幅"))</f>
        <v>无变化</v>
      </c>
      <c r="AF63" s="162" t="s">
        <v>3058</v>
      </c>
    </row>
    <row r="64" spans="1:32">
      <c r="A64" s="28" t="s">
        <v>272</v>
      </c>
      <c r="B64" s="71" t="s">
        <v>172</v>
      </c>
      <c r="C64" s="176" t="s">
        <v>511</v>
      </c>
      <c r="D64" s="176" t="s">
        <v>583</v>
      </c>
      <c r="E64" s="176" t="s">
        <v>657</v>
      </c>
      <c r="F64" s="178" t="s">
        <v>730</v>
      </c>
      <c r="G64" s="161" t="s">
        <v>1833</v>
      </c>
      <c r="H64" s="158" t="s">
        <v>1890</v>
      </c>
      <c r="I64" s="158" t="s">
        <v>1949</v>
      </c>
      <c r="J64" s="162" t="s">
        <v>2007</v>
      </c>
      <c r="K64" s="161" t="s">
        <v>2067</v>
      </c>
      <c r="L64" s="158" t="s">
        <v>2126</v>
      </c>
      <c r="M64" s="158" t="s">
        <v>2187</v>
      </c>
      <c r="N64" s="440" t="s">
        <v>2247</v>
      </c>
      <c r="O64" s="161" t="s">
        <v>2448</v>
      </c>
      <c r="P64" s="158" t="str">
        <f>IF('合并资产负债表 '!R65&gt;0,"增加",IF('合并资产负债表 '!R65=0,"无变化","减少"))</f>
        <v>无变化</v>
      </c>
      <c r="Q64" s="158" t="s">
        <v>2509</v>
      </c>
      <c r="R64" s="158" t="s">
        <v>2632</v>
      </c>
      <c r="S64" s="158" t="str">
        <f>IF('合并资产负债表 '!R65&gt;0,"增幅",IF('合并资产负债表 '!R65=0,"无变化","降幅"))</f>
        <v>无变化</v>
      </c>
      <c r="T64" s="162" t="s">
        <v>2571</v>
      </c>
      <c r="U64" s="581" t="s">
        <v>2754</v>
      </c>
      <c r="V64" s="582" t="str">
        <f>IF('合并资产负债表 '!T65&gt;0,"增加",IF('合并资产负债表 '!T65=0,"无变化","减少"))</f>
        <v>无变化</v>
      </c>
      <c r="W64" s="582" t="s">
        <v>2693</v>
      </c>
      <c r="X64" s="582" t="s">
        <v>2876</v>
      </c>
      <c r="Y64" s="582" t="str">
        <f>IF('合并资产负债表 '!T65&gt;0,"增幅",IF('合并资产负债表 '!T65=0,"无变化","降幅"))</f>
        <v>无变化</v>
      </c>
      <c r="Z64" s="162" t="s">
        <v>2815</v>
      </c>
      <c r="AA64" s="581" t="s">
        <v>2998</v>
      </c>
      <c r="AB64" s="582" t="str">
        <f>IF('合并资产负债表 '!V65&gt;0,"增加",IF('合并资产负债表 '!V65=0,"无变化","减少"))</f>
        <v>无变化</v>
      </c>
      <c r="AC64" s="582" t="s">
        <v>2937</v>
      </c>
      <c r="AD64" s="582" t="s">
        <v>3120</v>
      </c>
      <c r="AE64" s="582" t="str">
        <f>IF('合并资产负债表 '!V65&gt;0,"增幅",IF('合并资产负债表 '!V65=0,"无变化","降幅"))</f>
        <v>无变化</v>
      </c>
      <c r="AF64" s="162" t="s">
        <v>3059</v>
      </c>
    </row>
    <row r="65" spans="1:32">
      <c r="A65" s="28" t="s">
        <v>273</v>
      </c>
      <c r="B65" s="71" t="s">
        <v>173</v>
      </c>
      <c r="C65" s="176" t="s">
        <v>512</v>
      </c>
      <c r="D65" s="176" t="s">
        <v>584</v>
      </c>
      <c r="E65" s="176" t="s">
        <v>658</v>
      </c>
      <c r="F65" s="178" t="s">
        <v>731</v>
      </c>
      <c r="G65" s="161" t="s">
        <v>1834</v>
      </c>
      <c r="H65" s="158" t="s">
        <v>1891</v>
      </c>
      <c r="I65" s="158" t="s">
        <v>1950</v>
      </c>
      <c r="J65" s="162" t="s">
        <v>2008</v>
      </c>
      <c r="K65" s="161" t="s">
        <v>2068</v>
      </c>
      <c r="L65" s="158" t="s">
        <v>2127</v>
      </c>
      <c r="M65" s="158" t="s">
        <v>2188</v>
      </c>
      <c r="N65" s="440" t="s">
        <v>2248</v>
      </c>
      <c r="O65" s="161" t="s">
        <v>2449</v>
      </c>
      <c r="P65" s="158" t="str">
        <f>IF('合并资产负债表 '!R66&gt;0,"增加",IF('合并资产负债表 '!R66=0,"无变化","减少"))</f>
        <v>无变化</v>
      </c>
      <c r="Q65" s="158" t="s">
        <v>2510</v>
      </c>
      <c r="R65" s="158" t="s">
        <v>2633</v>
      </c>
      <c r="S65" s="158" t="str">
        <f>IF('合并资产负债表 '!R66&gt;0,"增幅",IF('合并资产负债表 '!R66=0,"无变化","降幅"))</f>
        <v>无变化</v>
      </c>
      <c r="T65" s="162" t="s">
        <v>2572</v>
      </c>
      <c r="U65" s="581" t="s">
        <v>2755</v>
      </c>
      <c r="V65" s="582" t="str">
        <f>IF('合并资产负债表 '!T66&gt;0,"增加",IF('合并资产负债表 '!T66=0,"无变化","减少"))</f>
        <v>无变化</v>
      </c>
      <c r="W65" s="582" t="s">
        <v>2694</v>
      </c>
      <c r="X65" s="582" t="s">
        <v>2877</v>
      </c>
      <c r="Y65" s="582" t="str">
        <f>IF('合并资产负债表 '!T66&gt;0,"增幅",IF('合并资产负债表 '!T66=0,"无变化","降幅"))</f>
        <v>无变化</v>
      </c>
      <c r="Z65" s="162" t="s">
        <v>2816</v>
      </c>
      <c r="AA65" s="581" t="s">
        <v>2999</v>
      </c>
      <c r="AB65" s="582" t="str">
        <f>IF('合并资产负债表 '!V66&gt;0,"增加",IF('合并资产负债表 '!V66=0,"无变化","减少"))</f>
        <v>无变化</v>
      </c>
      <c r="AC65" s="582" t="s">
        <v>2938</v>
      </c>
      <c r="AD65" s="582" t="s">
        <v>3121</v>
      </c>
      <c r="AE65" s="582" t="str">
        <f>IF('合并资产负债表 '!V66&gt;0,"增幅",IF('合并资产负债表 '!V66=0,"无变化","降幅"))</f>
        <v>无变化</v>
      </c>
      <c r="AF65" s="162" t="s">
        <v>3060</v>
      </c>
    </row>
    <row r="66" spans="1:32" s="189" customFormat="1">
      <c r="A66" s="190" t="s">
        <v>261</v>
      </c>
      <c r="B66" s="76" t="s">
        <v>65</v>
      </c>
      <c r="C66" s="298" t="s">
        <v>513</v>
      </c>
      <c r="D66" s="298" t="s">
        <v>585</v>
      </c>
      <c r="E66" s="298" t="s">
        <v>659</v>
      </c>
      <c r="F66" s="299" t="s">
        <v>732</v>
      </c>
      <c r="G66" s="210" t="s">
        <v>1835</v>
      </c>
      <c r="H66" s="160" t="s">
        <v>1892</v>
      </c>
      <c r="I66" s="160" t="s">
        <v>1951</v>
      </c>
      <c r="J66" s="165" t="s">
        <v>2009</v>
      </c>
      <c r="K66" s="210" t="s">
        <v>2069</v>
      </c>
      <c r="L66" s="160" t="s">
        <v>2128</v>
      </c>
      <c r="M66" s="160" t="s">
        <v>2189</v>
      </c>
      <c r="N66" s="202" t="s">
        <v>2249</v>
      </c>
      <c r="O66" s="210" t="s">
        <v>2450</v>
      </c>
      <c r="P66" s="358" t="str">
        <f>IF('合并资产负债表 '!R67&gt;0,"增加",IF('合并资产负债表 '!R67=0,"无变化","减少"))</f>
        <v>无变化</v>
      </c>
      <c r="Q66" s="160" t="s">
        <v>2511</v>
      </c>
      <c r="R66" s="160" t="s">
        <v>2634</v>
      </c>
      <c r="S66" s="358" t="str">
        <f>IF('合并资产负债表 '!R67&gt;0,"增幅",IF('合并资产负债表 '!R67=0,"无变化","降幅"))</f>
        <v>无变化</v>
      </c>
      <c r="T66" s="165" t="s">
        <v>2573</v>
      </c>
      <c r="U66" s="210" t="s">
        <v>2756</v>
      </c>
      <c r="V66" s="358" t="str">
        <f>IF('合并资产负债表 '!T67&gt;0,"增加",IF('合并资产负债表 '!T67=0,"无变化","减少"))</f>
        <v>无变化</v>
      </c>
      <c r="W66" s="160" t="s">
        <v>2695</v>
      </c>
      <c r="X66" s="160" t="s">
        <v>2878</v>
      </c>
      <c r="Y66" s="358" t="str">
        <f>IF('合并资产负债表 '!T67&gt;0,"增幅",IF('合并资产负债表 '!T67=0,"无变化","降幅"))</f>
        <v>无变化</v>
      </c>
      <c r="Z66" s="165" t="s">
        <v>2817</v>
      </c>
      <c r="AA66" s="210" t="s">
        <v>3000</v>
      </c>
      <c r="AB66" s="358" t="str">
        <f>IF('合并资产负债表 '!V67&gt;0,"增加",IF('合并资产负债表 '!V67=0,"无变化","减少"))</f>
        <v>无变化</v>
      </c>
      <c r="AC66" s="160" t="s">
        <v>2939</v>
      </c>
      <c r="AD66" s="160" t="s">
        <v>3122</v>
      </c>
      <c r="AE66" s="358" t="str">
        <f>IF('合并资产负债表 '!V67&gt;0,"增幅",IF('合并资产负债表 '!V67=0,"无变化","降幅"))</f>
        <v>无变化</v>
      </c>
      <c r="AF66" s="165" t="s">
        <v>3061</v>
      </c>
    </row>
    <row r="67" spans="1:32" s="189" customFormat="1">
      <c r="A67" s="190" t="s">
        <v>262</v>
      </c>
      <c r="B67" s="76" t="s">
        <v>66</v>
      </c>
      <c r="C67" s="298" t="s">
        <v>514</v>
      </c>
      <c r="D67" s="298" t="s">
        <v>586</v>
      </c>
      <c r="E67" s="298" t="s">
        <v>660</v>
      </c>
      <c r="F67" s="299" t="s">
        <v>733</v>
      </c>
      <c r="G67" s="210"/>
      <c r="H67" s="160"/>
      <c r="I67" s="160"/>
      <c r="J67" s="165"/>
      <c r="K67" s="210" t="s">
        <v>2070</v>
      </c>
      <c r="L67" s="160" t="s">
        <v>2129</v>
      </c>
      <c r="M67" s="160" t="s">
        <v>2190</v>
      </c>
      <c r="N67" s="202" t="s">
        <v>2250</v>
      </c>
      <c r="O67" s="210" t="s">
        <v>2451</v>
      </c>
      <c r="P67" s="358" t="str">
        <f>IF('合并资产负债表 '!R68&gt;0,"增加",IF('合并资产负债表 '!R68=0,"无变化","减少"))</f>
        <v>无变化</v>
      </c>
      <c r="Q67" s="160" t="s">
        <v>2512</v>
      </c>
      <c r="R67" s="160" t="s">
        <v>2635</v>
      </c>
      <c r="S67" s="358" t="str">
        <f>IF('合并资产负债表 '!R68&gt;0,"增幅",IF('合并资产负债表 '!R68=0,"无变化","降幅"))</f>
        <v>无变化</v>
      </c>
      <c r="T67" s="165" t="s">
        <v>2574</v>
      </c>
      <c r="U67" s="210" t="s">
        <v>2757</v>
      </c>
      <c r="V67" s="358" t="str">
        <f>IF('合并资产负债表 '!T68&gt;0,"增加",IF('合并资产负债表 '!T68=0,"无变化","减少"))</f>
        <v>无变化</v>
      </c>
      <c r="W67" s="160" t="s">
        <v>2696</v>
      </c>
      <c r="X67" s="160" t="s">
        <v>2879</v>
      </c>
      <c r="Y67" s="358" t="str">
        <f>IF('合并资产负债表 '!T68&gt;0,"增幅",IF('合并资产负债表 '!T68=0,"无变化","降幅"))</f>
        <v>无变化</v>
      </c>
      <c r="Z67" s="165" t="s">
        <v>2818</v>
      </c>
      <c r="AA67" s="210" t="s">
        <v>3001</v>
      </c>
      <c r="AB67" s="358" t="str">
        <f>IF('合并资产负债表 '!V68&gt;0,"增加",IF('合并资产负债表 '!V68=0,"无变化","减少"))</f>
        <v>无变化</v>
      </c>
      <c r="AC67" s="160" t="s">
        <v>2940</v>
      </c>
      <c r="AD67" s="160" t="s">
        <v>3123</v>
      </c>
      <c r="AE67" s="358" t="str">
        <f>IF('合并资产负债表 '!V68&gt;0,"增幅",IF('合并资产负债表 '!V68=0,"无变化","降幅"))</f>
        <v>无变化</v>
      </c>
      <c r="AF67" s="165" t="s">
        <v>3062</v>
      </c>
    </row>
    <row r="68" spans="1:32" s="189" customFormat="1" ht="14.25">
      <c r="B68" s="62" t="s">
        <v>107</v>
      </c>
      <c r="C68" s="184"/>
      <c r="D68" s="184"/>
      <c r="E68" s="184"/>
      <c r="F68" s="185"/>
      <c r="G68" s="211"/>
      <c r="H68" s="205"/>
      <c r="I68" s="205"/>
      <c r="J68" s="207"/>
      <c r="K68" s="211"/>
      <c r="L68" s="205"/>
      <c r="M68" s="205"/>
      <c r="N68" s="442"/>
      <c r="O68" s="211"/>
      <c r="P68" s="158"/>
      <c r="Q68" s="205"/>
      <c r="R68" s="205"/>
      <c r="S68" s="158"/>
      <c r="T68" s="207"/>
      <c r="U68" s="211"/>
      <c r="V68" s="582"/>
      <c r="W68" s="205"/>
      <c r="X68" s="205"/>
      <c r="Y68" s="582"/>
      <c r="Z68" s="207"/>
      <c r="AA68" s="211"/>
      <c r="AB68" s="582"/>
      <c r="AC68" s="205"/>
      <c r="AD68" s="205"/>
      <c r="AE68" s="582"/>
      <c r="AF68" s="207"/>
    </row>
    <row r="69" spans="1:32">
      <c r="A69" s="28" t="s">
        <v>275</v>
      </c>
      <c r="B69" s="71" t="s">
        <v>174</v>
      </c>
      <c r="C69" s="176" t="s">
        <v>515</v>
      </c>
      <c r="D69" s="176" t="s">
        <v>587</v>
      </c>
      <c r="E69" s="176" t="s">
        <v>661</v>
      </c>
      <c r="F69" s="178" t="s">
        <v>734</v>
      </c>
      <c r="G69" s="161"/>
      <c r="H69" s="158"/>
      <c r="I69" s="158"/>
      <c r="J69" s="162"/>
      <c r="K69" s="161"/>
      <c r="L69" s="158"/>
      <c r="M69" s="158"/>
      <c r="N69" s="440"/>
      <c r="O69" s="443"/>
      <c r="P69" s="158" t="str">
        <f>IF('合并资产负债表 '!R70&gt;0,"增加",IF('合并资产负债表 '!R70=0,"无变化","减少"))</f>
        <v>无变化</v>
      </c>
      <c r="Q69" s="444" t="s">
        <v>3684</v>
      </c>
      <c r="R69" s="444"/>
      <c r="S69" s="158" t="str">
        <f>IF('合并资产负债表 '!R70&gt;0,"增幅",IF('合并资产负债表 '!R70=0,"无变化","降幅"))</f>
        <v>无变化</v>
      </c>
      <c r="T69" s="445" t="s">
        <v>3697</v>
      </c>
      <c r="U69" s="443"/>
      <c r="V69" s="582" t="str">
        <f>IF('合并资产负债表 '!T70&gt;0,"增加",IF('合并资产负债表 '!T70=0,"无变化","减少"))</f>
        <v>无变化</v>
      </c>
      <c r="W69" s="444" t="s">
        <v>3749</v>
      </c>
      <c r="X69" s="444"/>
      <c r="Y69" s="582" t="str">
        <f>IF('合并资产负债表 '!T70&gt;0,"增幅",IF('合并资产负债表 '!T70=0,"无变化","降幅"))</f>
        <v>无变化</v>
      </c>
      <c r="Z69" s="445" t="s">
        <v>3736</v>
      </c>
      <c r="AA69" s="443"/>
      <c r="AB69" s="582" t="str">
        <f>IF('合并资产负债表 '!V70&gt;0,"增加",IF('合并资产负债表 '!V70=0,"无变化","减少"))</f>
        <v>无变化</v>
      </c>
      <c r="AC69" s="444" t="s">
        <v>3723</v>
      </c>
      <c r="AD69" s="444"/>
      <c r="AE69" s="582" t="str">
        <f>IF('合并资产负债表 '!V70&gt;0,"增幅",IF('合并资产负债表 '!V70=0,"无变化","降幅"))</f>
        <v>无变化</v>
      </c>
      <c r="AF69" s="445" t="s">
        <v>3710</v>
      </c>
    </row>
    <row r="70" spans="1:32">
      <c r="A70" s="28" t="s">
        <v>276</v>
      </c>
      <c r="B70" s="71" t="s">
        <v>175</v>
      </c>
      <c r="C70" s="176" t="s">
        <v>516</v>
      </c>
      <c r="D70" s="176" t="s">
        <v>588</v>
      </c>
      <c r="E70" s="176" t="s">
        <v>662</v>
      </c>
      <c r="F70" s="178" t="s">
        <v>735</v>
      </c>
      <c r="G70" s="161"/>
      <c r="H70" s="158"/>
      <c r="I70" s="158"/>
      <c r="J70" s="162"/>
      <c r="K70" s="161"/>
      <c r="L70" s="158"/>
      <c r="M70" s="158"/>
      <c r="N70" s="440"/>
      <c r="O70" s="443"/>
      <c r="P70" s="158" t="str">
        <f>IF('合并资产负债表 '!R71&gt;0,"增加",IF('合并资产负债表 '!R71=0,"无变化","减少"))</f>
        <v>无变化</v>
      </c>
      <c r="Q70" s="444" t="s">
        <v>3685</v>
      </c>
      <c r="R70" s="444"/>
      <c r="S70" s="158" t="str">
        <f>IF('合并资产负债表 '!R71&gt;0,"增幅",IF('合并资产负债表 '!R71=0,"无变化","降幅"))</f>
        <v>无变化</v>
      </c>
      <c r="T70" s="445" t="s">
        <v>3698</v>
      </c>
      <c r="U70" s="443"/>
      <c r="V70" s="582" t="str">
        <f>IF('合并资产负债表 '!T71&gt;0,"增加",IF('合并资产负债表 '!T71=0,"无变化","减少"))</f>
        <v>无变化</v>
      </c>
      <c r="W70" s="444" t="s">
        <v>3750</v>
      </c>
      <c r="X70" s="444"/>
      <c r="Y70" s="582" t="str">
        <f>IF('合并资产负债表 '!T71&gt;0,"增幅",IF('合并资产负债表 '!T71=0,"无变化","降幅"))</f>
        <v>无变化</v>
      </c>
      <c r="Z70" s="445" t="s">
        <v>3737</v>
      </c>
      <c r="AA70" s="443"/>
      <c r="AB70" s="582" t="str">
        <f>IF('合并资产负债表 '!V71&gt;0,"增加",IF('合并资产负债表 '!V71=0,"无变化","减少"))</f>
        <v>无变化</v>
      </c>
      <c r="AC70" s="444" t="s">
        <v>3724</v>
      </c>
      <c r="AD70" s="444"/>
      <c r="AE70" s="582" t="str">
        <f>IF('合并资产负债表 '!V71&gt;0,"增幅",IF('合并资产负债表 '!V71=0,"无变化","降幅"))</f>
        <v>无变化</v>
      </c>
      <c r="AF70" s="445" t="s">
        <v>3711</v>
      </c>
    </row>
    <row r="71" spans="1:32">
      <c r="A71" s="28" t="s">
        <v>277</v>
      </c>
      <c r="B71" s="71" t="s">
        <v>167</v>
      </c>
      <c r="C71" s="176" t="s">
        <v>517</v>
      </c>
      <c r="D71" s="176" t="s">
        <v>589</v>
      </c>
      <c r="E71" s="176" t="s">
        <v>663</v>
      </c>
      <c r="F71" s="178" t="s">
        <v>736</v>
      </c>
      <c r="G71" s="161"/>
      <c r="H71" s="158"/>
      <c r="I71" s="158"/>
      <c r="J71" s="162"/>
      <c r="K71" s="161"/>
      <c r="L71" s="158"/>
      <c r="M71" s="158"/>
      <c r="N71" s="440"/>
      <c r="O71" s="443"/>
      <c r="P71" s="158" t="str">
        <f>IF('合并资产负债表 '!R72&gt;0,"增加",IF('合并资产负债表 '!R72=0,"无变化","减少"))</f>
        <v>无变化</v>
      </c>
      <c r="Q71" s="444" t="s">
        <v>3686</v>
      </c>
      <c r="R71" s="444"/>
      <c r="S71" s="158" t="str">
        <f>IF('合并资产负债表 '!R72&gt;0,"增幅",IF('合并资产负债表 '!R72=0,"无变化","降幅"))</f>
        <v>无变化</v>
      </c>
      <c r="T71" s="445" t="s">
        <v>3699</v>
      </c>
      <c r="U71" s="443"/>
      <c r="V71" s="582" t="str">
        <f>IF('合并资产负债表 '!T72&gt;0,"增加",IF('合并资产负债表 '!T72=0,"无变化","减少"))</f>
        <v>无变化</v>
      </c>
      <c r="W71" s="444" t="s">
        <v>3751</v>
      </c>
      <c r="X71" s="444"/>
      <c r="Y71" s="582" t="str">
        <f>IF('合并资产负债表 '!T72&gt;0,"增幅",IF('合并资产负债表 '!T72=0,"无变化","降幅"))</f>
        <v>无变化</v>
      </c>
      <c r="Z71" s="445" t="s">
        <v>3738</v>
      </c>
      <c r="AA71" s="443"/>
      <c r="AB71" s="582" t="str">
        <f>IF('合并资产负债表 '!V72&gt;0,"增加",IF('合并资产负债表 '!V72=0,"无变化","减少"))</f>
        <v>无变化</v>
      </c>
      <c r="AC71" s="444" t="s">
        <v>3725</v>
      </c>
      <c r="AD71" s="444"/>
      <c r="AE71" s="582" t="str">
        <f>IF('合并资产负债表 '!V72&gt;0,"增幅",IF('合并资产负债表 '!V72=0,"无变化","降幅"))</f>
        <v>无变化</v>
      </c>
      <c r="AF71" s="445" t="s">
        <v>3712</v>
      </c>
    </row>
    <row r="72" spans="1:32">
      <c r="A72" s="28" t="s">
        <v>278</v>
      </c>
      <c r="B72" s="71" t="s">
        <v>168</v>
      </c>
      <c r="C72" s="176" t="s">
        <v>518</v>
      </c>
      <c r="D72" s="176" t="s">
        <v>590</v>
      </c>
      <c r="E72" s="176" t="s">
        <v>664</v>
      </c>
      <c r="F72" s="178" t="s">
        <v>737</v>
      </c>
      <c r="G72" s="161"/>
      <c r="H72" s="158"/>
      <c r="I72" s="158"/>
      <c r="J72" s="162"/>
      <c r="K72" s="161"/>
      <c r="L72" s="158"/>
      <c r="M72" s="158"/>
      <c r="N72" s="440"/>
      <c r="O72" s="443"/>
      <c r="P72" s="158" t="str">
        <f>IF('合并资产负债表 '!R73&gt;0,"增加",IF('合并资产负债表 '!R73=0,"无变化","减少"))</f>
        <v>无变化</v>
      </c>
      <c r="Q72" s="444" t="s">
        <v>3687</v>
      </c>
      <c r="R72" s="444"/>
      <c r="S72" s="158" t="str">
        <f>IF('合并资产负债表 '!R73&gt;0,"增幅",IF('合并资产负债表 '!R73=0,"无变化","降幅"))</f>
        <v>无变化</v>
      </c>
      <c r="T72" s="445" t="s">
        <v>3700</v>
      </c>
      <c r="U72" s="443"/>
      <c r="V72" s="582" t="str">
        <f>IF('合并资产负债表 '!T73&gt;0,"增加",IF('合并资产负债表 '!T73=0,"无变化","减少"))</f>
        <v>无变化</v>
      </c>
      <c r="W72" s="444" t="s">
        <v>3752</v>
      </c>
      <c r="X72" s="444"/>
      <c r="Y72" s="582" t="str">
        <f>IF('合并资产负债表 '!T73&gt;0,"增幅",IF('合并资产负债表 '!T73=0,"无变化","降幅"))</f>
        <v>无变化</v>
      </c>
      <c r="Z72" s="445" t="s">
        <v>3739</v>
      </c>
      <c r="AA72" s="443"/>
      <c r="AB72" s="582" t="str">
        <f>IF('合并资产负债表 '!V73&gt;0,"增加",IF('合并资产负债表 '!V73=0,"无变化","减少"))</f>
        <v>无变化</v>
      </c>
      <c r="AC72" s="444" t="s">
        <v>3726</v>
      </c>
      <c r="AD72" s="444"/>
      <c r="AE72" s="582" t="str">
        <f>IF('合并资产负债表 '!V73&gt;0,"增幅",IF('合并资产负债表 '!V73=0,"无变化","降幅"))</f>
        <v>无变化</v>
      </c>
      <c r="AF72" s="445" t="s">
        <v>3713</v>
      </c>
    </row>
    <row r="73" spans="1:32">
      <c r="A73" s="28" t="s">
        <v>279</v>
      </c>
      <c r="B73" s="71" t="s">
        <v>176</v>
      </c>
      <c r="C73" s="176" t="s">
        <v>519</v>
      </c>
      <c r="D73" s="176" t="s">
        <v>591</v>
      </c>
      <c r="E73" s="176" t="s">
        <v>665</v>
      </c>
      <c r="F73" s="178" t="s">
        <v>738</v>
      </c>
      <c r="G73" s="161"/>
      <c r="H73" s="158"/>
      <c r="I73" s="158"/>
      <c r="J73" s="162"/>
      <c r="K73" s="161"/>
      <c r="L73" s="158"/>
      <c r="M73" s="158"/>
      <c r="N73" s="440"/>
      <c r="O73" s="443"/>
      <c r="P73" s="158" t="str">
        <f>IF('合并资产负债表 '!R74&gt;0,"增加",IF('合并资产负债表 '!R74=0,"无变化","减少"))</f>
        <v>无变化</v>
      </c>
      <c r="Q73" s="444" t="s">
        <v>3688</v>
      </c>
      <c r="R73" s="444"/>
      <c r="S73" s="158" t="str">
        <f>IF('合并资产负债表 '!R74&gt;0,"增幅",IF('合并资产负债表 '!R74=0,"无变化","降幅"))</f>
        <v>无变化</v>
      </c>
      <c r="T73" s="445" t="s">
        <v>3701</v>
      </c>
      <c r="U73" s="443"/>
      <c r="V73" s="582" t="str">
        <f>IF('合并资产负债表 '!T74&gt;0,"增加",IF('合并资产负债表 '!T74=0,"无变化","减少"))</f>
        <v>无变化</v>
      </c>
      <c r="W73" s="444" t="s">
        <v>3753</v>
      </c>
      <c r="X73" s="444"/>
      <c r="Y73" s="582" t="str">
        <f>IF('合并资产负债表 '!T74&gt;0,"增幅",IF('合并资产负债表 '!T74=0,"无变化","降幅"))</f>
        <v>无变化</v>
      </c>
      <c r="Z73" s="445" t="s">
        <v>3740</v>
      </c>
      <c r="AA73" s="443"/>
      <c r="AB73" s="582" t="str">
        <f>IF('合并资产负债表 '!V74&gt;0,"增加",IF('合并资产负债表 '!V74=0,"无变化","减少"))</f>
        <v>无变化</v>
      </c>
      <c r="AC73" s="444" t="s">
        <v>3727</v>
      </c>
      <c r="AD73" s="444"/>
      <c r="AE73" s="582" t="str">
        <f>IF('合并资产负债表 '!V74&gt;0,"增幅",IF('合并资产负债表 '!V74=0,"无变化","降幅"))</f>
        <v>无变化</v>
      </c>
      <c r="AF73" s="445" t="s">
        <v>3714</v>
      </c>
    </row>
    <row r="74" spans="1:32">
      <c r="A74" s="28" t="s">
        <v>280</v>
      </c>
      <c r="B74" s="71" t="s">
        <v>177</v>
      </c>
      <c r="C74" s="176" t="s">
        <v>520</v>
      </c>
      <c r="D74" s="176" t="s">
        <v>592</v>
      </c>
      <c r="E74" s="176" t="s">
        <v>666</v>
      </c>
      <c r="F74" s="178" t="s">
        <v>739</v>
      </c>
      <c r="G74" s="161"/>
      <c r="H74" s="158"/>
      <c r="I74" s="158"/>
      <c r="J74" s="162"/>
      <c r="K74" s="161"/>
      <c r="L74" s="158"/>
      <c r="M74" s="158"/>
      <c r="N74" s="440"/>
      <c r="O74" s="443"/>
      <c r="P74" s="158" t="str">
        <f>IF('合并资产负债表 '!R75&gt;0,"增加",IF('合并资产负债表 '!R75=0,"无变化","减少"))</f>
        <v>无变化</v>
      </c>
      <c r="Q74" s="444" t="s">
        <v>3689</v>
      </c>
      <c r="R74" s="444"/>
      <c r="S74" s="158" t="str">
        <f>IF('合并资产负债表 '!R75&gt;0,"增幅",IF('合并资产负债表 '!R75=0,"无变化","降幅"))</f>
        <v>无变化</v>
      </c>
      <c r="T74" s="445" t="s">
        <v>3702</v>
      </c>
      <c r="U74" s="443"/>
      <c r="V74" s="582" t="str">
        <f>IF('合并资产负债表 '!T75&gt;0,"增加",IF('合并资产负债表 '!T75=0,"无变化","减少"))</f>
        <v>无变化</v>
      </c>
      <c r="W74" s="444" t="s">
        <v>3754</v>
      </c>
      <c r="X74" s="444"/>
      <c r="Y74" s="582" t="str">
        <f>IF('合并资产负债表 '!T75&gt;0,"增幅",IF('合并资产负债表 '!T75=0,"无变化","降幅"))</f>
        <v>无变化</v>
      </c>
      <c r="Z74" s="445" t="s">
        <v>3741</v>
      </c>
      <c r="AA74" s="443"/>
      <c r="AB74" s="582" t="str">
        <f>IF('合并资产负债表 '!V75&gt;0,"增加",IF('合并资产负债表 '!V75=0,"无变化","减少"))</f>
        <v>无变化</v>
      </c>
      <c r="AC74" s="444" t="s">
        <v>3728</v>
      </c>
      <c r="AD74" s="444"/>
      <c r="AE74" s="582" t="str">
        <f>IF('合并资产负债表 '!V75&gt;0,"增幅",IF('合并资产负债表 '!V75=0,"无变化","降幅"))</f>
        <v>无变化</v>
      </c>
      <c r="AF74" s="445" t="s">
        <v>3715</v>
      </c>
    </row>
    <row r="75" spans="1:32">
      <c r="A75" s="28" t="s">
        <v>281</v>
      </c>
      <c r="B75" s="71" t="s">
        <v>178</v>
      </c>
      <c r="C75" s="176" t="s">
        <v>521</v>
      </c>
      <c r="D75" s="176" t="s">
        <v>593</v>
      </c>
      <c r="E75" s="176" t="s">
        <v>667</v>
      </c>
      <c r="F75" s="178" t="s">
        <v>740</v>
      </c>
      <c r="G75" s="161"/>
      <c r="H75" s="158"/>
      <c r="I75" s="158"/>
      <c r="J75" s="162"/>
      <c r="K75" s="161"/>
      <c r="L75" s="158"/>
      <c r="M75" s="158"/>
      <c r="N75" s="440"/>
      <c r="O75" s="443"/>
      <c r="P75" s="158" t="str">
        <f>IF('合并资产负债表 '!R76&gt;0,"增加",IF('合并资产负债表 '!R76=0,"无变化","减少"))</f>
        <v>无变化</v>
      </c>
      <c r="Q75" s="444" t="s">
        <v>3690</v>
      </c>
      <c r="R75" s="444"/>
      <c r="S75" s="158" t="str">
        <f>IF('合并资产负债表 '!R76&gt;0,"增幅",IF('合并资产负债表 '!R76=0,"无变化","降幅"))</f>
        <v>无变化</v>
      </c>
      <c r="T75" s="445" t="s">
        <v>3703</v>
      </c>
      <c r="U75" s="443"/>
      <c r="V75" s="582" t="str">
        <f>IF('合并资产负债表 '!T76&gt;0,"增加",IF('合并资产负债表 '!T76=0,"无变化","减少"))</f>
        <v>无变化</v>
      </c>
      <c r="W75" s="444" t="s">
        <v>3755</v>
      </c>
      <c r="X75" s="444"/>
      <c r="Y75" s="582" t="str">
        <f>IF('合并资产负债表 '!T76&gt;0,"增幅",IF('合并资产负债表 '!T76=0,"无变化","降幅"))</f>
        <v>无变化</v>
      </c>
      <c r="Z75" s="445" t="s">
        <v>3742</v>
      </c>
      <c r="AA75" s="443"/>
      <c r="AB75" s="582" t="str">
        <f>IF('合并资产负债表 '!V76&gt;0,"增加",IF('合并资产负债表 '!V76=0,"无变化","减少"))</f>
        <v>无变化</v>
      </c>
      <c r="AC75" s="444" t="s">
        <v>3729</v>
      </c>
      <c r="AD75" s="444"/>
      <c r="AE75" s="582" t="str">
        <f>IF('合并资产负债表 '!V76&gt;0,"增幅",IF('合并资产负债表 '!V76=0,"无变化","降幅"))</f>
        <v>无变化</v>
      </c>
      <c r="AF75" s="445" t="s">
        <v>3716</v>
      </c>
    </row>
    <row r="76" spans="1:32">
      <c r="A76" s="28" t="s">
        <v>282</v>
      </c>
      <c r="B76" s="71" t="s">
        <v>179</v>
      </c>
      <c r="C76" s="176" t="s">
        <v>522</v>
      </c>
      <c r="D76" s="176" t="s">
        <v>594</v>
      </c>
      <c r="E76" s="176" t="s">
        <v>668</v>
      </c>
      <c r="F76" s="178" t="s">
        <v>741</v>
      </c>
      <c r="G76" s="161"/>
      <c r="H76" s="158"/>
      <c r="I76" s="158"/>
      <c r="J76" s="162"/>
      <c r="K76" s="161"/>
      <c r="L76" s="158"/>
      <c r="M76" s="158"/>
      <c r="N76" s="440"/>
      <c r="O76" s="443"/>
      <c r="P76" s="158" t="str">
        <f>IF('合并资产负债表 '!R77&gt;0,"增加",IF('合并资产负债表 '!R77=0,"无变化","减少"))</f>
        <v>无变化</v>
      </c>
      <c r="Q76" s="444" t="s">
        <v>3691</v>
      </c>
      <c r="R76" s="444"/>
      <c r="S76" s="158" t="str">
        <f>IF('合并资产负债表 '!R77&gt;0,"增幅",IF('合并资产负债表 '!R77=0,"无变化","降幅"))</f>
        <v>无变化</v>
      </c>
      <c r="T76" s="445" t="s">
        <v>3704</v>
      </c>
      <c r="U76" s="443"/>
      <c r="V76" s="582" t="str">
        <f>IF('合并资产负债表 '!T77&gt;0,"增加",IF('合并资产负债表 '!T77=0,"无变化","减少"))</f>
        <v>无变化</v>
      </c>
      <c r="W76" s="444" t="s">
        <v>3756</v>
      </c>
      <c r="X76" s="444"/>
      <c r="Y76" s="582" t="str">
        <f>IF('合并资产负债表 '!T77&gt;0,"增幅",IF('合并资产负债表 '!T77=0,"无变化","降幅"))</f>
        <v>无变化</v>
      </c>
      <c r="Z76" s="445" t="s">
        <v>3743</v>
      </c>
      <c r="AA76" s="443"/>
      <c r="AB76" s="582" t="str">
        <f>IF('合并资产负债表 '!V77&gt;0,"增加",IF('合并资产负债表 '!V77=0,"无变化","减少"))</f>
        <v>无变化</v>
      </c>
      <c r="AC76" s="444" t="s">
        <v>3730</v>
      </c>
      <c r="AD76" s="444"/>
      <c r="AE76" s="582" t="str">
        <f>IF('合并资产负债表 '!V77&gt;0,"增幅",IF('合并资产负债表 '!V77=0,"无变化","降幅"))</f>
        <v>无变化</v>
      </c>
      <c r="AF76" s="445" t="s">
        <v>3717</v>
      </c>
    </row>
    <row r="77" spans="1:32">
      <c r="A77" s="28" t="s">
        <v>283</v>
      </c>
      <c r="B77" s="71" t="s">
        <v>180</v>
      </c>
      <c r="C77" s="176" t="s">
        <v>523</v>
      </c>
      <c r="D77" s="176" t="s">
        <v>595</v>
      </c>
      <c r="E77" s="176" t="s">
        <v>669</v>
      </c>
      <c r="F77" s="178" t="s">
        <v>742</v>
      </c>
      <c r="G77" s="161"/>
      <c r="H77" s="158"/>
      <c r="I77" s="158"/>
      <c r="J77" s="162"/>
      <c r="K77" s="161"/>
      <c r="L77" s="158"/>
      <c r="M77" s="158"/>
      <c r="N77" s="440"/>
      <c r="O77" s="443"/>
      <c r="P77" s="158" t="str">
        <f>IF('合并资产负债表 '!R78&gt;0,"增加",IF('合并资产负债表 '!R78=0,"无变化","减少"))</f>
        <v>无变化</v>
      </c>
      <c r="Q77" s="444" t="s">
        <v>3692</v>
      </c>
      <c r="R77" s="444"/>
      <c r="S77" s="158" t="str">
        <f>IF('合并资产负债表 '!R78&gt;0,"增幅",IF('合并资产负债表 '!R78=0,"无变化","降幅"))</f>
        <v>无变化</v>
      </c>
      <c r="T77" s="445" t="s">
        <v>3705</v>
      </c>
      <c r="U77" s="443"/>
      <c r="V77" s="582" t="str">
        <f>IF('合并资产负债表 '!T78&gt;0,"增加",IF('合并资产负债表 '!T78=0,"无变化","减少"))</f>
        <v>无变化</v>
      </c>
      <c r="W77" s="444" t="s">
        <v>3757</v>
      </c>
      <c r="X77" s="444"/>
      <c r="Y77" s="582" t="str">
        <f>IF('合并资产负债表 '!T78&gt;0,"增幅",IF('合并资产负债表 '!T78=0,"无变化","降幅"))</f>
        <v>无变化</v>
      </c>
      <c r="Z77" s="445" t="s">
        <v>3744</v>
      </c>
      <c r="AA77" s="443"/>
      <c r="AB77" s="582" t="str">
        <f>IF('合并资产负债表 '!V78&gt;0,"增加",IF('合并资产负债表 '!V78=0,"无变化","减少"))</f>
        <v>无变化</v>
      </c>
      <c r="AC77" s="444" t="s">
        <v>3731</v>
      </c>
      <c r="AD77" s="444"/>
      <c r="AE77" s="582" t="str">
        <f>IF('合并资产负债表 '!V78&gt;0,"增幅",IF('合并资产负债表 '!V78=0,"无变化","降幅"))</f>
        <v>无变化</v>
      </c>
      <c r="AF77" s="445" t="s">
        <v>3718</v>
      </c>
    </row>
    <row r="78" spans="1:32">
      <c r="A78" s="28" t="s">
        <v>284</v>
      </c>
      <c r="B78" s="71" t="s">
        <v>181</v>
      </c>
      <c r="C78" s="176" t="s">
        <v>524</v>
      </c>
      <c r="D78" s="176" t="s">
        <v>596</v>
      </c>
      <c r="E78" s="176" t="s">
        <v>670</v>
      </c>
      <c r="F78" s="178" t="s">
        <v>743</v>
      </c>
      <c r="G78" s="161"/>
      <c r="H78" s="158"/>
      <c r="I78" s="158"/>
      <c r="J78" s="162"/>
      <c r="K78" s="161"/>
      <c r="L78" s="158"/>
      <c r="M78" s="158"/>
      <c r="N78" s="440"/>
      <c r="O78" s="443"/>
      <c r="P78" s="158" t="str">
        <f>IF('合并资产负债表 '!R79&gt;0,"增加",IF('合并资产负债表 '!R79=0,"无变化","减少"))</f>
        <v>无变化</v>
      </c>
      <c r="Q78" s="444" t="s">
        <v>3693</v>
      </c>
      <c r="R78" s="444"/>
      <c r="S78" s="158" t="str">
        <f>IF('合并资产负债表 '!R79&gt;0,"增幅",IF('合并资产负债表 '!R79=0,"无变化","降幅"))</f>
        <v>无变化</v>
      </c>
      <c r="T78" s="445" t="s">
        <v>3706</v>
      </c>
      <c r="U78" s="443"/>
      <c r="V78" s="582" t="str">
        <f>IF('合并资产负债表 '!T79&gt;0,"增加",IF('合并资产负债表 '!T79=0,"无变化","减少"))</f>
        <v>无变化</v>
      </c>
      <c r="W78" s="444" t="s">
        <v>3758</v>
      </c>
      <c r="X78" s="444"/>
      <c r="Y78" s="582" t="str">
        <f>IF('合并资产负债表 '!T79&gt;0,"增幅",IF('合并资产负债表 '!T79=0,"无变化","降幅"))</f>
        <v>无变化</v>
      </c>
      <c r="Z78" s="445" t="s">
        <v>3745</v>
      </c>
      <c r="AA78" s="443"/>
      <c r="AB78" s="582" t="str">
        <f>IF('合并资产负债表 '!V79&gt;0,"增加",IF('合并资产负债表 '!V79=0,"无变化","减少"))</f>
        <v>无变化</v>
      </c>
      <c r="AC78" s="444" t="s">
        <v>3732</v>
      </c>
      <c r="AD78" s="444"/>
      <c r="AE78" s="582" t="str">
        <f>IF('合并资产负债表 '!V79&gt;0,"增幅",IF('合并资产负债表 '!V79=0,"无变化","降幅"))</f>
        <v>无变化</v>
      </c>
      <c r="AF78" s="445" t="s">
        <v>3719</v>
      </c>
    </row>
    <row r="79" spans="1:32" s="189" customFormat="1">
      <c r="A79" s="190" t="s">
        <v>285</v>
      </c>
      <c r="B79" s="76" t="s">
        <v>182</v>
      </c>
      <c r="C79" s="298" t="s">
        <v>525</v>
      </c>
      <c r="D79" s="298" t="s">
        <v>597</v>
      </c>
      <c r="E79" s="298" t="s">
        <v>671</v>
      </c>
      <c r="F79" s="299" t="s">
        <v>744</v>
      </c>
      <c r="G79" s="210"/>
      <c r="H79" s="160"/>
      <c r="I79" s="160"/>
      <c r="J79" s="165"/>
      <c r="K79" s="210"/>
      <c r="L79" s="160"/>
      <c r="M79" s="160"/>
      <c r="N79" s="202"/>
      <c r="O79" s="446"/>
      <c r="P79" s="358" t="str">
        <f>IF('合并资产负债表 '!R80&gt;0,"增加",IF('合并资产负债表 '!R80=0,"无变化","减少"))</f>
        <v>无变化</v>
      </c>
      <c r="Q79" s="447" t="s">
        <v>3694</v>
      </c>
      <c r="R79" s="447"/>
      <c r="S79" s="358" t="str">
        <f>IF('合并资产负债表 '!R80&gt;0,"增幅",IF('合并资产负债表 '!R80=0,"无变化","降幅"))</f>
        <v>无变化</v>
      </c>
      <c r="T79" s="448" t="s">
        <v>3707</v>
      </c>
      <c r="U79" s="446"/>
      <c r="V79" s="358" t="str">
        <f>IF('合并资产负债表 '!T80&gt;0,"增加",IF('合并资产负债表 '!T80=0,"无变化","减少"))</f>
        <v>无变化</v>
      </c>
      <c r="W79" s="447" t="s">
        <v>3759</v>
      </c>
      <c r="X79" s="447"/>
      <c r="Y79" s="358" t="str">
        <f>IF('合并资产负债表 '!T80&gt;0,"增幅",IF('合并资产负债表 '!T80=0,"无变化","降幅"))</f>
        <v>无变化</v>
      </c>
      <c r="Z79" s="448" t="s">
        <v>3746</v>
      </c>
      <c r="AA79" s="446"/>
      <c r="AB79" s="358" t="str">
        <f>IF('合并资产负债表 '!V80&gt;0,"增加",IF('合并资产负债表 '!V80=0,"无变化","减少"))</f>
        <v>无变化</v>
      </c>
      <c r="AC79" s="447" t="s">
        <v>3733</v>
      </c>
      <c r="AD79" s="447"/>
      <c r="AE79" s="358" t="str">
        <f>IF('合并资产负债表 '!V80&gt;0,"增幅",IF('合并资产负债表 '!V80=0,"无变化","降幅"))</f>
        <v>无变化</v>
      </c>
      <c r="AF79" s="448" t="s">
        <v>3720</v>
      </c>
    </row>
    <row r="80" spans="1:32">
      <c r="A80" s="28" t="s">
        <v>286</v>
      </c>
      <c r="B80" s="71" t="s">
        <v>183</v>
      </c>
      <c r="C80" s="176" t="s">
        <v>526</v>
      </c>
      <c r="D80" s="176" t="s">
        <v>598</v>
      </c>
      <c r="E80" s="176" t="s">
        <v>672</v>
      </c>
      <c r="F80" s="178" t="s">
        <v>745</v>
      </c>
      <c r="G80" s="161"/>
      <c r="H80" s="158"/>
      <c r="I80" s="158"/>
      <c r="J80" s="162"/>
      <c r="K80" s="161"/>
      <c r="L80" s="158"/>
      <c r="M80" s="158"/>
      <c r="N80" s="440"/>
      <c r="O80" s="443"/>
      <c r="P80" s="158" t="str">
        <f>IF('合并资产负债表 '!R81&gt;0,"增加",IF('合并资产负债表 '!R81=0,"无变化","减少"))</f>
        <v>无变化</v>
      </c>
      <c r="Q80" s="444" t="s">
        <v>3695</v>
      </c>
      <c r="R80" s="444"/>
      <c r="S80" s="158" t="str">
        <f>IF('合并资产负债表 '!R81&gt;0,"增幅",IF('合并资产负债表 '!R81=0,"无变化","降幅"))</f>
        <v>无变化</v>
      </c>
      <c r="T80" s="445" t="s">
        <v>3708</v>
      </c>
      <c r="U80" s="443"/>
      <c r="V80" s="582" t="str">
        <f>IF('合并资产负债表 '!T81&gt;0,"增加",IF('合并资产负债表 '!T81=0,"无变化","减少"))</f>
        <v>无变化</v>
      </c>
      <c r="W80" s="444" t="s">
        <v>3760</v>
      </c>
      <c r="X80" s="444"/>
      <c r="Y80" s="582" t="str">
        <f>IF('合并资产负债表 '!T81&gt;0,"增幅",IF('合并资产负债表 '!T81=0,"无变化","降幅"))</f>
        <v>无变化</v>
      </c>
      <c r="Z80" s="445" t="s">
        <v>3747</v>
      </c>
      <c r="AA80" s="443"/>
      <c r="AB80" s="582" t="str">
        <f>IF('合并资产负债表 '!V81&gt;0,"增加",IF('合并资产负债表 '!V81=0,"无变化","减少"))</f>
        <v>无变化</v>
      </c>
      <c r="AC80" s="444" t="s">
        <v>3734</v>
      </c>
      <c r="AD80" s="444"/>
      <c r="AE80" s="582" t="str">
        <f>IF('合并资产负债表 '!V81&gt;0,"增幅",IF('合并资产负债表 '!V81=0,"无变化","降幅"))</f>
        <v>无变化</v>
      </c>
      <c r="AF80" s="445" t="s">
        <v>3721</v>
      </c>
    </row>
    <row r="81" spans="1:32" s="189" customFormat="1">
      <c r="A81" s="190" t="s">
        <v>274</v>
      </c>
      <c r="B81" s="76" t="s">
        <v>184</v>
      </c>
      <c r="C81" s="298" t="s">
        <v>527</v>
      </c>
      <c r="D81" s="298" t="s">
        <v>599</v>
      </c>
      <c r="E81" s="298" t="s">
        <v>673</v>
      </c>
      <c r="F81" s="299" t="s">
        <v>746</v>
      </c>
      <c r="G81" s="210"/>
      <c r="H81" s="160"/>
      <c r="I81" s="160"/>
      <c r="J81" s="165"/>
      <c r="K81" s="210"/>
      <c r="L81" s="160"/>
      <c r="M81" s="160"/>
      <c r="N81" s="202"/>
      <c r="O81" s="446"/>
      <c r="P81" s="358" t="str">
        <f>IF('合并资产负债表 '!R82&gt;0,"增加",IF('合并资产负债表 '!R82=0,"无变化","减少"))</f>
        <v>无变化</v>
      </c>
      <c r="Q81" s="447" t="s">
        <v>3696</v>
      </c>
      <c r="R81" s="447"/>
      <c r="S81" s="358" t="str">
        <f>IF('合并资产负债表 '!R82&gt;0,"增幅",IF('合并资产负债表 '!R82=0,"无变化","降幅"))</f>
        <v>无变化</v>
      </c>
      <c r="T81" s="448" t="s">
        <v>3709</v>
      </c>
      <c r="U81" s="446"/>
      <c r="V81" s="358" t="str">
        <f>IF('合并资产负债表 '!T82&gt;0,"增加",IF('合并资产负债表 '!T82=0,"无变化","减少"))</f>
        <v>无变化</v>
      </c>
      <c r="W81" s="447" t="s">
        <v>3761</v>
      </c>
      <c r="X81" s="447"/>
      <c r="Y81" s="358" t="str">
        <f>IF('合并资产负债表 '!T82&gt;0,"增幅",IF('合并资产负债表 '!T82=0,"无变化","降幅"))</f>
        <v>无变化</v>
      </c>
      <c r="Z81" s="448" t="s">
        <v>3748</v>
      </c>
      <c r="AA81" s="446"/>
      <c r="AB81" s="358" t="str">
        <f>IF('合并资产负债表 '!V82&gt;0,"增加",IF('合并资产负债表 '!V82=0,"无变化","减少"))</f>
        <v>无变化</v>
      </c>
      <c r="AC81" s="447" t="s">
        <v>3735</v>
      </c>
      <c r="AD81" s="447"/>
      <c r="AE81" s="358" t="str">
        <f>IF('合并资产负债表 '!V82&gt;0,"增幅",IF('合并资产负债表 '!V82=0,"无变化","降幅"))</f>
        <v>无变化</v>
      </c>
      <c r="AF81" s="448" t="s">
        <v>3722</v>
      </c>
    </row>
    <row r="82" spans="1:32" s="189" customFormat="1" ht="13.5" thickBot="1">
      <c r="A82" s="190" t="s">
        <v>215</v>
      </c>
      <c r="B82" s="157" t="s">
        <v>185</v>
      </c>
      <c r="C82" s="179" t="s">
        <v>485</v>
      </c>
      <c r="D82" s="179" t="s">
        <v>557</v>
      </c>
      <c r="E82" s="179" t="s">
        <v>631</v>
      </c>
      <c r="F82" s="187" t="s">
        <v>705</v>
      </c>
      <c r="G82" s="212"/>
      <c r="H82" s="166"/>
      <c r="I82" s="166"/>
      <c r="J82" s="167"/>
      <c r="K82" s="212"/>
      <c r="L82" s="166"/>
      <c r="M82" s="166"/>
      <c r="N82" s="216"/>
      <c r="O82" s="449"/>
      <c r="P82" s="466" t="str">
        <f>IF('合并资产负债表 '!R83&gt;0,"增加",IF('合并资产负债表 '!R83=0,"无变化","减少"))</f>
        <v>无变化</v>
      </c>
      <c r="Q82" s="450" t="s">
        <v>2483</v>
      </c>
      <c r="R82" s="450"/>
      <c r="S82" s="466" t="str">
        <f>IF('合并资产负债表 '!R83&gt;0,"增幅",IF('合并资产负债表 '!R83=0,"无变化","降幅"))</f>
        <v>无变化</v>
      </c>
      <c r="T82" s="451" t="s">
        <v>2545</v>
      </c>
      <c r="U82" s="449"/>
      <c r="V82" s="466" t="str">
        <f>IF('合并资产负债表 '!T83&gt;0,"增加",IF('合并资产负债表 '!T83=0,"无变化","减少"))</f>
        <v>无变化</v>
      </c>
      <c r="W82" s="450" t="s">
        <v>2667</v>
      </c>
      <c r="X82" s="450"/>
      <c r="Y82" s="466" t="str">
        <f>IF('合并资产负债表 '!T83&gt;0,"增幅",IF('合并资产负债表 '!T83=0,"无变化","降幅"))</f>
        <v>无变化</v>
      </c>
      <c r="Z82" s="451" t="s">
        <v>2789</v>
      </c>
      <c r="AA82" s="449"/>
      <c r="AB82" s="466" t="str">
        <f>IF('合并资产负债表 '!V83&gt;0,"增加",IF('合并资产负债表 '!V83=0,"无变化","减少"))</f>
        <v>无变化</v>
      </c>
      <c r="AC82" s="450" t="s">
        <v>2911</v>
      </c>
      <c r="AD82" s="450"/>
      <c r="AE82" s="466" t="str">
        <f>IF('合并资产负债表 '!V83&gt;0,"增幅",IF('合并资产负债表 '!V83=0,"无变化","降幅"))</f>
        <v>无变化</v>
      </c>
      <c r="AF82" s="451" t="s">
        <v>3033</v>
      </c>
    </row>
    <row r="83" spans="1:32" s="189" customFormat="1">
      <c r="B83" s="194"/>
      <c r="C83" s="195"/>
      <c r="D83" s="195"/>
      <c r="E83" s="195"/>
      <c r="F83" s="195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168"/>
      <c r="AD83" s="168"/>
      <c r="AE83" s="168"/>
      <c r="AF83" s="168"/>
    </row>
    <row r="84" spans="1:32" ht="13.5" thickBot="1"/>
    <row r="85" spans="1:32" ht="15.6" customHeight="1">
      <c r="B85" s="710" t="s">
        <v>81</v>
      </c>
      <c r="C85" s="708" t="str">
        <f>C1</f>
        <v>N4</v>
      </c>
      <c r="D85" s="702" t="str">
        <f>D1</f>
        <v>N3</v>
      </c>
      <c r="E85" s="702" t="str">
        <f>E1</f>
        <v>N2</v>
      </c>
      <c r="F85" s="706" t="str">
        <f>F1</f>
        <v>N1</v>
      </c>
      <c r="G85" s="666" t="s">
        <v>77</v>
      </c>
      <c r="H85" s="667"/>
      <c r="I85" s="667"/>
      <c r="J85" s="667"/>
      <c r="K85" s="667"/>
      <c r="L85" s="668"/>
      <c r="M85" s="666" t="s">
        <v>76</v>
      </c>
      <c r="N85" s="667"/>
      <c r="O85" s="667"/>
      <c r="P85" s="667"/>
      <c r="Q85" s="667"/>
      <c r="R85" s="668"/>
      <c r="AB85" s="28"/>
      <c r="AC85" s="28"/>
      <c r="AD85" s="28"/>
      <c r="AE85" s="28"/>
      <c r="AF85" s="28"/>
    </row>
    <row r="86" spans="1:32">
      <c r="B86" s="711"/>
      <c r="C86" s="709"/>
      <c r="D86" s="703"/>
      <c r="E86" s="703"/>
      <c r="F86" s="707"/>
      <c r="G86" s="662" t="s">
        <v>32</v>
      </c>
      <c r="H86" s="663"/>
      <c r="I86" s="663"/>
      <c r="J86" s="664" t="s">
        <v>6</v>
      </c>
      <c r="K86" s="664"/>
      <c r="L86" s="665"/>
      <c r="M86" s="662" t="s">
        <v>32</v>
      </c>
      <c r="N86" s="663"/>
      <c r="O86" s="663"/>
      <c r="P86" s="664" t="s">
        <v>6</v>
      </c>
      <c r="Q86" s="664"/>
      <c r="R86" s="665"/>
      <c r="AB86" s="28"/>
      <c r="AC86" s="28"/>
      <c r="AD86" s="28"/>
      <c r="AE86" s="28"/>
      <c r="AF86" s="28"/>
    </row>
    <row r="87" spans="1:32" s="189" customFormat="1">
      <c r="A87" s="189" t="s">
        <v>323</v>
      </c>
      <c r="B87" s="510" t="s">
        <v>206</v>
      </c>
      <c r="C87" s="210" t="s">
        <v>1029</v>
      </c>
      <c r="D87" s="160" t="s">
        <v>1070</v>
      </c>
      <c r="E87" s="160" t="s">
        <v>1152</v>
      </c>
      <c r="F87" s="202" t="s">
        <v>1111</v>
      </c>
      <c r="G87" s="526" t="s">
        <v>3387</v>
      </c>
      <c r="H87" s="527" t="str">
        <f>IF('合并利润表 '!J4&gt;0,"增加",IF('合并利润表 '!J4=0,"无变化","减少"))</f>
        <v>无变化</v>
      </c>
      <c r="I87" s="533" t="s">
        <v>3396</v>
      </c>
      <c r="J87" s="533" t="s">
        <v>3405</v>
      </c>
      <c r="K87" s="527" t="str">
        <f>IF('合并利润表 '!J4&gt;0,"增幅",IF('合并利润表 '!J4=0,"无变化","降幅"))</f>
        <v>无变化</v>
      </c>
      <c r="L87" s="534" t="s">
        <v>3414</v>
      </c>
      <c r="M87" s="526" t="s">
        <v>3423</v>
      </c>
      <c r="N87" s="527" t="str">
        <f>IF('合并利润表 '!L4&gt;0,"增加",IF('合并利润表 '!L4=0,"无变化","减少"))</f>
        <v>无变化</v>
      </c>
      <c r="O87" s="583" t="s">
        <v>3432</v>
      </c>
      <c r="P87" s="583" t="s">
        <v>3441</v>
      </c>
      <c r="Q87" s="527" t="str">
        <f>IF('合并利润表 '!L4&gt;0,"增幅",IF('合并利润表 '!L4=0,"无变化","降幅"))</f>
        <v>无变化</v>
      </c>
      <c r="R87" s="584" t="s">
        <v>3450</v>
      </c>
      <c r="S87" s="168"/>
      <c r="T87" s="217"/>
      <c r="U87" s="217"/>
      <c r="V87" s="217"/>
      <c r="W87" s="217"/>
      <c r="X87" s="217"/>
      <c r="Y87" s="217"/>
      <c r="Z87" s="217"/>
      <c r="AA87" s="217"/>
      <c r="AB87" s="217"/>
      <c r="AC87" s="217"/>
      <c r="AD87" s="217"/>
      <c r="AE87" s="217"/>
    </row>
    <row r="88" spans="1:32" s="189" customFormat="1">
      <c r="A88" s="189" t="s">
        <v>4102</v>
      </c>
      <c r="B88" s="510" t="s">
        <v>4099</v>
      </c>
      <c r="C88" s="210" t="s">
        <v>4100</v>
      </c>
      <c r="D88" s="160" t="s">
        <v>4101</v>
      </c>
      <c r="E88" s="160" t="s">
        <v>1152</v>
      </c>
      <c r="F88" s="202" t="s">
        <v>1111</v>
      </c>
      <c r="G88" s="526"/>
      <c r="H88" s="527"/>
      <c r="I88" s="646"/>
      <c r="J88" s="646"/>
      <c r="K88" s="527"/>
      <c r="L88" s="647"/>
      <c r="M88" s="526"/>
      <c r="N88" s="527"/>
      <c r="O88" s="646"/>
      <c r="P88" s="646"/>
      <c r="Q88" s="527"/>
      <c r="R88" s="647"/>
      <c r="S88" s="168"/>
      <c r="T88" s="217"/>
      <c r="U88" s="217"/>
      <c r="V88" s="217"/>
      <c r="W88" s="217"/>
      <c r="X88" s="217"/>
      <c r="Y88" s="217"/>
      <c r="Z88" s="217"/>
      <c r="AA88" s="217"/>
      <c r="AB88" s="217"/>
      <c r="AC88" s="217"/>
      <c r="AD88" s="217"/>
      <c r="AE88" s="217"/>
    </row>
    <row r="89" spans="1:32">
      <c r="A89" s="28" t="s">
        <v>324</v>
      </c>
      <c r="B89" s="511" t="s">
        <v>187</v>
      </c>
      <c r="C89" s="518" t="s">
        <v>1030</v>
      </c>
      <c r="D89" s="171" t="s">
        <v>1071</v>
      </c>
      <c r="E89" s="171" t="s">
        <v>1153</v>
      </c>
      <c r="F89" s="201" t="s">
        <v>1112</v>
      </c>
      <c r="G89" s="528" t="s">
        <v>3388</v>
      </c>
      <c r="H89" s="529" t="str">
        <f>IF('合并利润表 '!J7&gt;0,"增加",IF('合并利润表 '!J7=0,"无变化","减少"))</f>
        <v>无变化</v>
      </c>
      <c r="I89" s="529" t="s">
        <v>3397</v>
      </c>
      <c r="J89" s="530" t="s">
        <v>3406</v>
      </c>
      <c r="K89" s="529" t="str">
        <f>IF('合并利润表 '!J7&gt;0,"增幅",IF('合并利润表 '!J7=0,"无变化","降幅"))</f>
        <v>无变化</v>
      </c>
      <c r="L89" s="531" t="s">
        <v>3415</v>
      </c>
      <c r="M89" s="528" t="s">
        <v>3424</v>
      </c>
      <c r="N89" s="529" t="str">
        <f>IF('合并利润表 '!L7&gt;0,"增加",IF('合并利润表 '!L7=0,"无变化","减少"))</f>
        <v>无变化</v>
      </c>
      <c r="O89" s="529" t="s">
        <v>3433</v>
      </c>
      <c r="P89" s="530" t="s">
        <v>3442</v>
      </c>
      <c r="Q89" s="529" t="str">
        <f>IF('合并利润表 '!L7&gt;0,"增幅",IF('合并利润表 '!L7=0,"无变化","降幅"))</f>
        <v>无变化</v>
      </c>
      <c r="R89" s="531" t="s">
        <v>3451</v>
      </c>
      <c r="S89" s="156"/>
      <c r="AF89" s="28"/>
    </row>
    <row r="90" spans="1:32">
      <c r="A90" s="28" t="s">
        <v>325</v>
      </c>
      <c r="B90" s="512" t="s">
        <v>188</v>
      </c>
      <c r="C90" s="518" t="s">
        <v>1031</v>
      </c>
      <c r="D90" s="171" t="s">
        <v>1072</v>
      </c>
      <c r="E90" s="171" t="s">
        <v>1154</v>
      </c>
      <c r="F90" s="201" t="s">
        <v>1113</v>
      </c>
      <c r="G90" s="521" t="s">
        <v>3763</v>
      </c>
      <c r="H90" s="529" t="str">
        <f>IF('合并利润表 '!J8&gt;0,"增加",IF('合并利润表 '!J8=0,"无变化","减少"))</f>
        <v>无变化</v>
      </c>
      <c r="I90" s="444" t="s">
        <v>3795</v>
      </c>
      <c r="J90" s="520" t="s">
        <v>3827</v>
      </c>
      <c r="K90" s="529" t="str">
        <f>IF('合并利润表 '!J8&gt;0,"增幅",IF('合并利润表 '!J8=0,"无变化","降幅"))</f>
        <v>无变化</v>
      </c>
      <c r="L90" s="445" t="s">
        <v>3859</v>
      </c>
      <c r="M90" s="521" t="s">
        <v>3891</v>
      </c>
      <c r="N90" s="529" t="str">
        <f>IF('合并利润表 '!L8&gt;0,"增加",IF('合并利润表 '!L8=0,"无变化","减少"))</f>
        <v>无变化</v>
      </c>
      <c r="O90" s="444" t="s">
        <v>3923</v>
      </c>
      <c r="P90" s="520" t="s">
        <v>3955</v>
      </c>
      <c r="Q90" s="529" t="str">
        <f>IF('合并利润表 '!L8&gt;0,"增幅",IF('合并利润表 '!L8=0,"无变化","降幅"))</f>
        <v>无变化</v>
      </c>
      <c r="R90" s="445" t="s">
        <v>3987</v>
      </c>
      <c r="S90" s="156"/>
      <c r="AF90" s="28"/>
    </row>
    <row r="91" spans="1:32">
      <c r="A91" s="28" t="s">
        <v>326</v>
      </c>
      <c r="B91" s="512" t="s">
        <v>189</v>
      </c>
      <c r="C91" s="518" t="s">
        <v>1032</v>
      </c>
      <c r="D91" s="171" t="s">
        <v>1073</v>
      </c>
      <c r="E91" s="171" t="s">
        <v>1155</v>
      </c>
      <c r="F91" s="201" t="s">
        <v>1114</v>
      </c>
      <c r="G91" s="528" t="s">
        <v>3389</v>
      </c>
      <c r="H91" s="529" t="str">
        <f>IF('合并利润表 '!J9&gt;0,"增加",IF('合并利润表 '!J9=0,"无变化","减少"))</f>
        <v>无变化</v>
      </c>
      <c r="I91" s="529" t="s">
        <v>3398</v>
      </c>
      <c r="J91" s="530" t="s">
        <v>3407</v>
      </c>
      <c r="K91" s="529" t="str">
        <f>IF('合并利润表 '!J9&gt;0,"增幅",IF('合并利润表 '!J9=0,"无变化","降幅"))</f>
        <v>无变化</v>
      </c>
      <c r="L91" s="531" t="s">
        <v>3416</v>
      </c>
      <c r="M91" s="528" t="s">
        <v>3425</v>
      </c>
      <c r="N91" s="529" t="str">
        <f>IF('合并利润表 '!L9&gt;0,"增加",IF('合并利润表 '!L9=0,"无变化","减少"))</f>
        <v>无变化</v>
      </c>
      <c r="O91" s="529" t="s">
        <v>3434</v>
      </c>
      <c r="P91" s="530" t="s">
        <v>3443</v>
      </c>
      <c r="Q91" s="529" t="str">
        <f>IF('合并利润表 '!L9&gt;0,"增幅",IF('合并利润表 '!L9=0,"无变化","降幅"))</f>
        <v>无变化</v>
      </c>
      <c r="R91" s="531" t="s">
        <v>3452</v>
      </c>
      <c r="S91" s="156"/>
      <c r="AF91" s="28"/>
    </row>
    <row r="92" spans="1:32">
      <c r="A92" s="28" t="s">
        <v>327</v>
      </c>
      <c r="B92" s="512" t="s">
        <v>190</v>
      </c>
      <c r="C92" s="518" t="s">
        <v>1033</v>
      </c>
      <c r="D92" s="171" t="s">
        <v>1074</v>
      </c>
      <c r="E92" s="171" t="s">
        <v>1156</v>
      </c>
      <c r="F92" s="201" t="s">
        <v>1115</v>
      </c>
      <c r="G92" s="528" t="s">
        <v>3390</v>
      </c>
      <c r="H92" s="529" t="str">
        <f>IF('合并利润表 '!J10&gt;0,"增加",IF('合并利润表 '!J10=0,"无变化","减少"))</f>
        <v>无变化</v>
      </c>
      <c r="I92" s="529" t="s">
        <v>3399</v>
      </c>
      <c r="J92" s="530" t="s">
        <v>3408</v>
      </c>
      <c r="K92" s="529" t="str">
        <f>IF('合并利润表 '!J10&gt;0,"增幅",IF('合并利润表 '!J10=0,"无变化","降幅"))</f>
        <v>无变化</v>
      </c>
      <c r="L92" s="531" t="s">
        <v>3417</v>
      </c>
      <c r="M92" s="528" t="s">
        <v>3426</v>
      </c>
      <c r="N92" s="529" t="str">
        <f>IF('合并利润表 '!L10&gt;0,"增加",IF('合并利润表 '!L10=0,"无变化","减少"))</f>
        <v>无变化</v>
      </c>
      <c r="O92" s="529" t="s">
        <v>3435</v>
      </c>
      <c r="P92" s="530" t="s">
        <v>3444</v>
      </c>
      <c r="Q92" s="529" t="str">
        <f>IF('合并利润表 '!L10&gt;0,"增幅",IF('合并利润表 '!L10=0,"无变化","降幅"))</f>
        <v>无变化</v>
      </c>
      <c r="R92" s="531" t="s">
        <v>3453</v>
      </c>
      <c r="S92" s="156"/>
      <c r="AF92" s="28"/>
    </row>
    <row r="93" spans="1:32">
      <c r="A93" s="28" t="s">
        <v>328</v>
      </c>
      <c r="B93" s="512" t="s">
        <v>191</v>
      </c>
      <c r="C93" s="518" t="s">
        <v>1034</v>
      </c>
      <c r="D93" s="171" t="s">
        <v>1075</v>
      </c>
      <c r="E93" s="171" t="s">
        <v>1157</v>
      </c>
      <c r="F93" s="201" t="s">
        <v>1116</v>
      </c>
      <c r="G93" s="528" t="s">
        <v>3764</v>
      </c>
      <c r="H93" s="529" t="str">
        <f>IF('合并利润表 '!J11&gt;0,"增加",IF('合并利润表 '!J11=0,"无变化","减少"))</f>
        <v>无变化</v>
      </c>
      <c r="I93" s="529" t="s">
        <v>3796</v>
      </c>
      <c r="J93" s="530" t="s">
        <v>3828</v>
      </c>
      <c r="K93" s="529" t="str">
        <f>IF('合并利润表 '!J11&gt;0,"增幅",IF('合并利润表 '!J11=0,"无变化","降幅"))</f>
        <v>无变化</v>
      </c>
      <c r="L93" s="531" t="s">
        <v>3860</v>
      </c>
      <c r="M93" s="528" t="s">
        <v>3892</v>
      </c>
      <c r="N93" s="529" t="str">
        <f>IF('合并利润表 '!L11&gt;0,"增加",IF('合并利润表 '!L11=0,"无变化","减少"))</f>
        <v>无变化</v>
      </c>
      <c r="O93" s="529" t="s">
        <v>3924</v>
      </c>
      <c r="P93" s="530" t="s">
        <v>3956</v>
      </c>
      <c r="Q93" s="529" t="str">
        <f>IF('合并利润表 '!L11&gt;0,"增幅",IF('合并利润表 '!L11=0,"无变化","降幅"))</f>
        <v>无变化</v>
      </c>
      <c r="R93" s="531" t="s">
        <v>3988</v>
      </c>
      <c r="S93" s="156"/>
      <c r="AF93" s="28"/>
    </row>
    <row r="94" spans="1:32">
      <c r="A94" s="28" t="s">
        <v>329</v>
      </c>
      <c r="B94" s="512" t="s">
        <v>192</v>
      </c>
      <c r="C94" s="518" t="s">
        <v>1035</v>
      </c>
      <c r="D94" s="171" t="s">
        <v>1076</v>
      </c>
      <c r="E94" s="171" t="s">
        <v>1158</v>
      </c>
      <c r="F94" s="201" t="s">
        <v>1117</v>
      </c>
      <c r="G94" s="528" t="s">
        <v>3391</v>
      </c>
      <c r="H94" s="529" t="str">
        <f>IF('合并利润表 '!J12&gt;0,"增加",IF('合并利润表 '!J12=0,"无变化","减少"))</f>
        <v>无变化</v>
      </c>
      <c r="I94" s="529" t="s">
        <v>3400</v>
      </c>
      <c r="J94" s="530" t="s">
        <v>3409</v>
      </c>
      <c r="K94" s="529" t="str">
        <f>IF('合并利润表 '!J12&gt;0,"增幅",IF('合并利润表 '!J12=0,"无变化","降幅"))</f>
        <v>无变化</v>
      </c>
      <c r="L94" s="531" t="s">
        <v>3418</v>
      </c>
      <c r="M94" s="528" t="s">
        <v>3427</v>
      </c>
      <c r="N94" s="529" t="str">
        <f>IF('合并利润表 '!L12&gt;0,"增加",IF('合并利润表 '!L12=0,"无变化","减少"))</f>
        <v>无变化</v>
      </c>
      <c r="O94" s="529" t="s">
        <v>3436</v>
      </c>
      <c r="P94" s="530" t="s">
        <v>3445</v>
      </c>
      <c r="Q94" s="529" t="str">
        <f>IF('合并利润表 '!L12&gt;0,"增幅",IF('合并利润表 '!L12=0,"无变化","降幅"))</f>
        <v>无变化</v>
      </c>
      <c r="R94" s="531" t="s">
        <v>3454</v>
      </c>
      <c r="S94" s="156"/>
      <c r="AF94" s="28"/>
    </row>
    <row r="95" spans="1:32">
      <c r="A95" s="28" t="s">
        <v>330</v>
      </c>
      <c r="B95" s="512" t="s">
        <v>193</v>
      </c>
      <c r="C95" s="518" t="s">
        <v>1036</v>
      </c>
      <c r="D95" s="171" t="s">
        <v>1077</v>
      </c>
      <c r="E95" s="171" t="s">
        <v>1159</v>
      </c>
      <c r="F95" s="201" t="s">
        <v>1118</v>
      </c>
      <c r="G95" s="521" t="s">
        <v>3765</v>
      </c>
      <c r="H95" s="529" t="str">
        <f>IF('合并利润表 '!J13&gt;0,"增加",IF('合并利润表 '!J13=0,"无变化","减少"))</f>
        <v>无变化</v>
      </c>
      <c r="I95" s="444" t="s">
        <v>3797</v>
      </c>
      <c r="J95" s="520" t="s">
        <v>3829</v>
      </c>
      <c r="K95" s="529" t="str">
        <f>IF('合并利润表 '!J13&gt;0,"增幅",IF('合并利润表 '!J13=0,"无变化","降幅"))</f>
        <v>无变化</v>
      </c>
      <c r="L95" s="445" t="s">
        <v>3861</v>
      </c>
      <c r="M95" s="521" t="s">
        <v>3893</v>
      </c>
      <c r="N95" s="529" t="str">
        <f>IF('合并利润表 '!L13&gt;0,"增加",IF('合并利润表 '!L13=0,"无变化","减少"))</f>
        <v>无变化</v>
      </c>
      <c r="O95" s="444" t="s">
        <v>3925</v>
      </c>
      <c r="P95" s="520" t="s">
        <v>3957</v>
      </c>
      <c r="Q95" s="529" t="str">
        <f>IF('合并利润表 '!L13&gt;0,"增幅",IF('合并利润表 '!L13=0,"无变化","降幅"))</f>
        <v>无变化</v>
      </c>
      <c r="R95" s="445" t="s">
        <v>3989</v>
      </c>
      <c r="S95" s="156"/>
      <c r="AF95" s="28"/>
    </row>
    <row r="96" spans="1:32">
      <c r="A96" s="28" t="s">
        <v>331</v>
      </c>
      <c r="B96" s="512" t="s">
        <v>194</v>
      </c>
      <c r="C96" s="518" t="s">
        <v>1037</v>
      </c>
      <c r="D96" s="171" t="s">
        <v>1078</v>
      </c>
      <c r="E96" s="171" t="s">
        <v>1160</v>
      </c>
      <c r="F96" s="201" t="s">
        <v>1119</v>
      </c>
      <c r="G96" s="521" t="s">
        <v>3766</v>
      </c>
      <c r="H96" s="529" t="str">
        <f>IF('合并利润表 '!J14&gt;0,"增加",IF('合并利润表 '!J14=0,"无变化","减少"))</f>
        <v>无变化</v>
      </c>
      <c r="I96" s="444" t="s">
        <v>3798</v>
      </c>
      <c r="J96" s="520" t="s">
        <v>3830</v>
      </c>
      <c r="K96" s="529" t="str">
        <f>IF('合并利润表 '!J14&gt;0,"增幅",IF('合并利润表 '!J14=0,"无变化","降幅"))</f>
        <v>无变化</v>
      </c>
      <c r="L96" s="445" t="s">
        <v>3862</v>
      </c>
      <c r="M96" s="521" t="s">
        <v>3894</v>
      </c>
      <c r="N96" s="529" t="str">
        <f>IF('合并利润表 '!L14&gt;0,"增加",IF('合并利润表 '!L14=0,"无变化","减少"))</f>
        <v>无变化</v>
      </c>
      <c r="O96" s="444" t="s">
        <v>3926</v>
      </c>
      <c r="P96" s="520" t="s">
        <v>3958</v>
      </c>
      <c r="Q96" s="529" t="str">
        <f>IF('合并利润表 '!L14&gt;0,"增幅",IF('合并利润表 '!L14=0,"无变化","降幅"))</f>
        <v>无变化</v>
      </c>
      <c r="R96" s="445" t="s">
        <v>3990</v>
      </c>
      <c r="S96" s="156"/>
      <c r="AF96" s="28"/>
    </row>
    <row r="97" spans="1:32">
      <c r="A97" s="28" t="s">
        <v>332</v>
      </c>
      <c r="B97" s="512" t="s">
        <v>195</v>
      </c>
      <c r="C97" s="518" t="s">
        <v>1038</v>
      </c>
      <c r="D97" s="171" t="s">
        <v>1079</v>
      </c>
      <c r="E97" s="171" t="s">
        <v>1161</v>
      </c>
      <c r="F97" s="201" t="s">
        <v>1120</v>
      </c>
      <c r="G97" s="528" t="s">
        <v>3392</v>
      </c>
      <c r="H97" s="529" t="str">
        <f>IF('合并利润表 '!J15&gt;0,"增加",IF('合并利润表 '!J15=0,"无变化","减少"))</f>
        <v>无变化</v>
      </c>
      <c r="I97" s="529" t="s">
        <v>3401</v>
      </c>
      <c r="J97" s="530" t="s">
        <v>3410</v>
      </c>
      <c r="K97" s="529" t="str">
        <f>IF('合并利润表 '!J15&gt;0,"增幅",IF('合并利润表 '!J15=0,"无变化","降幅"))</f>
        <v>无变化</v>
      </c>
      <c r="L97" s="531" t="s">
        <v>3419</v>
      </c>
      <c r="M97" s="528" t="s">
        <v>3428</v>
      </c>
      <c r="N97" s="529" t="str">
        <f>IF('合并利润表 '!L15&gt;0,"增加",IF('合并利润表 '!L15=0,"无变化","减少"))</f>
        <v>无变化</v>
      </c>
      <c r="O97" s="529" t="s">
        <v>3437</v>
      </c>
      <c r="P97" s="530" t="s">
        <v>3446</v>
      </c>
      <c r="Q97" s="529" t="str">
        <f>IF('合并利润表 '!L15&gt;0,"增幅",IF('合并利润表 '!L15=0,"无变化","降幅"))</f>
        <v>无变化</v>
      </c>
      <c r="R97" s="531" t="s">
        <v>3455</v>
      </c>
      <c r="S97" s="156"/>
      <c r="AF97" s="28"/>
    </row>
    <row r="98" spans="1:32">
      <c r="A98" s="28" t="s">
        <v>333</v>
      </c>
      <c r="B98" s="512" t="s">
        <v>196</v>
      </c>
      <c r="C98" s="518" t="s">
        <v>1039</v>
      </c>
      <c r="D98" s="171" t="s">
        <v>1080</v>
      </c>
      <c r="E98" s="171" t="s">
        <v>1162</v>
      </c>
      <c r="F98" s="201" t="s">
        <v>1121</v>
      </c>
      <c r="G98" s="528" t="s">
        <v>3393</v>
      </c>
      <c r="H98" s="529" t="str">
        <f>IF('合并利润表 '!J16&gt;0,"增加",IF('合并利润表 '!J16=0,"无变化","减少"))</f>
        <v>无变化</v>
      </c>
      <c r="I98" s="529" t="s">
        <v>3402</v>
      </c>
      <c r="J98" s="530" t="s">
        <v>3411</v>
      </c>
      <c r="K98" s="529" t="str">
        <f>IF('合并利润表 '!J16&gt;0,"增幅",IF('合并利润表 '!J16=0,"无变化","降幅"))</f>
        <v>无变化</v>
      </c>
      <c r="L98" s="531" t="s">
        <v>3420</v>
      </c>
      <c r="M98" s="528" t="s">
        <v>3429</v>
      </c>
      <c r="N98" s="529" t="str">
        <f>IF('合并利润表 '!L16&gt;0,"增加",IF('合并利润表 '!L16=0,"无变化","减少"))</f>
        <v>无变化</v>
      </c>
      <c r="O98" s="529" t="s">
        <v>3438</v>
      </c>
      <c r="P98" s="530" t="s">
        <v>3447</v>
      </c>
      <c r="Q98" s="529" t="str">
        <f>IF('合并利润表 '!L16&gt;0,"增幅",IF('合并利润表 '!L16=0,"无变化","降幅"))</f>
        <v>无变化</v>
      </c>
      <c r="R98" s="531" t="s">
        <v>3456</v>
      </c>
      <c r="S98" s="156"/>
      <c r="AF98" s="28"/>
    </row>
    <row r="99" spans="1:32" ht="24.75">
      <c r="A99" s="28" t="s">
        <v>334</v>
      </c>
      <c r="B99" s="513" t="s">
        <v>197</v>
      </c>
      <c r="C99" s="518" t="s">
        <v>1040</v>
      </c>
      <c r="D99" s="171" t="s">
        <v>1081</v>
      </c>
      <c r="E99" s="171" t="s">
        <v>1163</v>
      </c>
      <c r="F99" s="201" t="s">
        <v>1122</v>
      </c>
      <c r="G99" s="521" t="s">
        <v>3767</v>
      </c>
      <c r="H99" s="529" t="str">
        <f>IF('合并利润表 '!J17&gt;0,"增加",IF('合并利润表 '!J17=0,"无变化","减少"))</f>
        <v>无变化</v>
      </c>
      <c r="I99" s="444" t="s">
        <v>3799</v>
      </c>
      <c r="J99" s="520" t="s">
        <v>3831</v>
      </c>
      <c r="K99" s="529" t="str">
        <f>IF('合并利润表 '!J17&gt;0,"增幅",IF('合并利润表 '!J17=0,"无变化","降幅"))</f>
        <v>无变化</v>
      </c>
      <c r="L99" s="445" t="s">
        <v>3863</v>
      </c>
      <c r="M99" s="521" t="s">
        <v>3895</v>
      </c>
      <c r="N99" s="529" t="str">
        <f>IF('合并利润表 '!L17&gt;0,"增加",IF('合并利润表 '!L17=0,"无变化","减少"))</f>
        <v>无变化</v>
      </c>
      <c r="O99" s="444" t="s">
        <v>3927</v>
      </c>
      <c r="P99" s="520" t="s">
        <v>3959</v>
      </c>
      <c r="Q99" s="529" t="str">
        <f>IF('合并利润表 '!L17&gt;0,"增幅",IF('合并利润表 '!L17=0,"无变化","降幅"))</f>
        <v>无变化</v>
      </c>
      <c r="R99" s="445" t="s">
        <v>3991</v>
      </c>
      <c r="S99" s="156"/>
      <c r="AF99" s="28"/>
    </row>
    <row r="100" spans="1:32" ht="24.75">
      <c r="A100" s="28" t="s">
        <v>335</v>
      </c>
      <c r="B100" s="512" t="s">
        <v>83</v>
      </c>
      <c r="C100" s="518" t="s">
        <v>1041</v>
      </c>
      <c r="D100" s="171" t="s">
        <v>1082</v>
      </c>
      <c r="E100" s="171" t="s">
        <v>1164</v>
      </c>
      <c r="F100" s="201" t="s">
        <v>1123</v>
      </c>
      <c r="G100" s="521" t="s">
        <v>3768</v>
      </c>
      <c r="H100" s="529" t="str">
        <f>IF('合并利润表 '!J18&gt;0,"增加",IF('合并利润表 '!J18=0,"无变化","减少"))</f>
        <v>无变化</v>
      </c>
      <c r="I100" s="444" t="s">
        <v>3800</v>
      </c>
      <c r="J100" s="520" t="s">
        <v>3832</v>
      </c>
      <c r="K100" s="529" t="str">
        <f>IF('合并利润表 '!J18&gt;0,"增幅",IF('合并利润表 '!J18=0,"无变化","降幅"))</f>
        <v>无变化</v>
      </c>
      <c r="L100" s="445" t="s">
        <v>3864</v>
      </c>
      <c r="M100" s="521" t="s">
        <v>3896</v>
      </c>
      <c r="N100" s="529" t="str">
        <f>IF('合并利润表 '!L18&gt;0,"增加",IF('合并利润表 '!L18=0,"无变化","减少"))</f>
        <v>无变化</v>
      </c>
      <c r="O100" s="444" t="s">
        <v>3928</v>
      </c>
      <c r="P100" s="520" t="s">
        <v>3960</v>
      </c>
      <c r="Q100" s="529" t="str">
        <f>IF('合并利润表 '!L18&gt;0,"增幅",IF('合并利润表 '!L18=0,"无变化","降幅"))</f>
        <v>无变化</v>
      </c>
      <c r="R100" s="445" t="s">
        <v>3992</v>
      </c>
      <c r="S100" s="156"/>
      <c r="AF100" s="28"/>
    </row>
    <row r="101" spans="1:32" ht="24.75">
      <c r="A101" s="28" t="s">
        <v>336</v>
      </c>
      <c r="B101" s="512" t="s">
        <v>186</v>
      </c>
      <c r="C101" s="518" t="s">
        <v>1042</v>
      </c>
      <c r="D101" s="171" t="s">
        <v>1083</v>
      </c>
      <c r="E101" s="171" t="s">
        <v>1165</v>
      </c>
      <c r="F101" s="201" t="s">
        <v>1124</v>
      </c>
      <c r="G101" s="521" t="s">
        <v>3769</v>
      </c>
      <c r="H101" s="529" t="str">
        <f>IF('合并利润表 '!J19&gt;0,"增加",IF('合并利润表 '!J19=0,"无变化","减少"))</f>
        <v>无变化</v>
      </c>
      <c r="I101" s="444" t="s">
        <v>3801</v>
      </c>
      <c r="J101" s="520" t="s">
        <v>3833</v>
      </c>
      <c r="K101" s="529" t="str">
        <f>IF('合并利润表 '!J19&gt;0,"增幅",IF('合并利润表 '!J19=0,"无变化","降幅"))</f>
        <v>无变化</v>
      </c>
      <c r="L101" s="445" t="s">
        <v>3865</v>
      </c>
      <c r="M101" s="521" t="s">
        <v>3897</v>
      </c>
      <c r="N101" s="529" t="str">
        <f>IF('合并利润表 '!L19&gt;0,"增加",IF('合并利润表 '!L19=0,"无变化","减少"))</f>
        <v>无变化</v>
      </c>
      <c r="O101" s="444" t="s">
        <v>3929</v>
      </c>
      <c r="P101" s="520" t="s">
        <v>3961</v>
      </c>
      <c r="Q101" s="529" t="str">
        <f>IF('合并利润表 '!L19&gt;0,"增幅",IF('合并利润表 '!L19=0,"无变化","降幅"))</f>
        <v>无变化</v>
      </c>
      <c r="R101" s="445" t="s">
        <v>3993</v>
      </c>
      <c r="S101" s="156"/>
      <c r="AF101" s="28"/>
    </row>
    <row r="102" spans="1:32">
      <c r="A102" s="28" t="s">
        <v>337</v>
      </c>
      <c r="B102" s="512" t="s">
        <v>84</v>
      </c>
      <c r="C102" s="518" t="s">
        <v>1043</v>
      </c>
      <c r="D102" s="171" t="s">
        <v>1084</v>
      </c>
      <c r="E102" s="171" t="s">
        <v>1166</v>
      </c>
      <c r="F102" s="201" t="s">
        <v>1125</v>
      </c>
      <c r="G102" s="521" t="s">
        <v>3770</v>
      </c>
      <c r="H102" s="529" t="str">
        <f>IF('合并利润表 '!J20&gt;0,"增加",IF('合并利润表 '!J20=0,"无变化","减少"))</f>
        <v>无变化</v>
      </c>
      <c r="I102" s="444" t="s">
        <v>3802</v>
      </c>
      <c r="J102" s="520" t="s">
        <v>3834</v>
      </c>
      <c r="K102" s="529" t="str">
        <f>IF('合并利润表 '!J20&gt;0,"增幅",IF('合并利润表 '!J20=0,"无变化","降幅"))</f>
        <v>无变化</v>
      </c>
      <c r="L102" s="445" t="s">
        <v>3866</v>
      </c>
      <c r="M102" s="521" t="s">
        <v>3898</v>
      </c>
      <c r="N102" s="529" t="str">
        <f>IF('合并利润表 '!L20&gt;0,"增加",IF('合并利润表 '!L20=0,"无变化","减少"))</f>
        <v>无变化</v>
      </c>
      <c r="O102" s="444" t="s">
        <v>3930</v>
      </c>
      <c r="P102" s="520" t="s">
        <v>3962</v>
      </c>
      <c r="Q102" s="529" t="str">
        <f>IF('合并利润表 '!L20&gt;0,"增幅",IF('合并利润表 '!L20=0,"无变化","降幅"))</f>
        <v>无变化</v>
      </c>
      <c r="R102" s="445" t="s">
        <v>3994</v>
      </c>
      <c r="S102" s="156"/>
      <c r="AF102" s="28"/>
    </row>
    <row r="103" spans="1:32" s="189" customFormat="1">
      <c r="A103" s="189" t="s">
        <v>338</v>
      </c>
      <c r="B103" s="514" t="s">
        <v>198</v>
      </c>
      <c r="C103" s="210" t="s">
        <v>1044</v>
      </c>
      <c r="D103" s="160" t="s">
        <v>1085</v>
      </c>
      <c r="E103" s="160" t="s">
        <v>1167</v>
      </c>
      <c r="F103" s="202" t="s">
        <v>1126</v>
      </c>
      <c r="G103" s="446" t="s">
        <v>3771</v>
      </c>
      <c r="H103" s="527" t="str">
        <f>IF('合并利润表 '!J21&gt;0,"增加",IF('合并利润表 '!J21=0,"无变化","减少"))</f>
        <v>无变化</v>
      </c>
      <c r="I103" s="447" t="s">
        <v>3803</v>
      </c>
      <c r="J103" s="447" t="s">
        <v>3835</v>
      </c>
      <c r="K103" s="527" t="str">
        <f>IF('合并利润表 '!J21&gt;0,"增幅",IF('合并利润表 '!J21=0,"无变化","降幅"))</f>
        <v>无变化</v>
      </c>
      <c r="L103" s="448" t="s">
        <v>3867</v>
      </c>
      <c r="M103" s="446" t="s">
        <v>3899</v>
      </c>
      <c r="N103" s="527" t="str">
        <f>IF('合并利润表 '!L21&gt;0,"增加",IF('合并利润表 '!L21=0,"无变化","减少"))</f>
        <v>无变化</v>
      </c>
      <c r="O103" s="447" t="s">
        <v>3931</v>
      </c>
      <c r="P103" s="447" t="s">
        <v>3963</v>
      </c>
      <c r="Q103" s="527" t="str">
        <f>IF('合并利润表 '!L21&gt;0,"增幅",IF('合并利润表 '!L21=0,"无变化","降幅"))</f>
        <v>无变化</v>
      </c>
      <c r="R103" s="448" t="s">
        <v>3995</v>
      </c>
      <c r="S103" s="168"/>
      <c r="T103" s="217"/>
      <c r="U103" s="217"/>
      <c r="V103" s="217"/>
      <c r="W103" s="217"/>
      <c r="X103" s="217"/>
      <c r="Y103" s="217"/>
      <c r="Z103" s="217"/>
      <c r="AA103" s="217"/>
      <c r="AB103" s="217"/>
      <c r="AC103" s="217"/>
      <c r="AD103" s="217"/>
      <c r="AE103" s="217"/>
    </row>
    <row r="104" spans="1:32">
      <c r="A104" s="28" t="s">
        <v>339</v>
      </c>
      <c r="B104" s="512" t="s">
        <v>85</v>
      </c>
      <c r="C104" s="518" t="s">
        <v>1045</v>
      </c>
      <c r="D104" s="171" t="s">
        <v>1086</v>
      </c>
      <c r="E104" s="171" t="s">
        <v>1168</v>
      </c>
      <c r="F104" s="201" t="s">
        <v>1127</v>
      </c>
      <c r="G104" s="528" t="s">
        <v>3394</v>
      </c>
      <c r="H104" s="529" t="str">
        <f>IF('合并利润表 '!J22&gt;0,"增加",IF('合并利润表 '!J22=0,"无变化","减少"))</f>
        <v>无变化</v>
      </c>
      <c r="I104" s="529" t="s">
        <v>3403</v>
      </c>
      <c r="J104" s="530" t="s">
        <v>3412</v>
      </c>
      <c r="K104" s="529" t="str">
        <f>IF('合并利润表 '!J22&gt;0,"增幅",IF('合并利润表 '!J22=0,"无变化","降幅"))</f>
        <v>无变化</v>
      </c>
      <c r="L104" s="531" t="s">
        <v>3421</v>
      </c>
      <c r="M104" s="528" t="s">
        <v>3430</v>
      </c>
      <c r="N104" s="529" t="str">
        <f>IF('合并利润表 '!L22&gt;0,"增加",IF('合并利润表 '!L22=0,"无变化","减少"))</f>
        <v>无变化</v>
      </c>
      <c r="O104" s="529" t="s">
        <v>3439</v>
      </c>
      <c r="P104" s="530" t="s">
        <v>3448</v>
      </c>
      <c r="Q104" s="529" t="str">
        <f>IF('合并利润表 '!L22&gt;0,"增幅",IF('合并利润表 '!L22=0,"无变化","降幅"))</f>
        <v>无变化</v>
      </c>
      <c r="R104" s="531" t="s">
        <v>3457</v>
      </c>
      <c r="S104" s="156"/>
      <c r="AF104" s="28"/>
    </row>
    <row r="105" spans="1:32">
      <c r="A105" s="28" t="s">
        <v>340</v>
      </c>
      <c r="B105" s="512" t="s">
        <v>86</v>
      </c>
      <c r="C105" s="518" t="s">
        <v>1046</v>
      </c>
      <c r="D105" s="171" t="s">
        <v>1087</v>
      </c>
      <c r="E105" s="171" t="s">
        <v>1169</v>
      </c>
      <c r="F105" s="201" t="s">
        <v>1128</v>
      </c>
      <c r="G105" s="528" t="s">
        <v>3395</v>
      </c>
      <c r="H105" s="529" t="str">
        <f>IF('合并利润表 '!J23&gt;0,"增加",IF('合并利润表 '!J23=0,"无变化","减少"))</f>
        <v>无变化</v>
      </c>
      <c r="I105" s="529" t="s">
        <v>3404</v>
      </c>
      <c r="J105" s="530" t="s">
        <v>3413</v>
      </c>
      <c r="K105" s="529" t="str">
        <f>IF('合并利润表 '!J23&gt;0,"增幅",IF('合并利润表 '!J23=0,"无变化","降幅"))</f>
        <v>无变化</v>
      </c>
      <c r="L105" s="531" t="s">
        <v>3422</v>
      </c>
      <c r="M105" s="528" t="s">
        <v>3431</v>
      </c>
      <c r="N105" s="529" t="str">
        <f>IF('合并利润表 '!L23&gt;0,"增加",IF('合并利润表 '!L23=0,"无变化","减少"))</f>
        <v>无变化</v>
      </c>
      <c r="O105" s="529" t="s">
        <v>3440</v>
      </c>
      <c r="P105" s="530" t="s">
        <v>3449</v>
      </c>
      <c r="Q105" s="529" t="str">
        <f>IF('合并利润表 '!L23&gt;0,"增幅",IF('合并利润表 '!L23=0,"无变化","降幅"))</f>
        <v>无变化</v>
      </c>
      <c r="R105" s="531" t="s">
        <v>3458</v>
      </c>
      <c r="S105" s="156"/>
      <c r="AF105" s="28"/>
    </row>
    <row r="106" spans="1:32" s="189" customFormat="1" ht="24.75">
      <c r="A106" s="189" t="s">
        <v>341</v>
      </c>
      <c r="B106" s="514" t="s">
        <v>199</v>
      </c>
      <c r="C106" s="210" t="s">
        <v>1047</v>
      </c>
      <c r="D106" s="160" t="s">
        <v>1088</v>
      </c>
      <c r="E106" s="160" t="s">
        <v>1170</v>
      </c>
      <c r="F106" s="202" t="s">
        <v>1129</v>
      </c>
      <c r="G106" s="446" t="s">
        <v>3772</v>
      </c>
      <c r="H106" s="527" t="str">
        <f>IF('合并利润表 '!J24&gt;0,"增加",IF('合并利润表 '!J24=0,"无变化","减少"))</f>
        <v>无变化</v>
      </c>
      <c r="I106" s="447" t="s">
        <v>3804</v>
      </c>
      <c r="J106" s="447" t="s">
        <v>3836</v>
      </c>
      <c r="K106" s="527" t="str">
        <f>IF('合并利润表 '!J24&gt;0,"增幅",IF('合并利润表 '!J24=0,"无变化","降幅"))</f>
        <v>无变化</v>
      </c>
      <c r="L106" s="448" t="s">
        <v>3868</v>
      </c>
      <c r="M106" s="446" t="s">
        <v>3900</v>
      </c>
      <c r="N106" s="527" t="str">
        <f>IF('合并利润表 '!L24&gt;0,"增加",IF('合并利润表 '!L24=0,"无变化","减少"))</f>
        <v>无变化</v>
      </c>
      <c r="O106" s="447" t="s">
        <v>3932</v>
      </c>
      <c r="P106" s="447" t="s">
        <v>3964</v>
      </c>
      <c r="Q106" s="527" t="str">
        <f>IF('合并利润表 '!L24&gt;0,"增幅",IF('合并利润表 '!L24=0,"无变化","降幅"))</f>
        <v>无变化</v>
      </c>
      <c r="R106" s="448" t="s">
        <v>3996</v>
      </c>
      <c r="S106" s="168"/>
      <c r="T106" s="217"/>
      <c r="U106" s="217"/>
      <c r="V106" s="217"/>
      <c r="W106" s="217"/>
      <c r="X106" s="217"/>
      <c r="Y106" s="217"/>
      <c r="Z106" s="217"/>
      <c r="AA106" s="217"/>
      <c r="AB106" s="217"/>
      <c r="AC106" s="217"/>
      <c r="AD106" s="217"/>
      <c r="AE106" s="217"/>
    </row>
    <row r="107" spans="1:32">
      <c r="A107" s="28" t="s">
        <v>342</v>
      </c>
      <c r="B107" s="512" t="s">
        <v>87</v>
      </c>
      <c r="C107" s="518" t="s">
        <v>1048</v>
      </c>
      <c r="D107" s="171" t="s">
        <v>1089</v>
      </c>
      <c r="E107" s="171" t="s">
        <v>1171</v>
      </c>
      <c r="F107" s="201" t="s">
        <v>1130</v>
      </c>
      <c r="G107" s="521" t="s">
        <v>3773</v>
      </c>
      <c r="H107" s="529" t="str">
        <f>IF('合并利润表 '!J25&gt;0,"增加",IF('合并利润表 '!J25=0,"无变化","减少"))</f>
        <v>无变化</v>
      </c>
      <c r="I107" s="444" t="s">
        <v>3805</v>
      </c>
      <c r="J107" s="520" t="s">
        <v>3837</v>
      </c>
      <c r="K107" s="529" t="str">
        <f>IF('合并利润表 '!J25&gt;0,"增幅",IF('合并利润表 '!J25=0,"无变化","降幅"))</f>
        <v>无变化</v>
      </c>
      <c r="L107" s="445" t="s">
        <v>3869</v>
      </c>
      <c r="M107" s="521" t="s">
        <v>3901</v>
      </c>
      <c r="N107" s="529" t="str">
        <f>IF('合并利润表 '!L25&gt;0,"增加",IF('合并利润表 '!L25=0,"无变化","减少"))</f>
        <v>无变化</v>
      </c>
      <c r="O107" s="444" t="s">
        <v>3933</v>
      </c>
      <c r="P107" s="520" t="s">
        <v>3965</v>
      </c>
      <c r="Q107" s="529" t="str">
        <f>IF('合并利润表 '!L25&gt;0,"增幅",IF('合并利润表 '!L25=0,"无变化","降幅"))</f>
        <v>无变化</v>
      </c>
      <c r="R107" s="445" t="s">
        <v>3997</v>
      </c>
      <c r="S107" s="156"/>
      <c r="AF107" s="28"/>
    </row>
    <row r="108" spans="1:32" s="189" customFormat="1">
      <c r="A108" s="189" t="s">
        <v>343</v>
      </c>
      <c r="B108" s="514" t="s">
        <v>200</v>
      </c>
      <c r="C108" s="210" t="s">
        <v>1049</v>
      </c>
      <c r="D108" s="160" t="s">
        <v>1090</v>
      </c>
      <c r="E108" s="160" t="s">
        <v>1172</v>
      </c>
      <c r="F108" s="202" t="s">
        <v>1131</v>
      </c>
      <c r="G108" s="446" t="s">
        <v>3774</v>
      </c>
      <c r="H108" s="527" t="str">
        <f>IF('合并利润表 '!J26&gt;0,"增加",IF('合并利润表 '!J26=0,"无变化","减少"))</f>
        <v>无变化</v>
      </c>
      <c r="I108" s="447" t="s">
        <v>3806</v>
      </c>
      <c r="J108" s="447" t="s">
        <v>3838</v>
      </c>
      <c r="K108" s="527" t="str">
        <f>IF('合并利润表 '!J26&gt;0,"增幅",IF('合并利润表 '!J26=0,"无变化","降幅"))</f>
        <v>无变化</v>
      </c>
      <c r="L108" s="448" t="s">
        <v>3870</v>
      </c>
      <c r="M108" s="446" t="s">
        <v>3902</v>
      </c>
      <c r="N108" s="527" t="str">
        <f>IF('合并利润表 '!L26&gt;0,"增加",IF('合并利润表 '!L26=0,"无变化","减少"))</f>
        <v>无变化</v>
      </c>
      <c r="O108" s="447" t="s">
        <v>3934</v>
      </c>
      <c r="P108" s="447" t="s">
        <v>3966</v>
      </c>
      <c r="Q108" s="527" t="str">
        <f>IF('合并利润表 '!L26&gt;0,"增幅",IF('合并利润表 '!L26=0,"无变化","降幅"))</f>
        <v>无变化</v>
      </c>
      <c r="R108" s="448" t="s">
        <v>3998</v>
      </c>
      <c r="S108" s="168"/>
      <c r="T108" s="217"/>
      <c r="U108" s="217"/>
      <c r="V108" s="217"/>
      <c r="W108" s="217"/>
      <c r="X108" s="217"/>
      <c r="Y108" s="217"/>
      <c r="Z108" s="217"/>
      <c r="AA108" s="217"/>
      <c r="AB108" s="217"/>
      <c r="AC108" s="217"/>
      <c r="AD108" s="217"/>
      <c r="AE108" s="217"/>
    </row>
    <row r="109" spans="1:32">
      <c r="B109" s="512" t="s">
        <v>88</v>
      </c>
      <c r="C109" s="518"/>
      <c r="D109" s="171"/>
      <c r="E109" s="171"/>
      <c r="F109" s="201"/>
      <c r="G109" s="521"/>
      <c r="H109" s="529"/>
      <c r="I109" s="444"/>
      <c r="J109" s="520"/>
      <c r="K109" s="529"/>
      <c r="L109" s="445"/>
      <c r="M109" s="521"/>
      <c r="N109" s="529"/>
      <c r="O109" s="444"/>
      <c r="P109" s="520"/>
      <c r="Q109" s="529"/>
      <c r="R109" s="445"/>
      <c r="S109" s="156"/>
      <c r="AF109" s="28"/>
    </row>
    <row r="110" spans="1:32" ht="24.75">
      <c r="A110" s="28" t="s">
        <v>344</v>
      </c>
      <c r="B110" s="512" t="s">
        <v>89</v>
      </c>
      <c r="C110" s="518" t="s">
        <v>1050</v>
      </c>
      <c r="D110" s="171" t="s">
        <v>1091</v>
      </c>
      <c r="E110" s="171" t="s">
        <v>1173</v>
      </c>
      <c r="F110" s="201" t="s">
        <v>1132</v>
      </c>
      <c r="G110" s="521" t="s">
        <v>3775</v>
      </c>
      <c r="H110" s="529" t="str">
        <f>IF('合并利润表 '!J28&gt;0,"增加",IF('合并利润表 '!J28=0,"无变化","减少"))</f>
        <v>无变化</v>
      </c>
      <c r="I110" s="444" t="s">
        <v>3807</v>
      </c>
      <c r="J110" s="520" t="s">
        <v>3839</v>
      </c>
      <c r="K110" s="529" t="str">
        <f>IF('合并利润表 '!J28&gt;0,"增幅",IF('合并利润表 '!J28=0,"无变化","降幅"))</f>
        <v>无变化</v>
      </c>
      <c r="L110" s="445" t="s">
        <v>3871</v>
      </c>
      <c r="M110" s="521" t="s">
        <v>3903</v>
      </c>
      <c r="N110" s="529" t="str">
        <f>IF('合并利润表 '!L28&gt;0,"增加",IF('合并利润表 '!L28=0,"无变化","减少"))</f>
        <v>无变化</v>
      </c>
      <c r="O110" s="444" t="s">
        <v>3935</v>
      </c>
      <c r="P110" s="520" t="s">
        <v>3967</v>
      </c>
      <c r="Q110" s="529" t="str">
        <f>IF('合并利润表 '!L28&gt;0,"增幅",IF('合并利润表 '!L28=0,"无变化","降幅"))</f>
        <v>无变化</v>
      </c>
      <c r="R110" s="445" t="s">
        <v>3999</v>
      </c>
      <c r="S110" s="156"/>
      <c r="AF110" s="28"/>
    </row>
    <row r="111" spans="1:32" ht="24.75">
      <c r="A111" s="28" t="s">
        <v>345</v>
      </c>
      <c r="B111" s="512" t="s">
        <v>90</v>
      </c>
      <c r="C111" s="518" t="s">
        <v>1051</v>
      </c>
      <c r="D111" s="171" t="s">
        <v>1092</v>
      </c>
      <c r="E111" s="171" t="s">
        <v>1174</v>
      </c>
      <c r="F111" s="201" t="s">
        <v>1133</v>
      </c>
      <c r="G111" s="521" t="s">
        <v>3776</v>
      </c>
      <c r="H111" s="529" t="str">
        <f>IF('合并利润表 '!J29&gt;0,"增加",IF('合并利润表 '!J29=0,"无变化","减少"))</f>
        <v>无变化</v>
      </c>
      <c r="I111" s="444" t="s">
        <v>3808</v>
      </c>
      <c r="J111" s="520" t="s">
        <v>3840</v>
      </c>
      <c r="K111" s="529" t="str">
        <f>IF('合并利润表 '!J29&gt;0,"增幅",IF('合并利润表 '!J29=0,"无变化","降幅"))</f>
        <v>无变化</v>
      </c>
      <c r="L111" s="445" t="s">
        <v>3872</v>
      </c>
      <c r="M111" s="521" t="s">
        <v>3904</v>
      </c>
      <c r="N111" s="529" t="str">
        <f>IF('合并利润表 '!L29&gt;0,"增加",IF('合并利润表 '!L29=0,"无变化","减少"))</f>
        <v>无变化</v>
      </c>
      <c r="O111" s="444" t="s">
        <v>3936</v>
      </c>
      <c r="P111" s="520" t="s">
        <v>3968</v>
      </c>
      <c r="Q111" s="529" t="str">
        <f>IF('合并利润表 '!L29&gt;0,"增幅",IF('合并利润表 '!L29=0,"无变化","降幅"))</f>
        <v>无变化</v>
      </c>
      <c r="R111" s="445" t="s">
        <v>4000</v>
      </c>
      <c r="S111" s="156"/>
      <c r="AF111" s="28"/>
    </row>
    <row r="112" spans="1:32">
      <c r="B112" s="512" t="s">
        <v>91</v>
      </c>
      <c r="C112" s="518"/>
      <c r="D112" s="171"/>
      <c r="E112" s="171"/>
      <c r="F112" s="201"/>
      <c r="G112" s="521"/>
      <c r="H112" s="529"/>
      <c r="I112" s="444"/>
      <c r="J112" s="520"/>
      <c r="K112" s="529"/>
      <c r="L112" s="445"/>
      <c r="M112" s="521"/>
      <c r="N112" s="529"/>
      <c r="O112" s="444"/>
      <c r="P112" s="520"/>
      <c r="Q112" s="529"/>
      <c r="R112" s="445"/>
      <c r="S112" s="156"/>
      <c r="AF112" s="28"/>
    </row>
    <row r="113" spans="1:32" ht="25.5">
      <c r="A113" s="28" t="s">
        <v>346</v>
      </c>
      <c r="B113" s="512" t="s">
        <v>92</v>
      </c>
      <c r="C113" s="518" t="s">
        <v>1052</v>
      </c>
      <c r="D113" s="171" t="s">
        <v>4086</v>
      </c>
      <c r="E113" s="171" t="s">
        <v>1175</v>
      </c>
      <c r="F113" s="201" t="s">
        <v>1134</v>
      </c>
      <c r="G113" s="521" t="s">
        <v>3777</v>
      </c>
      <c r="H113" s="529" t="str">
        <f>IF('合并利润表 '!J31&gt;0,"增加",IF('合并利润表 '!J31=0,"无变化","减少"))</f>
        <v>无变化</v>
      </c>
      <c r="I113" s="444" t="s">
        <v>3809</v>
      </c>
      <c r="J113" s="520" t="s">
        <v>3841</v>
      </c>
      <c r="K113" s="529" t="str">
        <f>IF('合并利润表 '!J31&gt;0,"增幅",IF('合并利润表 '!J31=0,"无变化","降幅"))</f>
        <v>无变化</v>
      </c>
      <c r="L113" s="445" t="s">
        <v>3873</v>
      </c>
      <c r="M113" s="521" t="s">
        <v>3905</v>
      </c>
      <c r="N113" s="529" t="str">
        <f>IF('合并利润表 '!L31&gt;0,"增加",IF('合并利润表 '!L31=0,"无变化","减少"))</f>
        <v>无变化</v>
      </c>
      <c r="O113" s="444" t="s">
        <v>3937</v>
      </c>
      <c r="P113" s="520" t="s">
        <v>3969</v>
      </c>
      <c r="Q113" s="529" t="str">
        <f>IF('合并利润表 '!L31&gt;0,"增幅",IF('合并利润表 '!L31=0,"无变化","降幅"))</f>
        <v>无变化</v>
      </c>
      <c r="R113" s="445" t="s">
        <v>4001</v>
      </c>
      <c r="S113" s="156"/>
      <c r="AF113" s="28"/>
    </row>
    <row r="114" spans="1:32" ht="24.75">
      <c r="A114" s="28" t="s">
        <v>347</v>
      </c>
      <c r="B114" s="512" t="s">
        <v>93</v>
      </c>
      <c r="C114" s="518" t="s">
        <v>1053</v>
      </c>
      <c r="D114" s="171" t="s">
        <v>1094</v>
      </c>
      <c r="E114" s="171" t="s">
        <v>1176</v>
      </c>
      <c r="F114" s="201" t="s">
        <v>1135</v>
      </c>
      <c r="G114" s="521" t="s">
        <v>3778</v>
      </c>
      <c r="H114" s="529" t="str">
        <f>IF('合并利润表 '!J32&gt;0,"增加",IF('合并利润表 '!J32=0,"无变化","减少"))</f>
        <v>无变化</v>
      </c>
      <c r="I114" s="444" t="s">
        <v>3810</v>
      </c>
      <c r="J114" s="520" t="s">
        <v>3842</v>
      </c>
      <c r="K114" s="529" t="str">
        <f>IF('合并利润表 '!J32&gt;0,"增幅",IF('合并利润表 '!J32=0,"无变化","降幅"))</f>
        <v>无变化</v>
      </c>
      <c r="L114" s="445" t="s">
        <v>3874</v>
      </c>
      <c r="M114" s="521" t="s">
        <v>3906</v>
      </c>
      <c r="N114" s="529" t="str">
        <f>IF('合并利润表 '!L32&gt;0,"增加",IF('合并利润表 '!L32=0,"无变化","减少"))</f>
        <v>无变化</v>
      </c>
      <c r="O114" s="444" t="s">
        <v>3938</v>
      </c>
      <c r="P114" s="520" t="s">
        <v>3970</v>
      </c>
      <c r="Q114" s="529" t="str">
        <f>IF('合并利润表 '!L32&gt;0,"增幅",IF('合并利润表 '!L32=0,"无变化","降幅"))</f>
        <v>无变化</v>
      </c>
      <c r="R114" s="445" t="s">
        <v>4002</v>
      </c>
      <c r="S114" s="156"/>
      <c r="AF114" s="28"/>
    </row>
    <row r="115" spans="1:32">
      <c r="A115" s="28" t="s">
        <v>348</v>
      </c>
      <c r="B115" s="510" t="s">
        <v>201</v>
      </c>
      <c r="C115" s="210" t="s">
        <v>1054</v>
      </c>
      <c r="D115" s="160" t="s">
        <v>1095</v>
      </c>
      <c r="E115" s="160" t="s">
        <v>1177</v>
      </c>
      <c r="F115" s="202" t="s">
        <v>1136</v>
      </c>
      <c r="G115" s="446" t="s">
        <v>3779</v>
      </c>
      <c r="H115" s="527" t="str">
        <f>IF('合并利润表 '!J33&gt;0,"增加",IF('合并利润表 '!J33=0,"无变化","减少"))</f>
        <v>无变化</v>
      </c>
      <c r="I115" s="447" t="s">
        <v>3811</v>
      </c>
      <c r="J115" s="447" t="s">
        <v>3843</v>
      </c>
      <c r="K115" s="527" t="str">
        <f>IF('合并利润表 '!J33&gt;0,"增幅",IF('合并利润表 '!J33=0,"无变化","降幅"))</f>
        <v>无变化</v>
      </c>
      <c r="L115" s="448" t="s">
        <v>3875</v>
      </c>
      <c r="M115" s="446" t="s">
        <v>3907</v>
      </c>
      <c r="N115" s="527" t="str">
        <f>IF('合并利润表 '!L33&gt;0,"增加",IF('合并利润表 '!L33=0,"无变化","减少"))</f>
        <v>无变化</v>
      </c>
      <c r="O115" s="447" t="s">
        <v>3939</v>
      </c>
      <c r="P115" s="447" t="s">
        <v>3971</v>
      </c>
      <c r="Q115" s="527" t="str">
        <f>IF('合并利润表 '!L33&gt;0,"增幅",IF('合并利润表 '!L33=0,"无变化","降幅"))</f>
        <v>无变化</v>
      </c>
      <c r="R115" s="448" t="s">
        <v>4003</v>
      </c>
      <c r="S115" s="168"/>
      <c r="AF115" s="28"/>
    </row>
    <row r="116" spans="1:32" ht="24">
      <c r="A116" s="28" t="s">
        <v>349</v>
      </c>
      <c r="B116" s="511" t="s">
        <v>2283</v>
      </c>
      <c r="C116" s="518" t="s">
        <v>1055</v>
      </c>
      <c r="D116" s="171" t="s">
        <v>1096</v>
      </c>
      <c r="E116" s="171" t="s">
        <v>1178</v>
      </c>
      <c r="F116" s="201" t="s">
        <v>1137</v>
      </c>
      <c r="G116" s="521" t="s">
        <v>3780</v>
      </c>
      <c r="H116" s="529" t="str">
        <f>IF('合并利润表 '!J34&gt;0,"增加",IF('合并利润表 '!J34=0,"无变化","减少"))</f>
        <v>无变化</v>
      </c>
      <c r="I116" s="444" t="s">
        <v>3812</v>
      </c>
      <c r="J116" s="520" t="s">
        <v>3844</v>
      </c>
      <c r="K116" s="529" t="str">
        <f>IF('合并利润表 '!J34&gt;0,"增幅",IF('合并利润表 '!J34=0,"无变化","降幅"))</f>
        <v>无变化</v>
      </c>
      <c r="L116" s="445" t="s">
        <v>3876</v>
      </c>
      <c r="M116" s="521" t="s">
        <v>3908</v>
      </c>
      <c r="N116" s="529" t="str">
        <f>IF('合并利润表 '!L34&gt;0,"增加",IF('合并利润表 '!L34=0,"无变化","减少"))</f>
        <v>无变化</v>
      </c>
      <c r="O116" s="444" t="s">
        <v>3940</v>
      </c>
      <c r="P116" s="520" t="s">
        <v>3972</v>
      </c>
      <c r="Q116" s="529" t="str">
        <f>IF('合并利润表 '!L34&gt;0,"增幅",IF('合并利润表 '!L34=0,"无变化","降幅"))</f>
        <v>无变化</v>
      </c>
      <c r="R116" s="445" t="s">
        <v>4004</v>
      </c>
      <c r="S116" s="156"/>
      <c r="AF116" s="28"/>
    </row>
    <row r="117" spans="1:32" ht="24.75">
      <c r="A117" s="28" t="s">
        <v>350</v>
      </c>
      <c r="B117" s="512" t="s">
        <v>94</v>
      </c>
      <c r="C117" s="518" t="s">
        <v>1056</v>
      </c>
      <c r="D117" s="174" t="s">
        <v>1097</v>
      </c>
      <c r="E117" s="171" t="s">
        <v>1179</v>
      </c>
      <c r="F117" s="201" t="s">
        <v>1138</v>
      </c>
      <c r="G117" s="521" t="s">
        <v>3781</v>
      </c>
      <c r="H117" s="529" t="str">
        <f>IF('合并利润表 '!J35&gt;0,"增加",IF('合并利润表 '!J35=0,"无变化","减少"))</f>
        <v>无变化</v>
      </c>
      <c r="I117" s="444" t="s">
        <v>3813</v>
      </c>
      <c r="J117" s="520" t="s">
        <v>3845</v>
      </c>
      <c r="K117" s="529" t="str">
        <f>IF('合并利润表 '!J35&gt;0,"增幅",IF('合并利润表 '!J35=0,"无变化","降幅"))</f>
        <v>无变化</v>
      </c>
      <c r="L117" s="445" t="s">
        <v>3877</v>
      </c>
      <c r="M117" s="521" t="s">
        <v>3909</v>
      </c>
      <c r="N117" s="529" t="str">
        <f>IF('合并利润表 '!L35&gt;0,"增加",IF('合并利润表 '!L35=0,"无变化","减少"))</f>
        <v>无变化</v>
      </c>
      <c r="O117" s="444" t="s">
        <v>3941</v>
      </c>
      <c r="P117" s="520" t="s">
        <v>3973</v>
      </c>
      <c r="Q117" s="529" t="str">
        <f>IF('合并利润表 '!L35&gt;0,"增幅",IF('合并利润表 '!L35=0,"无变化","降幅"))</f>
        <v>无变化</v>
      </c>
      <c r="R117" s="445" t="s">
        <v>4005</v>
      </c>
      <c r="S117" s="156"/>
      <c r="AF117" s="28"/>
    </row>
    <row r="118" spans="1:32" ht="24.75">
      <c r="A118" s="28" t="s">
        <v>351</v>
      </c>
      <c r="B118" s="515" t="s">
        <v>95</v>
      </c>
      <c r="C118" s="518" t="s">
        <v>1057</v>
      </c>
      <c r="D118" s="174" t="s">
        <v>1098</v>
      </c>
      <c r="E118" s="171" t="s">
        <v>1180</v>
      </c>
      <c r="F118" s="201" t="s">
        <v>1139</v>
      </c>
      <c r="G118" s="521" t="s">
        <v>3782</v>
      </c>
      <c r="H118" s="529" t="str">
        <f>IF('合并利润表 '!J36&gt;0,"增加",IF('合并利润表 '!J36=0,"无变化","减少"))</f>
        <v>无变化</v>
      </c>
      <c r="I118" s="444" t="s">
        <v>3814</v>
      </c>
      <c r="J118" s="520" t="s">
        <v>3846</v>
      </c>
      <c r="K118" s="529" t="str">
        <f>IF('合并利润表 '!J36&gt;0,"增幅",IF('合并利润表 '!J36=0,"无变化","降幅"))</f>
        <v>无变化</v>
      </c>
      <c r="L118" s="445" t="s">
        <v>3878</v>
      </c>
      <c r="M118" s="521" t="s">
        <v>3910</v>
      </c>
      <c r="N118" s="529" t="str">
        <f>IF('合并利润表 '!L36&gt;0,"增加",IF('合并利润表 '!L36=0,"无变化","减少"))</f>
        <v>无变化</v>
      </c>
      <c r="O118" s="444" t="s">
        <v>3942</v>
      </c>
      <c r="P118" s="520" t="s">
        <v>3974</v>
      </c>
      <c r="Q118" s="529" t="str">
        <f>IF('合并利润表 '!L36&gt;0,"增幅",IF('合并利润表 '!L36=0,"无变化","降幅"))</f>
        <v>无变化</v>
      </c>
      <c r="R118" s="445" t="s">
        <v>4006</v>
      </c>
      <c r="S118" s="156"/>
      <c r="AF118" s="28"/>
    </row>
    <row r="119" spans="1:32" ht="24.75">
      <c r="A119" s="28" t="s">
        <v>352</v>
      </c>
      <c r="B119" s="515" t="s">
        <v>96</v>
      </c>
      <c r="C119" s="518" t="s">
        <v>1058</v>
      </c>
      <c r="D119" s="174" t="s">
        <v>1099</v>
      </c>
      <c r="E119" s="171" t="s">
        <v>1181</v>
      </c>
      <c r="F119" s="201" t="s">
        <v>1140</v>
      </c>
      <c r="G119" s="521" t="s">
        <v>3783</v>
      </c>
      <c r="H119" s="529" t="str">
        <f>IF('合并利润表 '!J37&gt;0,"增加",IF('合并利润表 '!J37=0,"无变化","减少"))</f>
        <v>无变化</v>
      </c>
      <c r="I119" s="444" t="s">
        <v>3815</v>
      </c>
      <c r="J119" s="520" t="s">
        <v>3847</v>
      </c>
      <c r="K119" s="529" t="str">
        <f>IF('合并利润表 '!J37&gt;0,"增幅",IF('合并利润表 '!J37=0,"无变化","降幅"))</f>
        <v>无变化</v>
      </c>
      <c r="L119" s="445" t="s">
        <v>3879</v>
      </c>
      <c r="M119" s="521" t="s">
        <v>3911</v>
      </c>
      <c r="N119" s="529" t="str">
        <f>IF('合并利润表 '!L37&gt;0,"增加",IF('合并利润表 '!L37=0,"无变化","减少"))</f>
        <v>无变化</v>
      </c>
      <c r="O119" s="444" t="s">
        <v>3943</v>
      </c>
      <c r="P119" s="520" t="s">
        <v>3975</v>
      </c>
      <c r="Q119" s="529" t="str">
        <f>IF('合并利润表 '!L37&gt;0,"增幅",IF('合并利润表 '!L37=0,"无变化","降幅"))</f>
        <v>无变化</v>
      </c>
      <c r="R119" s="445" t="s">
        <v>4007</v>
      </c>
      <c r="S119" s="156"/>
      <c r="AF119" s="28"/>
    </row>
    <row r="120" spans="1:32" ht="24.75">
      <c r="A120" s="28" t="s">
        <v>353</v>
      </c>
      <c r="B120" s="515" t="s">
        <v>202</v>
      </c>
      <c r="C120" s="518" t="s">
        <v>1059</v>
      </c>
      <c r="D120" s="174" t="s">
        <v>1100</v>
      </c>
      <c r="E120" s="171" t="s">
        <v>1182</v>
      </c>
      <c r="F120" s="201" t="s">
        <v>1141</v>
      </c>
      <c r="G120" s="521" t="s">
        <v>3784</v>
      </c>
      <c r="H120" s="529" t="str">
        <f>IF('合并利润表 '!J38&gt;0,"增加",IF('合并利润表 '!J38=0,"无变化","减少"))</f>
        <v>无变化</v>
      </c>
      <c r="I120" s="444" t="s">
        <v>3816</v>
      </c>
      <c r="J120" s="520" t="s">
        <v>3848</v>
      </c>
      <c r="K120" s="529" t="str">
        <f>IF('合并利润表 '!J38&gt;0,"增幅",IF('合并利润表 '!J38=0,"无变化","降幅"))</f>
        <v>无变化</v>
      </c>
      <c r="L120" s="445" t="s">
        <v>3880</v>
      </c>
      <c r="M120" s="521" t="s">
        <v>3912</v>
      </c>
      <c r="N120" s="529" t="str">
        <f>IF('合并利润表 '!L38&gt;0,"增加",IF('合并利润表 '!L38=0,"无变化","减少"))</f>
        <v>无变化</v>
      </c>
      <c r="O120" s="444" t="s">
        <v>3944</v>
      </c>
      <c r="P120" s="520" t="s">
        <v>3976</v>
      </c>
      <c r="Q120" s="529" t="str">
        <f>IF('合并利润表 '!L38&gt;0,"增幅",IF('合并利润表 '!L38=0,"无变化","降幅"))</f>
        <v>无变化</v>
      </c>
      <c r="R120" s="445" t="s">
        <v>4008</v>
      </c>
      <c r="S120" s="156"/>
      <c r="AF120" s="28"/>
    </row>
    <row r="121" spans="1:32" ht="24.75">
      <c r="A121" s="28" t="s">
        <v>354</v>
      </c>
      <c r="B121" s="515" t="s">
        <v>97</v>
      </c>
      <c r="C121" s="518" t="s">
        <v>1060</v>
      </c>
      <c r="D121" s="174" t="s">
        <v>1101</v>
      </c>
      <c r="E121" s="171" t="s">
        <v>1183</v>
      </c>
      <c r="F121" s="201" t="s">
        <v>1142</v>
      </c>
      <c r="G121" s="521" t="s">
        <v>3785</v>
      </c>
      <c r="H121" s="529" t="str">
        <f>IF('合并利润表 '!J39&gt;0,"增加",IF('合并利润表 '!J39=0,"无变化","减少"))</f>
        <v>无变化</v>
      </c>
      <c r="I121" s="444" t="s">
        <v>3817</v>
      </c>
      <c r="J121" s="520" t="s">
        <v>3849</v>
      </c>
      <c r="K121" s="529" t="str">
        <f>IF('合并利润表 '!J39&gt;0,"增幅",IF('合并利润表 '!J39=0,"无变化","降幅"))</f>
        <v>无变化</v>
      </c>
      <c r="L121" s="445" t="s">
        <v>3881</v>
      </c>
      <c r="M121" s="521" t="s">
        <v>3913</v>
      </c>
      <c r="N121" s="529" t="str">
        <f>IF('合并利润表 '!L39&gt;0,"增加",IF('合并利润表 '!L39=0,"无变化","减少"))</f>
        <v>无变化</v>
      </c>
      <c r="O121" s="444" t="s">
        <v>3945</v>
      </c>
      <c r="P121" s="520" t="s">
        <v>3977</v>
      </c>
      <c r="Q121" s="529" t="str">
        <f>IF('合并利润表 '!L39&gt;0,"增幅",IF('合并利润表 '!L39=0,"无变化","降幅"))</f>
        <v>无变化</v>
      </c>
      <c r="R121" s="445" t="s">
        <v>4009</v>
      </c>
      <c r="S121" s="156"/>
      <c r="AF121" s="28"/>
    </row>
    <row r="122" spans="1:32" ht="24.75">
      <c r="A122" s="28" t="s">
        <v>355</v>
      </c>
      <c r="B122" s="515" t="s">
        <v>98</v>
      </c>
      <c r="C122" s="518" t="s">
        <v>1061</v>
      </c>
      <c r="D122" s="174" t="s">
        <v>1102</v>
      </c>
      <c r="E122" s="171" t="s">
        <v>1184</v>
      </c>
      <c r="F122" s="201" t="s">
        <v>1143</v>
      </c>
      <c r="G122" s="521" t="s">
        <v>3786</v>
      </c>
      <c r="H122" s="529" t="str">
        <f>IF('合并利润表 '!J40&gt;0,"增加",IF('合并利润表 '!J40=0,"无变化","减少"))</f>
        <v>无变化</v>
      </c>
      <c r="I122" s="444" t="s">
        <v>3818</v>
      </c>
      <c r="J122" s="520" t="s">
        <v>3850</v>
      </c>
      <c r="K122" s="529" t="str">
        <f>IF('合并利润表 '!J40&gt;0,"增幅",IF('合并利润表 '!J40=0,"无变化","降幅"))</f>
        <v>无变化</v>
      </c>
      <c r="L122" s="445" t="s">
        <v>3882</v>
      </c>
      <c r="M122" s="521" t="s">
        <v>3914</v>
      </c>
      <c r="N122" s="529" t="str">
        <f>IF('合并利润表 '!L40&gt;0,"增加",IF('合并利润表 '!L40=0,"无变化","减少"))</f>
        <v>无变化</v>
      </c>
      <c r="O122" s="444" t="s">
        <v>3946</v>
      </c>
      <c r="P122" s="520" t="s">
        <v>3978</v>
      </c>
      <c r="Q122" s="529" t="str">
        <f>IF('合并利润表 '!L40&gt;0,"增幅",IF('合并利润表 '!L40=0,"无变化","降幅"))</f>
        <v>无变化</v>
      </c>
      <c r="R122" s="445" t="s">
        <v>4010</v>
      </c>
      <c r="S122" s="156"/>
      <c r="AF122" s="28"/>
    </row>
    <row r="123" spans="1:32" ht="24.75">
      <c r="A123" s="28" t="s">
        <v>356</v>
      </c>
      <c r="B123" s="515" t="s">
        <v>99</v>
      </c>
      <c r="C123" s="518" t="s">
        <v>1062</v>
      </c>
      <c r="D123" s="174" t="s">
        <v>1103</v>
      </c>
      <c r="E123" s="171" t="s">
        <v>1185</v>
      </c>
      <c r="F123" s="201" t="s">
        <v>1144</v>
      </c>
      <c r="G123" s="521" t="s">
        <v>3787</v>
      </c>
      <c r="H123" s="529" t="str">
        <f>IF('合并利润表 '!J41&gt;0,"增加",IF('合并利润表 '!J41=0,"无变化","减少"))</f>
        <v>无变化</v>
      </c>
      <c r="I123" s="444" t="s">
        <v>3819</v>
      </c>
      <c r="J123" s="520" t="s">
        <v>3851</v>
      </c>
      <c r="K123" s="529" t="str">
        <f>IF('合并利润表 '!J41&gt;0,"增幅",IF('合并利润表 '!J41=0,"无变化","降幅"))</f>
        <v>无变化</v>
      </c>
      <c r="L123" s="445" t="s">
        <v>3883</v>
      </c>
      <c r="M123" s="521" t="s">
        <v>3915</v>
      </c>
      <c r="N123" s="529" t="str">
        <f>IF('合并利润表 '!L41&gt;0,"增加",IF('合并利润表 '!L41=0,"无变化","减少"))</f>
        <v>无变化</v>
      </c>
      <c r="O123" s="444" t="s">
        <v>3947</v>
      </c>
      <c r="P123" s="520" t="s">
        <v>3979</v>
      </c>
      <c r="Q123" s="529" t="str">
        <f>IF('合并利润表 '!L41&gt;0,"增幅",IF('合并利润表 '!L41=0,"无变化","降幅"))</f>
        <v>无变化</v>
      </c>
      <c r="R123" s="445" t="s">
        <v>4011</v>
      </c>
      <c r="S123" s="156"/>
      <c r="AF123" s="28"/>
    </row>
    <row r="124" spans="1:32">
      <c r="A124" s="28" t="s">
        <v>357</v>
      </c>
      <c r="B124" s="515" t="s">
        <v>100</v>
      </c>
      <c r="C124" s="518" t="s">
        <v>1063</v>
      </c>
      <c r="D124" s="171" t="s">
        <v>1104</v>
      </c>
      <c r="E124" s="171" t="s">
        <v>1186</v>
      </c>
      <c r="F124" s="201" t="s">
        <v>1145</v>
      </c>
      <c r="G124" s="521" t="s">
        <v>3788</v>
      </c>
      <c r="H124" s="529" t="str">
        <f>IF('合并利润表 '!J42&gt;0,"增加",IF('合并利润表 '!J42=0,"无变化","减少"))</f>
        <v>无变化</v>
      </c>
      <c r="I124" s="444" t="s">
        <v>3820</v>
      </c>
      <c r="J124" s="520" t="s">
        <v>3852</v>
      </c>
      <c r="K124" s="529" t="str">
        <f>IF('合并利润表 '!J42&gt;0,"增幅",IF('合并利润表 '!J42=0,"无变化","降幅"))</f>
        <v>无变化</v>
      </c>
      <c r="L124" s="445" t="s">
        <v>3884</v>
      </c>
      <c r="M124" s="521" t="s">
        <v>3916</v>
      </c>
      <c r="N124" s="529" t="str">
        <f>IF('合并利润表 '!L42&gt;0,"增加",IF('合并利润表 '!L42=0,"无变化","减少"))</f>
        <v>无变化</v>
      </c>
      <c r="O124" s="444" t="s">
        <v>3948</v>
      </c>
      <c r="P124" s="520" t="s">
        <v>3980</v>
      </c>
      <c r="Q124" s="529" t="str">
        <f>IF('合并利润表 '!L42&gt;0,"增幅",IF('合并利润表 '!L42=0,"无变化","降幅"))</f>
        <v>无变化</v>
      </c>
      <c r="R124" s="445" t="s">
        <v>4012</v>
      </c>
      <c r="S124" s="156"/>
      <c r="AF124" s="28"/>
    </row>
    <row r="125" spans="1:32">
      <c r="A125" s="28" t="s">
        <v>358</v>
      </c>
      <c r="B125" s="515" t="s">
        <v>101</v>
      </c>
      <c r="C125" s="518" t="s">
        <v>1064</v>
      </c>
      <c r="D125" s="171" t="s">
        <v>1105</v>
      </c>
      <c r="E125" s="171" t="s">
        <v>1187</v>
      </c>
      <c r="F125" s="201" t="s">
        <v>1146</v>
      </c>
      <c r="G125" s="521" t="s">
        <v>3789</v>
      </c>
      <c r="H125" s="529" t="str">
        <f>IF('合并利润表 '!J43&gt;0,"增加",IF('合并利润表 '!J43=0,"无变化","减少"))</f>
        <v>无变化</v>
      </c>
      <c r="I125" s="444" t="s">
        <v>3821</v>
      </c>
      <c r="J125" s="520" t="s">
        <v>3853</v>
      </c>
      <c r="K125" s="529" t="str">
        <f>IF('合并利润表 '!J43&gt;0,"增幅",IF('合并利润表 '!J43=0,"无变化","降幅"))</f>
        <v>无变化</v>
      </c>
      <c r="L125" s="445" t="s">
        <v>3885</v>
      </c>
      <c r="M125" s="521" t="s">
        <v>3917</v>
      </c>
      <c r="N125" s="529" t="str">
        <f>IF('合并利润表 '!L43&gt;0,"增加",IF('合并利润表 '!L43=0,"无变化","减少"))</f>
        <v>无变化</v>
      </c>
      <c r="O125" s="444" t="s">
        <v>3949</v>
      </c>
      <c r="P125" s="520" t="s">
        <v>3981</v>
      </c>
      <c r="Q125" s="529" t="str">
        <f>IF('合并利润表 '!L43&gt;0,"增幅",IF('合并利润表 '!L43=0,"无变化","降幅"))</f>
        <v>无变化</v>
      </c>
      <c r="R125" s="445" t="s">
        <v>4013</v>
      </c>
      <c r="S125" s="156"/>
      <c r="AF125" s="28"/>
    </row>
    <row r="126" spans="1:32">
      <c r="A126" s="28" t="s">
        <v>359</v>
      </c>
      <c r="B126" s="515" t="s">
        <v>102</v>
      </c>
      <c r="C126" s="518" t="s">
        <v>1065</v>
      </c>
      <c r="D126" s="171" t="s">
        <v>1106</v>
      </c>
      <c r="E126" s="171" t="s">
        <v>1188</v>
      </c>
      <c r="F126" s="201" t="s">
        <v>1147</v>
      </c>
      <c r="G126" s="521" t="s">
        <v>3790</v>
      </c>
      <c r="H126" s="529" t="str">
        <f>IF('合并利润表 '!J44&gt;0,"增加",IF('合并利润表 '!J44=0,"无变化","减少"))</f>
        <v>无变化</v>
      </c>
      <c r="I126" s="444" t="s">
        <v>3822</v>
      </c>
      <c r="J126" s="520" t="s">
        <v>3854</v>
      </c>
      <c r="K126" s="529" t="str">
        <f>IF('合并利润表 '!J44&gt;0,"增幅",IF('合并利润表 '!J44=0,"无变化","降幅"))</f>
        <v>无变化</v>
      </c>
      <c r="L126" s="445" t="s">
        <v>3886</v>
      </c>
      <c r="M126" s="521" t="s">
        <v>3918</v>
      </c>
      <c r="N126" s="529" t="str">
        <f>IF('合并利润表 '!L44&gt;0,"增加",IF('合并利润表 '!L44=0,"无变化","减少"))</f>
        <v>无变化</v>
      </c>
      <c r="O126" s="444" t="s">
        <v>3950</v>
      </c>
      <c r="P126" s="520" t="s">
        <v>3982</v>
      </c>
      <c r="Q126" s="529" t="str">
        <f>IF('合并利润表 '!L44&gt;0,"增幅",IF('合并利润表 '!L44=0,"无变化","降幅"))</f>
        <v>无变化</v>
      </c>
      <c r="R126" s="445" t="s">
        <v>4014</v>
      </c>
      <c r="S126" s="156"/>
      <c r="AF126" s="28"/>
    </row>
    <row r="127" spans="1:32" ht="24">
      <c r="A127" s="28" t="s">
        <v>360</v>
      </c>
      <c r="B127" s="511" t="s">
        <v>2284</v>
      </c>
      <c r="C127" s="518" t="s">
        <v>1066</v>
      </c>
      <c r="D127" s="171" t="s">
        <v>1107</v>
      </c>
      <c r="E127" s="171" t="s">
        <v>1189</v>
      </c>
      <c r="F127" s="201" t="s">
        <v>1148</v>
      </c>
      <c r="G127" s="521" t="s">
        <v>3791</v>
      </c>
      <c r="H127" s="529" t="str">
        <f>IF('合并利润表 '!J45&gt;0,"增加",IF('合并利润表 '!J45=0,"无变化","减少"))</f>
        <v>无变化</v>
      </c>
      <c r="I127" s="444" t="s">
        <v>3823</v>
      </c>
      <c r="J127" s="520" t="s">
        <v>3855</v>
      </c>
      <c r="K127" s="529" t="str">
        <f>IF('合并利润表 '!J45&gt;0,"增幅",IF('合并利润表 '!J45=0,"无变化","降幅"))</f>
        <v>无变化</v>
      </c>
      <c r="L127" s="445" t="s">
        <v>3887</v>
      </c>
      <c r="M127" s="521" t="s">
        <v>3919</v>
      </c>
      <c r="N127" s="529" t="str">
        <f>IF('合并利润表 '!L45&gt;0,"增加",IF('合并利润表 '!L45=0,"无变化","减少"))</f>
        <v>无变化</v>
      </c>
      <c r="O127" s="444" t="s">
        <v>3951</v>
      </c>
      <c r="P127" s="520" t="s">
        <v>3983</v>
      </c>
      <c r="Q127" s="529" t="str">
        <f>IF('合并利润表 '!L45&gt;0,"增幅",IF('合并利润表 '!L45=0,"无变化","降幅"))</f>
        <v>无变化</v>
      </c>
      <c r="R127" s="445" t="s">
        <v>4015</v>
      </c>
      <c r="S127" s="156"/>
      <c r="AF127" s="28"/>
    </row>
    <row r="128" spans="1:32">
      <c r="A128" s="28" t="s">
        <v>361</v>
      </c>
      <c r="B128" s="510" t="s">
        <v>203</v>
      </c>
      <c r="C128" s="210" t="s">
        <v>1067</v>
      </c>
      <c r="D128" s="160" t="s">
        <v>1108</v>
      </c>
      <c r="E128" s="160" t="s">
        <v>1190</v>
      </c>
      <c r="F128" s="202" t="s">
        <v>1149</v>
      </c>
      <c r="G128" s="446" t="s">
        <v>3792</v>
      </c>
      <c r="H128" s="527" t="str">
        <f>IF('合并利润表 '!J46&gt;0,"增加",IF('合并利润表 '!J46=0,"无变化","减少"))</f>
        <v>无变化</v>
      </c>
      <c r="I128" s="447" t="s">
        <v>3824</v>
      </c>
      <c r="J128" s="447" t="s">
        <v>3856</v>
      </c>
      <c r="K128" s="527" t="str">
        <f>IF('合并利润表 '!J46&gt;0,"增幅",IF('合并利润表 '!J46=0,"无变化","降幅"))</f>
        <v>无变化</v>
      </c>
      <c r="L128" s="448" t="s">
        <v>3888</v>
      </c>
      <c r="M128" s="446" t="s">
        <v>3920</v>
      </c>
      <c r="N128" s="527" t="str">
        <f>IF('合并利润表 '!L46&gt;0,"增加",IF('合并利润表 '!L46=0,"无变化","减少"))</f>
        <v>无变化</v>
      </c>
      <c r="O128" s="447" t="s">
        <v>3952</v>
      </c>
      <c r="P128" s="447" t="s">
        <v>3984</v>
      </c>
      <c r="Q128" s="527" t="str">
        <f>IF('合并利润表 '!L46&gt;0,"增幅",IF('合并利润表 '!L46=0,"无变化","降幅"))</f>
        <v>无变化</v>
      </c>
      <c r="R128" s="448" t="s">
        <v>4016</v>
      </c>
      <c r="S128" s="168"/>
      <c r="AF128" s="28"/>
    </row>
    <row r="129" spans="1:34">
      <c r="A129" s="28" t="s">
        <v>362</v>
      </c>
      <c r="B129" s="516" t="s">
        <v>204</v>
      </c>
      <c r="C129" s="518" t="s">
        <v>1068</v>
      </c>
      <c r="D129" s="171" t="s">
        <v>1109</v>
      </c>
      <c r="E129" s="171" t="s">
        <v>1191</v>
      </c>
      <c r="F129" s="201" t="s">
        <v>1150</v>
      </c>
      <c r="G129" s="521" t="s">
        <v>3793</v>
      </c>
      <c r="H129" s="529" t="str">
        <f>IF('合并利润表 '!J47&gt;0,"增加",IF('合并利润表 '!J47=0,"无变化","减少"))</f>
        <v>无变化</v>
      </c>
      <c r="I129" s="444" t="s">
        <v>3825</v>
      </c>
      <c r="J129" s="520" t="s">
        <v>3857</v>
      </c>
      <c r="K129" s="529" t="str">
        <f>IF('合并利润表 '!J47&gt;0,"增幅",IF('合并利润表 '!J47=0,"无变化","降幅"))</f>
        <v>无变化</v>
      </c>
      <c r="L129" s="445" t="s">
        <v>3889</v>
      </c>
      <c r="M129" s="521" t="s">
        <v>3921</v>
      </c>
      <c r="N129" s="529" t="str">
        <f>IF('合并利润表 '!L47&gt;0,"增加",IF('合并利润表 '!L47=0,"无变化","减少"))</f>
        <v>无变化</v>
      </c>
      <c r="O129" s="444" t="s">
        <v>3953</v>
      </c>
      <c r="P129" s="520" t="s">
        <v>3985</v>
      </c>
      <c r="Q129" s="529" t="str">
        <f>IF('合并利润表 '!L47&gt;0,"增幅",IF('合并利润表 '!L47=0,"无变化","降幅"))</f>
        <v>无变化</v>
      </c>
      <c r="R129" s="445" t="s">
        <v>4017</v>
      </c>
      <c r="S129" s="156"/>
      <c r="AF129" s="28"/>
    </row>
    <row r="130" spans="1:34" ht="13.5" thickBot="1">
      <c r="A130" s="28" t="s">
        <v>363</v>
      </c>
      <c r="B130" s="517" t="s">
        <v>205</v>
      </c>
      <c r="C130" s="519" t="s">
        <v>1069</v>
      </c>
      <c r="D130" s="172" t="s">
        <v>1110</v>
      </c>
      <c r="E130" s="172" t="s">
        <v>1192</v>
      </c>
      <c r="F130" s="203" t="s">
        <v>1151</v>
      </c>
      <c r="G130" s="522" t="s">
        <v>3794</v>
      </c>
      <c r="H130" s="532" t="str">
        <f>IF('合并利润表 '!J48&gt;0,"增加",IF('合并利润表 '!J48=0,"无变化","减少"))</f>
        <v>无变化</v>
      </c>
      <c r="I130" s="523" t="s">
        <v>3826</v>
      </c>
      <c r="J130" s="524" t="s">
        <v>3858</v>
      </c>
      <c r="K130" s="532" t="str">
        <f>IF('合并利润表 '!J48&gt;0,"增幅",IF('合并利润表 '!J48=0,"无变化","降幅"))</f>
        <v>无变化</v>
      </c>
      <c r="L130" s="525" t="s">
        <v>3890</v>
      </c>
      <c r="M130" s="522" t="s">
        <v>3922</v>
      </c>
      <c r="N130" s="532" t="str">
        <f>IF('合并利润表 '!L48&gt;0,"增加",IF('合并利润表 '!L48=0,"无变化","减少"))</f>
        <v>无变化</v>
      </c>
      <c r="O130" s="523" t="s">
        <v>3954</v>
      </c>
      <c r="P130" s="524" t="s">
        <v>3986</v>
      </c>
      <c r="Q130" s="532" t="str">
        <f>IF('合并利润表 '!L48&gt;0,"增幅",IF('合并利润表 '!L48=0,"无变化","降幅"))</f>
        <v>无变化</v>
      </c>
      <c r="R130" s="525" t="s">
        <v>4018</v>
      </c>
      <c r="S130" s="156"/>
      <c r="AF130" s="28"/>
    </row>
    <row r="131" spans="1:34">
      <c r="A131" s="538" t="s">
        <v>3276</v>
      </c>
      <c r="B131" s="193"/>
      <c r="C131" s="171" t="s">
        <v>3459</v>
      </c>
      <c r="D131" s="171" t="s">
        <v>3460</v>
      </c>
      <c r="E131" s="171" t="s">
        <v>3461</v>
      </c>
      <c r="F131" s="171" t="s">
        <v>3462</v>
      </c>
      <c r="G131" s="536"/>
      <c r="H131" s="535"/>
      <c r="I131" s="537"/>
      <c r="J131" s="536"/>
      <c r="K131" s="535"/>
      <c r="L131" s="537"/>
      <c r="M131" s="536"/>
      <c r="N131" s="535"/>
      <c r="O131" s="537"/>
      <c r="P131" s="536"/>
      <c r="Q131" s="535"/>
      <c r="R131" s="537"/>
      <c r="S131" s="156"/>
      <c r="AF131" s="28"/>
    </row>
    <row r="132" spans="1:34">
      <c r="A132" s="538" t="s">
        <v>3277</v>
      </c>
      <c r="B132" s="193"/>
      <c r="C132" s="171" t="s">
        <v>3463</v>
      </c>
      <c r="D132" s="171" t="s">
        <v>3464</v>
      </c>
      <c r="E132" s="171" t="s">
        <v>3465</v>
      </c>
      <c r="F132" s="171" t="s">
        <v>3466</v>
      </c>
      <c r="G132" s="536"/>
      <c r="H132" s="535"/>
      <c r="I132" s="537"/>
      <c r="J132" s="536"/>
      <c r="K132" s="535"/>
      <c r="L132" s="537"/>
      <c r="M132" s="536"/>
      <c r="N132" s="535"/>
      <c r="O132" s="537"/>
      <c r="P132" s="536"/>
      <c r="Q132" s="535"/>
      <c r="R132" s="537"/>
      <c r="S132" s="156"/>
      <c r="AF132" s="28"/>
    </row>
    <row r="133" spans="1:34">
      <c r="A133" s="538"/>
      <c r="B133" s="592" t="s">
        <v>4023</v>
      </c>
      <c r="C133" s="593" t="s">
        <v>3278</v>
      </c>
      <c r="D133" s="594" t="s">
        <v>3279</v>
      </c>
      <c r="E133" s="595" t="s">
        <v>3280</v>
      </c>
      <c r="F133" s="594" t="s">
        <v>3281</v>
      </c>
      <c r="G133" s="595" t="s">
        <v>3282</v>
      </c>
      <c r="H133" s="594" t="s">
        <v>3283</v>
      </c>
      <c r="I133" s="596" t="s">
        <v>3284</v>
      </c>
      <c r="J133" s="594" t="s">
        <v>3285</v>
      </c>
      <c r="K133" s="535"/>
      <c r="L133" s="537"/>
      <c r="M133" s="536"/>
      <c r="N133" s="535"/>
      <c r="O133" s="537"/>
      <c r="P133" s="536"/>
      <c r="Q133" s="535"/>
      <c r="R133" s="537"/>
      <c r="S133" s="536"/>
      <c r="T133" s="535"/>
      <c r="U133" s="537"/>
      <c r="V133" s="156"/>
      <c r="AG133" s="191"/>
      <c r="AH133" s="191"/>
    </row>
    <row r="134" spans="1:34">
      <c r="A134" s="538"/>
      <c r="B134" s="592" t="s">
        <v>4024</v>
      </c>
      <c r="C134" s="593" t="s">
        <v>3286</v>
      </c>
      <c r="D134" s="594" t="s">
        <v>3287</v>
      </c>
      <c r="E134" s="595" t="s">
        <v>3288</v>
      </c>
      <c r="F134" s="594" t="s">
        <v>3289</v>
      </c>
      <c r="G134" s="595" t="s">
        <v>3290</v>
      </c>
      <c r="H134" s="594" t="s">
        <v>3291</v>
      </c>
      <c r="I134" s="596" t="s">
        <v>3292</v>
      </c>
      <c r="J134" s="594" t="s">
        <v>3293</v>
      </c>
      <c r="K134" s="535"/>
      <c r="L134" s="537"/>
      <c r="M134" s="536"/>
      <c r="N134" s="535"/>
      <c r="O134" s="537"/>
      <c r="P134" s="536"/>
      <c r="Q134" s="535"/>
      <c r="R134" s="537"/>
      <c r="S134" s="536"/>
      <c r="T134" s="535"/>
      <c r="U134" s="537"/>
      <c r="V134" s="156"/>
      <c r="AG134" s="191"/>
      <c r="AH134" s="191"/>
    </row>
    <row r="135" spans="1:34">
      <c r="A135" s="538"/>
      <c r="B135" s="592" t="s">
        <v>4025</v>
      </c>
      <c r="C135" s="593" t="s">
        <v>3294</v>
      </c>
      <c r="D135" s="594" t="s">
        <v>3295</v>
      </c>
      <c r="E135" s="595" t="s">
        <v>3296</v>
      </c>
      <c r="F135" s="594" t="s">
        <v>3297</v>
      </c>
      <c r="G135" s="595" t="s">
        <v>3298</v>
      </c>
      <c r="H135" s="594" t="s">
        <v>3299</v>
      </c>
      <c r="I135" s="596" t="s">
        <v>3300</v>
      </c>
      <c r="J135" s="594" t="s">
        <v>3301</v>
      </c>
      <c r="K135" s="535"/>
      <c r="L135" s="537"/>
      <c r="M135" s="536"/>
      <c r="N135" s="535"/>
      <c r="O135" s="537"/>
      <c r="P135" s="536"/>
      <c r="Q135" s="535"/>
      <c r="R135" s="537"/>
      <c r="S135" s="536"/>
      <c r="T135" s="535"/>
      <c r="U135" s="537"/>
      <c r="V135" s="156"/>
      <c r="AG135" s="191"/>
      <c r="AH135" s="191"/>
    </row>
    <row r="136" spans="1:34">
      <c r="A136" s="538"/>
      <c r="B136" s="592" t="s">
        <v>4026</v>
      </c>
      <c r="C136" s="593" t="s">
        <v>3302</v>
      </c>
      <c r="D136" s="594" t="s">
        <v>3303</v>
      </c>
      <c r="E136" s="595" t="s">
        <v>3304</v>
      </c>
      <c r="F136" s="594" t="s">
        <v>3305</v>
      </c>
      <c r="G136" s="595" t="s">
        <v>3306</v>
      </c>
      <c r="H136" s="594" t="s">
        <v>3307</v>
      </c>
      <c r="I136" s="596" t="s">
        <v>3308</v>
      </c>
      <c r="J136" s="594" t="s">
        <v>3309</v>
      </c>
      <c r="K136" s="535"/>
      <c r="L136" s="537"/>
      <c r="M136" s="536"/>
      <c r="N136" s="535"/>
      <c r="O136" s="537"/>
      <c r="P136" s="536"/>
      <c r="Q136" s="535"/>
      <c r="R136" s="537"/>
      <c r="S136" s="536"/>
      <c r="T136" s="535"/>
      <c r="U136" s="537"/>
      <c r="V136" s="156"/>
      <c r="AG136" s="191"/>
      <c r="AH136" s="191"/>
    </row>
    <row r="137" spans="1:34">
      <c r="A137" s="538"/>
      <c r="B137" s="597"/>
      <c r="C137" s="537"/>
      <c r="D137" s="537" t="e">
        <f>'合并利润表 '!F9/'合并利润表 '!$F$4*100</f>
        <v>#DIV/0!</v>
      </c>
      <c r="E137" s="537"/>
      <c r="F137" s="537" t="e">
        <f>'合并利润表 '!G9/'合并利润表 '!$G$4*100</f>
        <v>#DIV/0!</v>
      </c>
      <c r="G137" s="537"/>
      <c r="H137" s="537" t="e">
        <f>'合并利润表 '!H9/'合并利润表 '!$H$4*100</f>
        <v>#DIV/0!</v>
      </c>
      <c r="I137" s="537"/>
      <c r="J137" s="537" t="e">
        <f>'合并利润表 '!I9/'合并利润表 '!$I$4*100</f>
        <v>#DIV/0!</v>
      </c>
      <c r="K137" s="535"/>
      <c r="L137" s="537"/>
      <c r="M137" s="536"/>
      <c r="N137" s="535"/>
      <c r="O137" s="537"/>
      <c r="P137" s="536"/>
      <c r="Q137" s="535"/>
      <c r="R137" s="537"/>
      <c r="S137" s="156"/>
      <c r="AF137" s="28"/>
    </row>
    <row r="138" spans="1:34">
      <c r="A138" s="538"/>
      <c r="B138" s="597"/>
      <c r="C138" s="537"/>
      <c r="D138" s="537" t="e">
        <f>'合并利润表 '!F10/'合并利润表 '!$F$4*100</f>
        <v>#DIV/0!</v>
      </c>
      <c r="E138" s="537"/>
      <c r="F138" s="537" t="e">
        <f>'合并利润表 '!G10/'合并利润表 '!$G$4*100</f>
        <v>#DIV/0!</v>
      </c>
      <c r="G138" s="537"/>
      <c r="H138" s="537" t="e">
        <f>'合并利润表 '!H10/'合并利润表 '!$H$4*100</f>
        <v>#DIV/0!</v>
      </c>
      <c r="I138" s="537"/>
      <c r="J138" s="537" t="e">
        <f>'合并利润表 '!I10/'合并利润表 '!$I$4*100</f>
        <v>#DIV/0!</v>
      </c>
      <c r="K138" s="535"/>
      <c r="L138" s="537"/>
      <c r="M138" s="536"/>
      <c r="N138" s="535"/>
      <c r="O138" s="537"/>
      <c r="P138" s="536"/>
      <c r="Q138" s="535"/>
      <c r="R138" s="537"/>
      <c r="S138" s="156"/>
      <c r="AF138" s="28"/>
    </row>
    <row r="139" spans="1:34">
      <c r="B139" s="597"/>
      <c r="C139" s="537"/>
      <c r="D139" s="537" t="e">
        <f>'合并利润表 '!F11/'合并利润表 '!$F$4*100</f>
        <v>#DIV/0!</v>
      </c>
      <c r="E139" s="537"/>
      <c r="F139" s="537" t="e">
        <f>'合并利润表 '!G11/'合并利润表 '!$G$4*100</f>
        <v>#DIV/0!</v>
      </c>
      <c r="G139" s="537"/>
      <c r="H139" s="537" t="e">
        <f>'合并利润表 '!H11/'合并利润表 '!$H$4*100</f>
        <v>#DIV/0!</v>
      </c>
      <c r="I139" s="537"/>
      <c r="J139" s="537" t="e">
        <f>'合并利润表 '!I11/'合并利润表 '!$I$4*100</f>
        <v>#DIV/0!</v>
      </c>
      <c r="K139" s="156"/>
      <c r="L139" s="156"/>
      <c r="M139" s="156"/>
      <c r="N139" s="156"/>
      <c r="O139" s="156"/>
      <c r="AB139" s="28"/>
      <c r="AC139" s="28"/>
      <c r="AD139" s="28"/>
      <c r="AE139" s="28"/>
      <c r="AF139" s="28"/>
    </row>
    <row r="140" spans="1:34">
      <c r="B140" s="597"/>
      <c r="C140" s="537"/>
      <c r="D140" s="537" t="e">
        <f>'合并利润表 '!F12/'合并利润表 '!$F$4*100</f>
        <v>#DIV/0!</v>
      </c>
      <c r="E140" s="537"/>
      <c r="F140" s="537" t="e">
        <f>'合并利润表 '!G12/'合并利润表 '!$G$4*100</f>
        <v>#DIV/0!</v>
      </c>
      <c r="G140" s="537"/>
      <c r="H140" s="537" t="e">
        <f>'合并利润表 '!H12/'合并利润表 '!$H$4*100</f>
        <v>#DIV/0!</v>
      </c>
      <c r="I140" s="537"/>
      <c r="J140" s="537" t="e">
        <f>'合并利润表 '!I12/'合并利润表 '!$I$4*100</f>
        <v>#DIV/0!</v>
      </c>
      <c r="K140" s="156"/>
      <c r="L140" s="156"/>
      <c r="M140" s="156"/>
      <c r="N140" s="156"/>
      <c r="O140" s="156"/>
      <c r="AB140" s="28"/>
      <c r="AC140" s="28"/>
      <c r="AD140" s="28"/>
      <c r="AE140" s="28"/>
      <c r="AF140" s="28"/>
    </row>
    <row r="141" spans="1:34" ht="13.5" thickBot="1">
      <c r="B141" s="597"/>
      <c r="C141" s="537">
        <f>'合并利润表 '!F9+'合并利润表 '!F10+'合并利润表 '!F11+'合并利润表 '!F12</f>
        <v>0</v>
      </c>
      <c r="D141" s="537" t="e">
        <f>SUM(D137:D140)</f>
        <v>#DIV/0!</v>
      </c>
      <c r="E141" s="537">
        <f>'合并利润表 '!G9+'合并利润表 '!G10+'合并利润表 '!G11+'合并利润表 '!G12</f>
        <v>0</v>
      </c>
      <c r="F141" s="537" t="e">
        <f>SUM(F137:F140)</f>
        <v>#DIV/0!</v>
      </c>
      <c r="G141" s="537">
        <f>'合并利润表 '!H9+'合并利润表 '!H10+'合并利润表 '!H11+'合并利润表 '!H12</f>
        <v>0</v>
      </c>
      <c r="H141" s="537" t="e">
        <f>SUM(H137:H140)</f>
        <v>#DIV/0!</v>
      </c>
      <c r="I141" s="537">
        <f>'合并利润表 '!I9+'合并利润表 '!I10+'合并利润表 '!IJ11+'合并利润表 '!I12</f>
        <v>0</v>
      </c>
      <c r="J141" s="537" t="e">
        <f>SUM(J137:J140)</f>
        <v>#DIV/0!</v>
      </c>
      <c r="K141" s="156"/>
      <c r="L141" s="156"/>
      <c r="M141" s="156"/>
      <c r="N141" s="156"/>
      <c r="O141" s="156"/>
      <c r="AB141" s="28"/>
      <c r="AC141" s="28"/>
      <c r="AD141" s="28"/>
      <c r="AE141" s="28"/>
      <c r="AF141" s="28"/>
    </row>
    <row r="142" spans="1:34">
      <c r="B142" s="704" t="s">
        <v>81</v>
      </c>
      <c r="C142" s="702" t="str">
        <f>C1</f>
        <v>N4</v>
      </c>
      <c r="D142" s="702" t="str">
        <f>D1</f>
        <v>N3</v>
      </c>
      <c r="E142" s="702" t="str">
        <f>E1</f>
        <v>N2</v>
      </c>
      <c r="F142" s="690" t="str">
        <f>F1</f>
        <v>N1</v>
      </c>
      <c r="G142" s="195"/>
      <c r="H142" s="697" t="str">
        <f>B142</f>
        <v>项目</v>
      </c>
      <c r="I142" s="669" t="str">
        <f>C142</f>
        <v>N4</v>
      </c>
      <c r="J142" s="669" t="str">
        <f>D142</f>
        <v>N3</v>
      </c>
      <c r="K142" s="669" t="str">
        <f>E142</f>
        <v>N2</v>
      </c>
      <c r="L142" s="676" t="str">
        <f>F142</f>
        <v>N1</v>
      </c>
      <c r="M142" s="678" t="s">
        <v>77</v>
      </c>
      <c r="N142" s="679"/>
      <c r="O142" s="679"/>
      <c r="P142" s="679"/>
      <c r="Q142" s="679"/>
      <c r="R142" s="680"/>
      <c r="S142" s="681" t="s">
        <v>76</v>
      </c>
      <c r="T142" s="682"/>
      <c r="U142" s="682"/>
      <c r="V142" s="682"/>
      <c r="W142" s="682"/>
      <c r="X142" s="683"/>
      <c r="Y142" s="28"/>
      <c r="Z142" s="28"/>
      <c r="AA142" s="28"/>
      <c r="AB142" s="28"/>
      <c r="AC142" s="28"/>
      <c r="AD142" s="28"/>
      <c r="AE142" s="28"/>
      <c r="AF142" s="28"/>
    </row>
    <row r="143" spans="1:34">
      <c r="B143" s="705"/>
      <c r="C143" s="703"/>
      <c r="D143" s="703"/>
      <c r="E143" s="703"/>
      <c r="F143" s="691"/>
      <c r="G143" s="195"/>
      <c r="H143" s="698"/>
      <c r="I143" s="670"/>
      <c r="J143" s="670"/>
      <c r="K143" s="670"/>
      <c r="L143" s="677"/>
      <c r="M143" s="684" t="s">
        <v>32</v>
      </c>
      <c r="N143" s="685"/>
      <c r="O143" s="685"/>
      <c r="P143" s="685" t="s">
        <v>2388</v>
      </c>
      <c r="Q143" s="685"/>
      <c r="R143" s="686"/>
      <c r="S143" s="687" t="s">
        <v>32</v>
      </c>
      <c r="T143" s="685"/>
      <c r="U143" s="685"/>
      <c r="V143" s="685" t="s">
        <v>2388</v>
      </c>
      <c r="W143" s="685"/>
      <c r="X143" s="686"/>
      <c r="Y143" s="28"/>
      <c r="Z143" s="28"/>
      <c r="AA143" s="28"/>
      <c r="AB143" s="28"/>
      <c r="AC143" s="28"/>
      <c r="AD143" s="28"/>
      <c r="AE143" s="28"/>
      <c r="AF143" s="28"/>
    </row>
    <row r="144" spans="1:34" ht="14.25">
      <c r="B144" s="102" t="s">
        <v>108</v>
      </c>
      <c r="C144" s="173"/>
      <c r="D144" s="173"/>
      <c r="E144" s="173"/>
      <c r="F144" s="468"/>
      <c r="G144" s="156"/>
      <c r="H144" s="699"/>
      <c r="I144" s="670"/>
      <c r="J144" s="670"/>
      <c r="K144" s="670"/>
      <c r="L144" s="677"/>
      <c r="M144" s="674" t="s">
        <v>2389</v>
      </c>
      <c r="N144" s="673"/>
      <c r="O144" s="476" t="s">
        <v>2390</v>
      </c>
      <c r="P144" s="673" t="s">
        <v>2389</v>
      </c>
      <c r="Q144" s="673"/>
      <c r="R144" s="474" t="s">
        <v>2390</v>
      </c>
      <c r="S144" s="675" t="s">
        <v>2389</v>
      </c>
      <c r="T144" s="673"/>
      <c r="U144" s="476" t="s">
        <v>2390</v>
      </c>
      <c r="V144" s="673" t="s">
        <v>2389</v>
      </c>
      <c r="W144" s="673"/>
      <c r="X144" s="474" t="s">
        <v>2390</v>
      </c>
      <c r="Y144" s="28"/>
      <c r="Z144" s="28"/>
      <c r="AA144" s="28"/>
      <c r="AB144" s="28"/>
      <c r="AC144" s="28"/>
      <c r="AD144" s="28"/>
      <c r="AE144" s="28"/>
      <c r="AF144" s="28"/>
    </row>
    <row r="145" spans="1:32" ht="14.25">
      <c r="A145" s="28" t="s">
        <v>287</v>
      </c>
      <c r="B145" s="41" t="s">
        <v>109</v>
      </c>
      <c r="C145" s="174" t="s">
        <v>1197</v>
      </c>
      <c r="D145" s="174" t="s">
        <v>1233</v>
      </c>
      <c r="E145" s="174" t="s">
        <v>1269</v>
      </c>
      <c r="F145" s="469" t="s">
        <v>1305</v>
      </c>
      <c r="G145" s="156"/>
      <c r="H145" s="692" t="s">
        <v>3214</v>
      </c>
      <c r="I145" s="173" t="s">
        <v>364</v>
      </c>
      <c r="J145" s="173" t="s">
        <v>374</v>
      </c>
      <c r="K145" s="173" t="s">
        <v>384</v>
      </c>
      <c r="L145" s="200" t="s">
        <v>394</v>
      </c>
      <c r="M145" s="475" t="s">
        <v>3227</v>
      </c>
      <c r="N145" s="477" t="str">
        <f>IF(合并现金流量表!J8,"增加",IF(合并现金流量表!J8=0,"无变化","减少"))</f>
        <v>无变化</v>
      </c>
      <c r="O145" s="477" t="s">
        <v>3218</v>
      </c>
      <c r="P145" s="477" t="s">
        <v>3236</v>
      </c>
      <c r="Q145" s="477" t="str">
        <f>IF(合并现金流量表!J8&gt;0,"增幅",IF(合并现金流量表!J8=0,"无变化","降幅"))</f>
        <v>无变化</v>
      </c>
      <c r="R145" s="162" t="s">
        <v>404</v>
      </c>
      <c r="S145" s="428" t="s">
        <v>3245</v>
      </c>
      <c r="T145" s="477" t="str">
        <f>IF(合并现金流量表!L8&gt;0,"增加",IF(合并现金流量表!L8=0,"无变化","减少"))</f>
        <v>无变化</v>
      </c>
      <c r="U145" s="477" t="s">
        <v>413</v>
      </c>
      <c r="V145" s="477" t="s">
        <v>3253</v>
      </c>
      <c r="W145" s="477" t="str">
        <f>IF(合并现金流量表!L8&gt;0,"增幅",IF(合并现金流量表!L8=0,"无变化","降幅"))</f>
        <v>无变化</v>
      </c>
      <c r="X145" s="162" t="s">
        <v>422</v>
      </c>
      <c r="Y145" s="28"/>
      <c r="Z145" s="28"/>
      <c r="AA145" s="28"/>
      <c r="AB145" s="28"/>
      <c r="AC145" s="28"/>
      <c r="AD145" s="28"/>
      <c r="AE145" s="28"/>
      <c r="AF145" s="28"/>
    </row>
    <row r="146" spans="1:32" ht="14.25">
      <c r="A146" s="28" t="s">
        <v>288</v>
      </c>
      <c r="B146" s="41" t="s">
        <v>110</v>
      </c>
      <c r="C146" s="174" t="s">
        <v>1198</v>
      </c>
      <c r="D146" s="174" t="s">
        <v>1234</v>
      </c>
      <c r="E146" s="174" t="s">
        <v>1270</v>
      </c>
      <c r="F146" s="469" t="s">
        <v>1306</v>
      </c>
      <c r="G146" s="156"/>
      <c r="H146" s="693"/>
      <c r="I146" s="173" t="s">
        <v>365</v>
      </c>
      <c r="J146" s="173" t="s">
        <v>375</v>
      </c>
      <c r="K146" s="173" t="s">
        <v>385</v>
      </c>
      <c r="L146" s="200" t="s">
        <v>395</v>
      </c>
      <c r="M146" s="475" t="s">
        <v>3228</v>
      </c>
      <c r="N146" s="477" t="str">
        <f>IF(合并现金流量表!J13&gt;0,"增加",IF(合并现金流量表!J13=0,"无变化","减少"))</f>
        <v>无变化</v>
      </c>
      <c r="O146" s="477" t="s">
        <v>3219</v>
      </c>
      <c r="P146" s="477" t="s">
        <v>3237</v>
      </c>
      <c r="Q146" s="477" t="str">
        <f>IF(合并现金流量表!J13&gt;0,"增幅",IF(合并现金流量表!J13=0,"无变化","降幅"))</f>
        <v>无变化</v>
      </c>
      <c r="R146" s="162" t="s">
        <v>405</v>
      </c>
      <c r="S146" s="428" t="s">
        <v>3246</v>
      </c>
      <c r="T146" s="477" t="str">
        <f>IF(合并现金流量表!L13&gt;0,"增加",IF(合并现金流量表!L13=0,"无变化","减少"))</f>
        <v>无变化</v>
      </c>
      <c r="U146" s="477" t="s">
        <v>414</v>
      </c>
      <c r="V146" s="477" t="s">
        <v>3254</v>
      </c>
      <c r="W146" s="477" t="str">
        <f>IF(合并现金流量表!L13&gt;0,"增幅",IF(合并现金流量表!L13=0,"无变化","降幅"))</f>
        <v>无变化</v>
      </c>
      <c r="X146" s="162" t="s">
        <v>423</v>
      </c>
      <c r="Y146" s="28"/>
      <c r="Z146" s="28"/>
      <c r="AA146" s="28"/>
      <c r="AB146" s="28"/>
      <c r="AC146" s="28"/>
      <c r="AD146" s="28"/>
      <c r="AE146" s="28"/>
      <c r="AF146" s="28"/>
    </row>
    <row r="147" spans="1:32" ht="14.25">
      <c r="A147" s="28" t="s">
        <v>289</v>
      </c>
      <c r="B147" s="41" t="s">
        <v>111</v>
      </c>
      <c r="C147" s="174" t="s">
        <v>1199</v>
      </c>
      <c r="D147" s="174" t="s">
        <v>1235</v>
      </c>
      <c r="E147" s="174" t="s">
        <v>1271</v>
      </c>
      <c r="F147" s="469" t="s">
        <v>1307</v>
      </c>
      <c r="G147" s="156"/>
      <c r="H147" s="693"/>
      <c r="I147" s="213" t="s">
        <v>366</v>
      </c>
      <c r="J147" s="213" t="s">
        <v>376</v>
      </c>
      <c r="K147" s="213" t="s">
        <v>386</v>
      </c>
      <c r="L147" s="214" t="s">
        <v>396</v>
      </c>
      <c r="M147" s="210" t="s">
        <v>3229</v>
      </c>
      <c r="N147" s="160" t="e">
        <f>AC160</f>
        <v>#N/A</v>
      </c>
      <c r="O147" s="160" t="s">
        <v>3220</v>
      </c>
      <c r="P147" s="160" t="s">
        <v>3238</v>
      </c>
      <c r="Q147" s="160" t="e">
        <f>LOOKUP(AB160,$R$168:$R$173,$S$168:$S$173)</f>
        <v>#N/A</v>
      </c>
      <c r="R147" s="165" t="s">
        <v>406</v>
      </c>
      <c r="S147" s="465" t="s">
        <v>3272</v>
      </c>
      <c r="T147" s="160" t="e">
        <f>U160</f>
        <v>#N/A</v>
      </c>
      <c r="U147" s="160" t="s">
        <v>415</v>
      </c>
      <c r="V147" s="160" t="s">
        <v>3255</v>
      </c>
      <c r="W147" s="160" t="e">
        <f>LOOKUP(T160,$R$168:$R$173,$S$168:$S$173)</f>
        <v>#N/A</v>
      </c>
      <c r="X147" s="165" t="s">
        <v>424</v>
      </c>
      <c r="Y147" s="28"/>
      <c r="Z147" s="28"/>
      <c r="AA147" s="28"/>
      <c r="AB147" s="28"/>
      <c r="AC147" s="28"/>
      <c r="AD147" s="28"/>
      <c r="AE147" s="28"/>
      <c r="AF147" s="28"/>
    </row>
    <row r="148" spans="1:32" ht="14.25">
      <c r="A148" s="28" t="s">
        <v>290</v>
      </c>
      <c r="B148" s="35" t="s">
        <v>112</v>
      </c>
      <c r="C148" s="213" t="s">
        <v>1200</v>
      </c>
      <c r="D148" s="213" t="s">
        <v>1236</v>
      </c>
      <c r="E148" s="213" t="s">
        <v>1272</v>
      </c>
      <c r="F148" s="470" t="s">
        <v>1308</v>
      </c>
      <c r="G148" s="168"/>
      <c r="H148" s="692" t="s">
        <v>3215</v>
      </c>
      <c r="I148" s="173" t="s">
        <v>367</v>
      </c>
      <c r="J148" s="173" t="s">
        <v>377</v>
      </c>
      <c r="K148" s="173" t="s">
        <v>387</v>
      </c>
      <c r="L148" s="200" t="s">
        <v>397</v>
      </c>
      <c r="M148" s="475" t="s">
        <v>3230</v>
      </c>
      <c r="N148" s="477" t="str">
        <f>IF(合并现金流量表!J21&gt;0,"增加",IF(合并现金流量表!J21=0,"无变化","减少"))</f>
        <v>无变化</v>
      </c>
      <c r="O148" s="477" t="s">
        <v>3221</v>
      </c>
      <c r="P148" s="477" t="s">
        <v>3239</v>
      </c>
      <c r="Q148" s="477" t="str">
        <f>IF(合并现金流量表!J21&gt;0,"增幅",IF(合并现金流量表!J21=0,"无变化","降幅"))</f>
        <v>无变化</v>
      </c>
      <c r="R148" s="162" t="s">
        <v>407</v>
      </c>
      <c r="S148" s="428" t="s">
        <v>3247</v>
      </c>
      <c r="T148" s="477" t="str">
        <f>IF(合并现金流量表!L21&gt;0,"增加",IF(合并现金流量表!L21=0,"无变化","减少"))</f>
        <v>无变化</v>
      </c>
      <c r="U148" s="477" t="s">
        <v>416</v>
      </c>
      <c r="V148" s="477" t="s">
        <v>3256</v>
      </c>
      <c r="W148" s="477" t="str">
        <f>IF(合并现金流量表!L21&gt;0,"增幅",IF(合并现金流量表!L21=0,"无变化","降幅"))</f>
        <v>无变化</v>
      </c>
      <c r="X148" s="162" t="s">
        <v>425</v>
      </c>
      <c r="Y148" s="28"/>
      <c r="Z148" s="28"/>
      <c r="AA148" s="28"/>
      <c r="AB148" s="28"/>
      <c r="AC148" s="28"/>
      <c r="AD148" s="28"/>
      <c r="AE148" s="28"/>
      <c r="AF148" s="28"/>
    </row>
    <row r="149" spans="1:32" ht="14.25">
      <c r="A149" s="28" t="s">
        <v>291</v>
      </c>
      <c r="B149" s="41" t="s">
        <v>113</v>
      </c>
      <c r="C149" s="174" t="s">
        <v>1201</v>
      </c>
      <c r="D149" s="174" t="s">
        <v>1237</v>
      </c>
      <c r="E149" s="174" t="s">
        <v>1273</v>
      </c>
      <c r="F149" s="469" t="s">
        <v>1309</v>
      </c>
      <c r="G149" s="156"/>
      <c r="H149" s="693"/>
      <c r="I149" s="173" t="s">
        <v>368</v>
      </c>
      <c r="J149" s="173" t="s">
        <v>378</v>
      </c>
      <c r="K149" s="173" t="s">
        <v>388</v>
      </c>
      <c r="L149" s="200" t="s">
        <v>398</v>
      </c>
      <c r="M149" s="475" t="s">
        <v>3231</v>
      </c>
      <c r="N149" s="477" t="str">
        <f>IF(合并现金流量表!J26&gt;0,"增加",IF(合并现金流量表!J26=0,"无变化","减少"))</f>
        <v>无变化</v>
      </c>
      <c r="O149" s="477" t="s">
        <v>3222</v>
      </c>
      <c r="P149" s="477" t="s">
        <v>3240</v>
      </c>
      <c r="Q149" s="477" t="str">
        <f>IF(合并现金流量表!J26&gt;0,"增幅",IF(合并现金流量表!J26=0,"无变化","降幅"))</f>
        <v>无变化</v>
      </c>
      <c r="R149" s="162" t="s">
        <v>408</v>
      </c>
      <c r="S149" s="428" t="s">
        <v>3248</v>
      </c>
      <c r="T149" s="477" t="str">
        <f>IF(合并现金流量表!L26&gt;0,"增加",IF(合并现金流量表!L26=0,"无变化","减少"))</f>
        <v>无变化</v>
      </c>
      <c r="U149" s="477" t="s">
        <v>417</v>
      </c>
      <c r="V149" s="477" t="s">
        <v>3257</v>
      </c>
      <c r="W149" s="477" t="str">
        <f>IF(合并现金流量表!L26&gt;0,"增幅",IF(合并现金流量表!L26=0,"无变化","降幅"))</f>
        <v>无变化</v>
      </c>
      <c r="X149" s="162" t="s">
        <v>426</v>
      </c>
      <c r="Y149" s="28"/>
      <c r="Z149" s="28"/>
      <c r="AA149" s="28"/>
      <c r="AB149" s="28"/>
      <c r="AC149" s="28"/>
      <c r="AD149" s="28"/>
      <c r="AE149" s="28"/>
      <c r="AF149" s="28"/>
    </row>
    <row r="150" spans="1:32" ht="14.25">
      <c r="A150" s="28" t="s">
        <v>292</v>
      </c>
      <c r="B150" s="41" t="s">
        <v>114</v>
      </c>
      <c r="C150" s="174" t="s">
        <v>1202</v>
      </c>
      <c r="D150" s="174" t="s">
        <v>1238</v>
      </c>
      <c r="E150" s="174" t="s">
        <v>1274</v>
      </c>
      <c r="F150" s="469" t="s">
        <v>1310</v>
      </c>
      <c r="G150" s="156"/>
      <c r="H150" s="693"/>
      <c r="I150" s="213" t="s">
        <v>369</v>
      </c>
      <c r="J150" s="213" t="s">
        <v>379</v>
      </c>
      <c r="K150" s="213" t="s">
        <v>389</v>
      </c>
      <c r="L150" s="214" t="s">
        <v>399</v>
      </c>
      <c r="M150" s="210" t="s">
        <v>3232</v>
      </c>
      <c r="N150" s="160" t="e">
        <f>AC163</f>
        <v>#N/A</v>
      </c>
      <c r="O150" s="160" t="s">
        <v>3223</v>
      </c>
      <c r="P150" s="160" t="s">
        <v>3241</v>
      </c>
      <c r="Q150" s="160" t="e">
        <f>LOOKUP(AB163,$R$168:$R$173,$S$168:$S$173)</f>
        <v>#N/A</v>
      </c>
      <c r="R150" s="165" t="s">
        <v>409</v>
      </c>
      <c r="S150" s="465" t="s">
        <v>3249</v>
      </c>
      <c r="T150" s="160" t="e">
        <f>U163</f>
        <v>#N/A</v>
      </c>
      <c r="U150" s="160" t="s">
        <v>418</v>
      </c>
      <c r="V150" s="160" t="s">
        <v>3258</v>
      </c>
      <c r="W150" s="358" t="str">
        <f>IF(合并现金流量表!L23&gt;0,"增幅",IF(合并现金流量表!L23=0,"无变化","降幅"))</f>
        <v>无变化</v>
      </c>
      <c r="X150" s="165" t="s">
        <v>427</v>
      </c>
      <c r="Y150" s="28"/>
      <c r="Z150" s="28"/>
      <c r="AA150" s="28"/>
      <c r="AB150" s="28"/>
      <c r="AC150" s="28"/>
      <c r="AD150" s="28"/>
      <c r="AE150" s="28"/>
      <c r="AF150" s="28"/>
    </row>
    <row r="151" spans="1:32" ht="14.25">
      <c r="A151" s="28" t="s">
        <v>293</v>
      </c>
      <c r="B151" s="41" t="s">
        <v>115</v>
      </c>
      <c r="C151" s="174" t="s">
        <v>1203</v>
      </c>
      <c r="D151" s="174" t="s">
        <v>1239</v>
      </c>
      <c r="E151" s="174" t="s">
        <v>1275</v>
      </c>
      <c r="F151" s="469" t="s">
        <v>1311</v>
      </c>
      <c r="G151" s="156"/>
      <c r="H151" s="692" t="s">
        <v>3216</v>
      </c>
      <c r="I151" s="173" t="s">
        <v>370</v>
      </c>
      <c r="J151" s="173" t="s">
        <v>380</v>
      </c>
      <c r="K151" s="173" t="s">
        <v>390</v>
      </c>
      <c r="L151" s="200" t="s">
        <v>400</v>
      </c>
      <c r="M151" s="475" t="s">
        <v>3233</v>
      </c>
      <c r="N151" s="477" t="str">
        <f>IF(合并现金流量表!J33&gt;0,"增加",IF(合并现金流量表!J33=0,"无变化","减少"))</f>
        <v>无变化</v>
      </c>
      <c r="O151" s="477" t="s">
        <v>3224</v>
      </c>
      <c r="P151" s="477" t="s">
        <v>3242</v>
      </c>
      <c r="Q151" s="477" t="str">
        <f>IF(合并现金流量表!J33&gt;0,"增幅",IF(合并现金流量表!J33=0,"无变化","降幅"))</f>
        <v>无变化</v>
      </c>
      <c r="R151" s="162" t="s">
        <v>410</v>
      </c>
      <c r="S151" s="428" t="s">
        <v>3250</v>
      </c>
      <c r="T151" s="477" t="str">
        <f>IF(合并现金流量表!L33&gt;0,"增加",IF(合并现金流量表!L33=0,"无变化","减少"))</f>
        <v>无变化</v>
      </c>
      <c r="U151" s="477" t="s">
        <v>419</v>
      </c>
      <c r="V151" s="477" t="s">
        <v>3259</v>
      </c>
      <c r="W151" s="477" t="str">
        <f>IF(合并现金流量表!L33&gt;0,"增幅",IF(合并现金流量表!L33=0,"无变化","降幅"))</f>
        <v>无变化</v>
      </c>
      <c r="X151" s="162" t="s">
        <v>428</v>
      </c>
      <c r="Y151" s="28"/>
      <c r="Z151" s="28"/>
      <c r="AA151" s="28"/>
      <c r="AB151" s="28"/>
      <c r="AC151" s="28"/>
      <c r="AD151" s="28"/>
      <c r="AE151" s="28"/>
      <c r="AF151" s="28"/>
    </row>
    <row r="152" spans="1:32" ht="14.25">
      <c r="A152" s="28" t="s">
        <v>294</v>
      </c>
      <c r="B152" s="41" t="s">
        <v>116</v>
      </c>
      <c r="C152" s="174" t="s">
        <v>1204</v>
      </c>
      <c r="D152" s="174" t="s">
        <v>1240</v>
      </c>
      <c r="E152" s="174" t="s">
        <v>1276</v>
      </c>
      <c r="F152" s="469" t="s">
        <v>1312</v>
      </c>
      <c r="G152" s="156"/>
      <c r="H152" s="693"/>
      <c r="I152" s="173" t="s">
        <v>371</v>
      </c>
      <c r="J152" s="173" t="s">
        <v>381</v>
      </c>
      <c r="K152" s="173" t="s">
        <v>391</v>
      </c>
      <c r="L152" s="200" t="s">
        <v>401</v>
      </c>
      <c r="M152" s="475" t="s">
        <v>3234</v>
      </c>
      <c r="N152" s="477" t="str">
        <f>IF(合并现金流量表!J37&gt;0,"增加",IF(合并现金流量表!J37=0,"无变化","减少"))</f>
        <v>无变化</v>
      </c>
      <c r="O152" s="477" t="s">
        <v>3225</v>
      </c>
      <c r="P152" s="477" t="s">
        <v>3243</v>
      </c>
      <c r="Q152" s="477" t="str">
        <f>IF(合并现金流量表!J37&gt;0,"增幅",IF(合并现金流量表!J37=0,"无变化","降幅"))</f>
        <v>无变化</v>
      </c>
      <c r="R152" s="162" t="s">
        <v>411</v>
      </c>
      <c r="S152" s="428" t="s">
        <v>3251</v>
      </c>
      <c r="T152" s="477" t="str">
        <f>IF(合并现金流量表!L37&gt;0,"增加",IF(合并现金流量表!L37=0,"无变化","减少"))</f>
        <v>无变化</v>
      </c>
      <c r="U152" s="477" t="s">
        <v>420</v>
      </c>
      <c r="V152" s="477" t="s">
        <v>3260</v>
      </c>
      <c r="W152" s="477" t="str">
        <f>IF(合并现金流量表!L37&gt;0,"增幅",IF(合并现金流量表!L37=0,"无变化","降幅"))</f>
        <v>无变化</v>
      </c>
      <c r="X152" s="162" t="s">
        <v>429</v>
      </c>
      <c r="Y152" s="28"/>
      <c r="Z152" s="28"/>
      <c r="AA152" s="28"/>
      <c r="AB152" s="28"/>
      <c r="AC152" s="28"/>
      <c r="AD152" s="28"/>
      <c r="AE152" s="28"/>
      <c r="AF152" s="28"/>
    </row>
    <row r="153" spans="1:32" ht="14.25">
      <c r="A153" s="28" t="s">
        <v>295</v>
      </c>
      <c r="B153" s="35" t="s">
        <v>117</v>
      </c>
      <c r="C153" s="213" t="s">
        <v>1205</v>
      </c>
      <c r="D153" s="213" t="s">
        <v>1241</v>
      </c>
      <c r="E153" s="213" t="s">
        <v>1277</v>
      </c>
      <c r="F153" s="470" t="s">
        <v>1313</v>
      </c>
      <c r="G153" s="168"/>
      <c r="H153" s="693"/>
      <c r="I153" s="213" t="s">
        <v>372</v>
      </c>
      <c r="J153" s="213" t="s">
        <v>382</v>
      </c>
      <c r="K153" s="213" t="s">
        <v>392</v>
      </c>
      <c r="L153" s="214" t="s">
        <v>402</v>
      </c>
      <c r="M153" s="210" t="s">
        <v>3235</v>
      </c>
      <c r="N153" s="160" t="e">
        <f>AC166</f>
        <v>#N/A</v>
      </c>
      <c r="O153" s="160" t="s">
        <v>3226</v>
      </c>
      <c r="P153" s="160" t="s">
        <v>3244</v>
      </c>
      <c r="Q153" s="160" t="e">
        <f>LOOKUP(AB166,$R$168:$R$173,$S$168:$S$173)</f>
        <v>#N/A</v>
      </c>
      <c r="R153" s="165" t="s">
        <v>412</v>
      </c>
      <c r="S153" s="465" t="s">
        <v>3252</v>
      </c>
      <c r="T153" s="160" t="e">
        <f>U166</f>
        <v>#N/A</v>
      </c>
      <c r="U153" s="160" t="s">
        <v>421</v>
      </c>
      <c r="V153" s="160" t="s">
        <v>3261</v>
      </c>
      <c r="W153" s="358" t="str">
        <f>IF(合并现金流量表!L26&gt;0,"增幅",IF(合并现金流量表!L26=0,"无变化","降幅"))</f>
        <v>无变化</v>
      </c>
      <c r="X153" s="165" t="s">
        <v>430</v>
      </c>
      <c r="Y153" s="28"/>
      <c r="Z153" s="28"/>
      <c r="AA153" s="28"/>
      <c r="AB153" s="28"/>
      <c r="AC153" s="28"/>
      <c r="AD153" s="28"/>
      <c r="AE153" s="28"/>
      <c r="AF153" s="28"/>
    </row>
    <row r="154" spans="1:32" ht="15" thickBot="1">
      <c r="A154" s="28" t="s">
        <v>296</v>
      </c>
      <c r="B154" s="35" t="s">
        <v>118</v>
      </c>
      <c r="C154" s="213" t="s">
        <v>1206</v>
      </c>
      <c r="D154" s="213" t="s">
        <v>1242</v>
      </c>
      <c r="E154" s="213" t="s">
        <v>1278</v>
      </c>
      <c r="F154" s="470" t="s">
        <v>1314</v>
      </c>
      <c r="G154" s="168"/>
      <c r="H154" s="473" t="s">
        <v>3217</v>
      </c>
      <c r="I154" s="196" t="s">
        <v>373</v>
      </c>
      <c r="J154" s="196" t="s">
        <v>383</v>
      </c>
      <c r="K154" s="196" t="s">
        <v>393</v>
      </c>
      <c r="L154" s="478" t="s">
        <v>403</v>
      </c>
      <c r="M154" s="199"/>
      <c r="N154" s="196"/>
      <c r="O154" s="196"/>
      <c r="P154" s="196"/>
      <c r="Q154" s="196"/>
      <c r="R154" s="197"/>
      <c r="S154" s="467"/>
      <c r="T154" s="196"/>
      <c r="U154" s="196"/>
      <c r="V154" s="196"/>
      <c r="W154" s="196"/>
      <c r="X154" s="197"/>
      <c r="Y154" s="28"/>
      <c r="Z154" s="28"/>
      <c r="AA154" s="28"/>
      <c r="AB154" s="28"/>
      <c r="AC154" s="28"/>
      <c r="AD154" s="28"/>
      <c r="AE154" s="28"/>
      <c r="AF154" s="28"/>
    </row>
    <row r="155" spans="1:32" ht="14.25">
      <c r="B155" s="102" t="s">
        <v>119</v>
      </c>
      <c r="C155" s="175"/>
      <c r="D155" s="175"/>
      <c r="E155" s="173"/>
      <c r="F155" s="468"/>
      <c r="G155" s="156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</row>
    <row r="156" spans="1:32" ht="15" thickBot="1">
      <c r="A156" s="28" t="s">
        <v>297</v>
      </c>
      <c r="B156" s="41" t="s">
        <v>120</v>
      </c>
      <c r="C156" s="176" t="s">
        <v>1207</v>
      </c>
      <c r="D156" s="176" t="s">
        <v>1243</v>
      </c>
      <c r="E156" s="174" t="s">
        <v>1279</v>
      </c>
      <c r="F156" s="469" t="s">
        <v>1315</v>
      </c>
      <c r="G156" s="156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</row>
    <row r="157" spans="1:32" ht="15" thickBot="1">
      <c r="A157" s="28" t="s">
        <v>298</v>
      </c>
      <c r="B157" s="41" t="s">
        <v>121</v>
      </c>
      <c r="C157" s="176" t="s">
        <v>1208</v>
      </c>
      <c r="D157" s="176" t="s">
        <v>1244</v>
      </c>
      <c r="E157" s="174" t="s">
        <v>1280</v>
      </c>
      <c r="F157" s="469" t="s">
        <v>1316</v>
      </c>
      <c r="G157" s="156"/>
      <c r="H157" s="671" t="s">
        <v>0</v>
      </c>
      <c r="I157" s="672"/>
      <c r="J157" s="479" t="str">
        <f>I142</f>
        <v>N4</v>
      </c>
      <c r="K157" s="479" t="str">
        <f t="shared" ref="K157:M157" si="0">J142</f>
        <v>N3</v>
      </c>
      <c r="L157" s="479" t="str">
        <f t="shared" si="0"/>
        <v>N2</v>
      </c>
      <c r="M157" s="480" t="str">
        <f t="shared" si="0"/>
        <v>N1</v>
      </c>
      <c r="N157" s="659" t="s">
        <v>76</v>
      </c>
      <c r="O157" s="660"/>
      <c r="P157" s="660"/>
      <c r="Q157" s="660"/>
      <c r="R157" s="660"/>
      <c r="S157" s="660"/>
      <c r="T157" s="660"/>
      <c r="U157" s="661"/>
      <c r="V157" s="659" t="s">
        <v>77</v>
      </c>
      <c r="W157" s="660"/>
      <c r="X157" s="660"/>
      <c r="Y157" s="660"/>
      <c r="Z157" s="660"/>
      <c r="AA157" s="660"/>
      <c r="AB157" s="660"/>
      <c r="AC157" s="661"/>
      <c r="AD157" s="28"/>
      <c r="AE157" s="28"/>
      <c r="AF157" s="28"/>
    </row>
    <row r="158" spans="1:32" ht="29.25" thickBot="1">
      <c r="A158" s="28" t="s">
        <v>299</v>
      </c>
      <c r="B158" s="41" t="s">
        <v>122</v>
      </c>
      <c r="C158" s="176" t="s">
        <v>1209</v>
      </c>
      <c r="D158" s="176" t="s">
        <v>1245</v>
      </c>
      <c r="E158" s="174" t="s">
        <v>1281</v>
      </c>
      <c r="F158" s="469" t="s">
        <v>1317</v>
      </c>
      <c r="G158" s="156"/>
      <c r="H158" s="694" t="s">
        <v>3262</v>
      </c>
      <c r="I158" s="481" t="s">
        <v>3263</v>
      </c>
      <c r="J158" s="482">
        <f>合并现金流量表!F8</f>
        <v>0</v>
      </c>
      <c r="K158" s="482">
        <f>合并现金流量表!G8</f>
        <v>0</v>
      </c>
      <c r="L158" s="482">
        <f>合并现金流量表!H8</f>
        <v>0</v>
      </c>
      <c r="M158" s="483">
        <f>合并现金流量表!I8</f>
        <v>0</v>
      </c>
      <c r="N158" s="484"/>
      <c r="O158" s="485"/>
      <c r="P158" s="486"/>
      <c r="Q158" s="486"/>
      <c r="R158" s="486"/>
      <c r="S158" s="486"/>
      <c r="T158" s="487"/>
      <c r="U158" s="488"/>
      <c r="V158" s="484"/>
      <c r="W158" s="485"/>
      <c r="X158" s="486"/>
      <c r="Y158" s="486"/>
      <c r="Z158" s="486"/>
      <c r="AA158" s="486"/>
      <c r="AB158" s="487"/>
      <c r="AC158" s="488"/>
      <c r="AD158" s="28"/>
      <c r="AE158" s="28"/>
      <c r="AF158" s="28"/>
    </row>
    <row r="159" spans="1:32" ht="29.25" thickBot="1">
      <c r="A159" s="28" t="s">
        <v>300</v>
      </c>
      <c r="B159" s="41" t="s">
        <v>123</v>
      </c>
      <c r="C159" s="176" t="s">
        <v>1210</v>
      </c>
      <c r="D159" s="188" t="s">
        <v>1246</v>
      </c>
      <c r="E159" s="176" t="s">
        <v>1282</v>
      </c>
      <c r="F159" s="178" t="s">
        <v>1318</v>
      </c>
      <c r="G159" s="156"/>
      <c r="H159" s="695"/>
      <c r="I159" s="481" t="s">
        <v>3264</v>
      </c>
      <c r="J159" s="482">
        <f>合并现金流量表!F13</f>
        <v>0</v>
      </c>
      <c r="K159" s="482">
        <f>合并现金流量表!G13</f>
        <v>0</v>
      </c>
      <c r="L159" s="482">
        <f>合并现金流量表!H13</f>
        <v>0</v>
      </c>
      <c r="M159" s="483">
        <f>合并现金流量表!I13</f>
        <v>0</v>
      </c>
      <c r="N159" s="489"/>
      <c r="O159" s="486"/>
      <c r="P159" s="486"/>
      <c r="Q159" s="486"/>
      <c r="R159" s="486"/>
      <c r="S159" s="486"/>
      <c r="T159" s="487"/>
      <c r="U159" s="488"/>
      <c r="V159" s="489"/>
      <c r="W159" s="486"/>
      <c r="X159" s="486"/>
      <c r="Y159" s="486"/>
      <c r="Z159" s="486"/>
      <c r="AA159" s="486"/>
      <c r="AB159" s="487"/>
      <c r="AC159" s="488"/>
      <c r="AD159" s="28"/>
      <c r="AE159" s="28"/>
      <c r="AF159" s="28"/>
    </row>
    <row r="160" spans="1:32" ht="15" thickBot="1">
      <c r="A160" s="28" t="s">
        <v>301</v>
      </c>
      <c r="B160" s="41" t="s">
        <v>124</v>
      </c>
      <c r="C160" s="174" t="s">
        <v>1211</v>
      </c>
      <c r="D160" s="174" t="s">
        <v>1247</v>
      </c>
      <c r="E160" s="174" t="s">
        <v>1283</v>
      </c>
      <c r="F160" s="469" t="s">
        <v>1319</v>
      </c>
      <c r="G160" s="156"/>
      <c r="H160" s="696"/>
      <c r="I160" s="490" t="s">
        <v>3265</v>
      </c>
      <c r="J160" s="482">
        <f>合并现金流量表!F14</f>
        <v>0</v>
      </c>
      <c r="K160" s="482">
        <f>合并现金流量表!G14</f>
        <v>0</v>
      </c>
      <c r="L160" s="482">
        <f>合并现金流量表!H14</f>
        <v>0</v>
      </c>
      <c r="M160" s="483">
        <f>合并现金流量表!I14</f>
        <v>0</v>
      </c>
      <c r="N160" s="484">
        <f>IF(AND($L160&gt;0,$M160&gt;0,$L160-$M160&gt;0),1,0)</f>
        <v>0</v>
      </c>
      <c r="O160" s="485">
        <f>IF(AND($L160&gt;0,$M160&gt;0,$L160-$M160&lt;0),2,0)</f>
        <v>0</v>
      </c>
      <c r="P160" s="485">
        <f>IF(AND($L160&lt;0,$M160&lt;0,$L160-$M160&gt;0),3,0)</f>
        <v>0</v>
      </c>
      <c r="Q160" s="485">
        <f>IF(AND($L160&lt;0,$M160&lt;0,$L160-$M160&lt;0),4,0)</f>
        <v>0</v>
      </c>
      <c r="R160" s="485">
        <f>IF(AND($L160&gt;0,$M160&lt;0),5,0)</f>
        <v>0</v>
      </c>
      <c r="S160" s="485">
        <f>IF(AND($L160&lt;0,$M160&gt;0),6,0)</f>
        <v>0</v>
      </c>
      <c r="T160" s="491">
        <f>SUM(N160:S160)</f>
        <v>0</v>
      </c>
      <c r="U160" s="488" t="e">
        <f>LOOKUP(T160,$R$168:$R$173,$Q$168:$Q$173)</f>
        <v>#N/A</v>
      </c>
      <c r="V160" s="484">
        <f>IF(AND($K160&gt;0,$L160&gt;0,$K160-$L160&gt;0),1,0)</f>
        <v>0</v>
      </c>
      <c r="W160" s="485">
        <f>IF(AND($K160&gt;0,$L160&gt;0,$K160-$L160&lt;0),2,0)</f>
        <v>0</v>
      </c>
      <c r="X160" s="485">
        <f>IF(AND($K160&lt;0,$L160&lt;0,$K160-$L160&gt;0),3,0)</f>
        <v>0</v>
      </c>
      <c r="Y160" s="485">
        <f>IF(AND($K160&lt;0,$L160&lt;0,$K160-$L160&lt;0),4,0)</f>
        <v>0</v>
      </c>
      <c r="Z160" s="485">
        <f>IF(AND($K160&gt;0,$L160&lt;0),5,0)</f>
        <v>0</v>
      </c>
      <c r="AA160" s="485">
        <f>IF(AND($K160&lt;0,$L160&gt;0),6,0)</f>
        <v>0</v>
      </c>
      <c r="AB160" s="491">
        <f>SUM(V160:AA160)</f>
        <v>0</v>
      </c>
      <c r="AC160" s="488" t="e">
        <f>LOOKUP(AB160,$R$168:$R$173,$Q$168:$Q$173)</f>
        <v>#N/A</v>
      </c>
      <c r="AD160" s="28"/>
      <c r="AE160" s="28"/>
      <c r="AF160" s="28"/>
    </row>
    <row r="161" spans="1:32" ht="15" thickBot="1">
      <c r="A161" s="28" t="s">
        <v>302</v>
      </c>
      <c r="B161" s="35" t="s">
        <v>125</v>
      </c>
      <c r="C161" s="213" t="s">
        <v>1212</v>
      </c>
      <c r="D161" s="213" t="s">
        <v>1248</v>
      </c>
      <c r="E161" s="213" t="s">
        <v>1284</v>
      </c>
      <c r="F161" s="470" t="s">
        <v>1320</v>
      </c>
      <c r="G161" s="168"/>
      <c r="H161" s="694" t="s">
        <v>3266</v>
      </c>
      <c r="I161" s="481" t="s">
        <v>3263</v>
      </c>
      <c r="J161" s="482">
        <f>合并现金流量表!F21</f>
        <v>0</v>
      </c>
      <c r="K161" s="482">
        <f>合并现金流量表!G21</f>
        <v>0</v>
      </c>
      <c r="L161" s="482">
        <f>合并现金流量表!H21</f>
        <v>0</v>
      </c>
      <c r="M161" s="483">
        <f>合并现金流量表!I21</f>
        <v>0</v>
      </c>
      <c r="N161" s="489"/>
      <c r="O161" s="486"/>
      <c r="P161" s="486"/>
      <c r="Q161" s="486"/>
      <c r="R161" s="486"/>
      <c r="S161" s="486"/>
      <c r="T161" s="491"/>
      <c r="U161" s="488"/>
      <c r="V161" s="489"/>
      <c r="W161" s="486"/>
      <c r="X161" s="486"/>
      <c r="Y161" s="486"/>
      <c r="Z161" s="486"/>
      <c r="AA161" s="486"/>
      <c r="AB161" s="491"/>
      <c r="AC161" s="488"/>
      <c r="AD161" s="28"/>
      <c r="AE161" s="28"/>
      <c r="AF161" s="28"/>
    </row>
    <row r="162" spans="1:32" ht="29.25" thickBot="1">
      <c r="A162" s="28" t="s">
        <v>303</v>
      </c>
      <c r="B162" s="41" t="s">
        <v>126</v>
      </c>
      <c r="C162" s="174" t="s">
        <v>1213</v>
      </c>
      <c r="D162" s="174" t="s">
        <v>1249</v>
      </c>
      <c r="E162" s="174" t="s">
        <v>1285</v>
      </c>
      <c r="F162" s="469" t="s">
        <v>1321</v>
      </c>
      <c r="G162" s="156"/>
      <c r="H162" s="695"/>
      <c r="I162" s="481" t="s">
        <v>3264</v>
      </c>
      <c r="J162" s="482">
        <f>合并现金流量表!F26</f>
        <v>0</v>
      </c>
      <c r="K162" s="482">
        <f>合并现金流量表!G26</f>
        <v>0</v>
      </c>
      <c r="L162" s="482">
        <f>合并现金流量表!H26</f>
        <v>0</v>
      </c>
      <c r="M162" s="483">
        <f>合并现金流量表!I26</f>
        <v>0</v>
      </c>
      <c r="N162" s="489"/>
      <c r="O162" s="486"/>
      <c r="P162" s="486"/>
      <c r="Q162" s="486"/>
      <c r="R162" s="486"/>
      <c r="S162" s="486"/>
      <c r="T162" s="491"/>
      <c r="U162" s="488"/>
      <c r="V162" s="489"/>
      <c r="W162" s="486"/>
      <c r="X162" s="486"/>
      <c r="Y162" s="486"/>
      <c r="Z162" s="486"/>
      <c r="AA162" s="486"/>
      <c r="AB162" s="491"/>
      <c r="AC162" s="488"/>
      <c r="AD162" s="28"/>
      <c r="AE162" s="28"/>
      <c r="AF162" s="28"/>
    </row>
    <row r="163" spans="1:32" ht="15" thickBot="1">
      <c r="A163" s="28" t="s">
        <v>304</v>
      </c>
      <c r="B163" s="41" t="s">
        <v>127</v>
      </c>
      <c r="C163" s="174" t="s">
        <v>1214</v>
      </c>
      <c r="D163" s="174" t="s">
        <v>1250</v>
      </c>
      <c r="E163" s="174" t="s">
        <v>1286</v>
      </c>
      <c r="F163" s="469" t="s">
        <v>1322</v>
      </c>
      <c r="G163" s="156"/>
      <c r="H163" s="696"/>
      <c r="I163" s="490" t="s">
        <v>3265</v>
      </c>
      <c r="J163" s="482">
        <f>合并现金流量表!F27</f>
        <v>0</v>
      </c>
      <c r="K163" s="482">
        <f>合并现金流量表!G27</f>
        <v>0</v>
      </c>
      <c r="L163" s="482">
        <f>合并现金流量表!H27</f>
        <v>0</v>
      </c>
      <c r="M163" s="483">
        <f>合并现金流量表!I27</f>
        <v>0</v>
      </c>
      <c r="N163" s="484">
        <f>IF(AND($L163&gt;0,$M163&gt;0,$L163-$M163&gt;0),1,0)</f>
        <v>0</v>
      </c>
      <c r="O163" s="485">
        <f>IF(AND($L163&gt;0,$M163&gt;0,$L163-$M163&lt;0),2,0)</f>
        <v>0</v>
      </c>
      <c r="P163" s="485">
        <f>IF(AND($L163&lt;0,$M163&lt;0,$L163-$M163&gt;0),3,0)</f>
        <v>0</v>
      </c>
      <c r="Q163" s="485">
        <f>IF(AND($L163&lt;0,$M163&lt;0,$L163-$M163&lt;0),4,0)</f>
        <v>0</v>
      </c>
      <c r="R163" s="485">
        <f>IF(AND($L163&gt;0,$M163&lt;0),5,0)</f>
        <v>0</v>
      </c>
      <c r="S163" s="485">
        <f>IF(AND($L163&lt;0,$M163&gt;0),6,0)</f>
        <v>0</v>
      </c>
      <c r="T163" s="491">
        <f t="shared" ref="T163:T166" si="1">SUM(N163:S163)</f>
        <v>0</v>
      </c>
      <c r="U163" s="488" t="e">
        <f t="shared" ref="U163:U166" si="2">LOOKUP(T163,$R$168:$R$173,$Q$168:$Q$173)</f>
        <v>#N/A</v>
      </c>
      <c r="V163" s="484">
        <f>IF(AND($K163&gt;0,$L163&gt;0,$K163-$L163&gt;0),1,0)</f>
        <v>0</v>
      </c>
      <c r="W163" s="485">
        <f>IF(AND($K163&gt;0,$L163&gt;0,$K163-$L163&lt;0),2,0)</f>
        <v>0</v>
      </c>
      <c r="X163" s="485">
        <f>IF(AND($K163&lt;0,$L163&lt;0,$K163-$L163&gt;0),3,0)</f>
        <v>0</v>
      </c>
      <c r="Y163" s="485">
        <f>IF(AND($K163&lt;0,$L163&lt;0,$K163-$L163&lt;0),4,0)</f>
        <v>0</v>
      </c>
      <c r="Z163" s="485">
        <f>IF(AND($K163&gt;0,$L163&lt;0),5,0)</f>
        <v>0</v>
      </c>
      <c r="AA163" s="485">
        <f>IF(AND($K163&lt;0,$L163&gt;0),6,0)</f>
        <v>0</v>
      </c>
      <c r="AB163" s="491">
        <f t="shared" ref="AB163" si="3">SUM(V163:AA163)</f>
        <v>0</v>
      </c>
      <c r="AC163" s="488" t="e">
        <f t="shared" ref="AC163:AC166" si="4">LOOKUP(AB163,$R$168:$R$173,$Q$168:$Q$173)</f>
        <v>#N/A</v>
      </c>
      <c r="AD163" s="28"/>
      <c r="AE163" s="28"/>
      <c r="AF163" s="28"/>
    </row>
    <row r="164" spans="1:32" ht="29.25" thickBot="1">
      <c r="A164" s="28" t="s">
        <v>305</v>
      </c>
      <c r="B164" s="41" t="s">
        <v>128</v>
      </c>
      <c r="C164" s="174" t="s">
        <v>1215</v>
      </c>
      <c r="D164" s="174" t="s">
        <v>1251</v>
      </c>
      <c r="E164" s="174" t="s">
        <v>1287</v>
      </c>
      <c r="F164" s="469" t="s">
        <v>1323</v>
      </c>
      <c r="G164" s="156"/>
      <c r="H164" s="694" t="s">
        <v>3267</v>
      </c>
      <c r="I164" s="481" t="s">
        <v>3263</v>
      </c>
      <c r="J164" s="482">
        <f>合并现金流量表!F33</f>
        <v>0</v>
      </c>
      <c r="K164" s="482">
        <f>合并现金流量表!G33</f>
        <v>0</v>
      </c>
      <c r="L164" s="482">
        <f>合并现金流量表!H33</f>
        <v>0</v>
      </c>
      <c r="M164" s="483">
        <f>合并现金流量表!I33</f>
        <v>0</v>
      </c>
      <c r="N164" s="489"/>
      <c r="O164" s="486"/>
      <c r="P164" s="486"/>
      <c r="Q164" s="486"/>
      <c r="R164" s="486"/>
      <c r="S164" s="486"/>
      <c r="T164" s="491"/>
      <c r="U164" s="488"/>
      <c r="V164" s="489"/>
      <c r="W164" s="486"/>
      <c r="X164" s="486"/>
      <c r="Y164" s="486"/>
      <c r="Z164" s="486"/>
      <c r="AA164" s="486"/>
      <c r="AB164" s="491"/>
      <c r="AC164" s="488"/>
      <c r="AD164" s="28"/>
      <c r="AE164" s="28"/>
      <c r="AF164" s="28"/>
    </row>
    <row r="165" spans="1:32" ht="15" thickBot="1">
      <c r="A165" s="28" t="s">
        <v>306</v>
      </c>
      <c r="B165" s="41" t="s">
        <v>129</v>
      </c>
      <c r="C165" s="174" t="s">
        <v>1216</v>
      </c>
      <c r="D165" s="174" t="s">
        <v>1252</v>
      </c>
      <c r="E165" s="174" t="s">
        <v>1288</v>
      </c>
      <c r="F165" s="469" t="s">
        <v>1324</v>
      </c>
      <c r="G165" s="156"/>
      <c r="H165" s="695"/>
      <c r="I165" s="481" t="s">
        <v>3264</v>
      </c>
      <c r="J165" s="482">
        <f>合并现金流量表!F37</f>
        <v>0</v>
      </c>
      <c r="K165" s="482">
        <f>合并现金流量表!G37</f>
        <v>0</v>
      </c>
      <c r="L165" s="482">
        <f>合并现金流量表!H37</f>
        <v>0</v>
      </c>
      <c r="M165" s="483">
        <f>合并现金流量表!I37</f>
        <v>0</v>
      </c>
      <c r="N165" s="489"/>
      <c r="O165" s="486"/>
      <c r="P165" s="486"/>
      <c r="Q165" s="486"/>
      <c r="R165" s="486"/>
      <c r="S165" s="486"/>
      <c r="T165" s="491"/>
      <c r="U165" s="488"/>
      <c r="V165" s="489"/>
      <c r="W165" s="486"/>
      <c r="X165" s="486"/>
      <c r="Y165" s="486"/>
      <c r="Z165" s="486"/>
      <c r="AA165" s="486"/>
      <c r="AB165" s="491"/>
      <c r="AC165" s="488"/>
      <c r="AD165" s="28"/>
      <c r="AE165" s="28"/>
      <c r="AF165" s="28"/>
    </row>
    <row r="166" spans="1:32" ht="15" thickBot="1">
      <c r="A166" s="28" t="s">
        <v>307</v>
      </c>
      <c r="B166" s="35" t="s">
        <v>130</v>
      </c>
      <c r="C166" s="213" t="s">
        <v>1217</v>
      </c>
      <c r="D166" s="213" t="s">
        <v>1253</v>
      </c>
      <c r="E166" s="213" t="s">
        <v>1289</v>
      </c>
      <c r="F166" s="470" t="s">
        <v>1325</v>
      </c>
      <c r="G166" s="168"/>
      <c r="H166" s="696"/>
      <c r="I166" s="490" t="s">
        <v>3265</v>
      </c>
      <c r="J166" s="482">
        <f>合并现金流量表!F38</f>
        <v>0</v>
      </c>
      <c r="K166" s="482">
        <f>合并现金流量表!G38</f>
        <v>0</v>
      </c>
      <c r="L166" s="482">
        <f>合并现金流量表!H38</f>
        <v>0</v>
      </c>
      <c r="M166" s="483">
        <f>合并现金流量表!I38</f>
        <v>0</v>
      </c>
      <c r="N166" s="484">
        <f>IF(AND($L166&gt;0,$M166&gt;0,$L166-$M166&gt;0),1,0)</f>
        <v>0</v>
      </c>
      <c r="O166" s="485">
        <f>IF(AND($L166&gt;0,$M166&gt;0,$L166-$M166&lt;0),2,0)</f>
        <v>0</v>
      </c>
      <c r="P166" s="485">
        <f>IF(AND($L166&lt;0,$M166&lt;0,$L166-$M166&gt;0),3,0)</f>
        <v>0</v>
      </c>
      <c r="Q166" s="485">
        <f>IF(AND($L166&lt;0,$M166&lt;0,$L166-$M166&lt;0),4,0)</f>
        <v>0</v>
      </c>
      <c r="R166" s="485">
        <f>IF(AND($L166&gt;0,$M166&lt;0),5,0)</f>
        <v>0</v>
      </c>
      <c r="S166" s="485">
        <f>IF(AND($L166&lt;0,$M166&gt;0),6,0)</f>
        <v>0</v>
      </c>
      <c r="T166" s="491">
        <f t="shared" si="1"/>
        <v>0</v>
      </c>
      <c r="U166" s="488" t="e">
        <f t="shared" si="2"/>
        <v>#N/A</v>
      </c>
      <c r="V166" s="484">
        <f>IF(AND($K166&gt;0,$L166&gt;0,$K166-$L166&gt;0),1,0)</f>
        <v>0</v>
      </c>
      <c r="W166" s="485">
        <f>IF(AND($K166&gt;0,$L166&gt;0,$K166-$L166&lt;0),2,0)</f>
        <v>0</v>
      </c>
      <c r="X166" s="485">
        <f>IF(AND($K166&lt;0,$L166&lt;0,$K166-$L166&gt;0),3,0)</f>
        <v>0</v>
      </c>
      <c r="Y166" s="485">
        <f>IF(AND($K166&lt;0,$L166&lt;0,$K166-$L166&lt;0),4,0)</f>
        <v>0</v>
      </c>
      <c r="Z166" s="485">
        <f>IF(AND($K166&gt;0,$L166&lt;0),5,0)</f>
        <v>0</v>
      </c>
      <c r="AA166" s="485">
        <f>IF(AND($K166&lt;0,$L166&gt;0),6,0)</f>
        <v>0</v>
      </c>
      <c r="AB166" s="491">
        <f t="shared" ref="AB166" si="5">SUM(V166:AA166)</f>
        <v>0</v>
      </c>
      <c r="AC166" s="488" t="e">
        <f t="shared" si="4"/>
        <v>#N/A</v>
      </c>
      <c r="AD166" s="28"/>
      <c r="AE166" s="28"/>
      <c r="AF166" s="28"/>
    </row>
    <row r="167" spans="1:32" ht="15" thickBot="1">
      <c r="A167" s="28" t="s">
        <v>308</v>
      </c>
      <c r="B167" s="35" t="s">
        <v>131</v>
      </c>
      <c r="C167" s="213" t="s">
        <v>1218</v>
      </c>
      <c r="D167" s="213" t="s">
        <v>1254</v>
      </c>
      <c r="E167" s="213" t="s">
        <v>1290</v>
      </c>
      <c r="F167" s="470" t="s">
        <v>1326</v>
      </c>
      <c r="G167" s="168"/>
      <c r="H167" s="671" t="s">
        <v>3268</v>
      </c>
      <c r="I167" s="672"/>
      <c r="J167" s="492">
        <f>合并现金流量表!F40</f>
        <v>0</v>
      </c>
      <c r="K167" s="492">
        <f>合并现金流量表!G40</f>
        <v>0</v>
      </c>
      <c r="L167" s="492">
        <f>合并现金流量表!H40</f>
        <v>0</v>
      </c>
      <c r="M167" s="493">
        <f>合并现金流量表!I40</f>
        <v>0</v>
      </c>
      <c r="N167" s="494"/>
      <c r="O167" s="495"/>
      <c r="P167" s="495"/>
      <c r="Q167" s="486"/>
      <c r="R167" s="486"/>
      <c r="S167" s="486"/>
      <c r="T167" s="496"/>
      <c r="U167" s="497"/>
      <c r="V167" s="494"/>
      <c r="W167" s="495"/>
      <c r="X167" s="495"/>
      <c r="Y167" s="495"/>
      <c r="Z167" s="495"/>
      <c r="AA167" s="495"/>
      <c r="AB167" s="496"/>
      <c r="AC167" s="497"/>
      <c r="AD167" s="28"/>
      <c r="AE167" s="28"/>
      <c r="AF167" s="28"/>
    </row>
    <row r="168" spans="1:32" ht="14.25">
      <c r="B168" s="102" t="s">
        <v>132</v>
      </c>
      <c r="C168" s="173"/>
      <c r="D168" s="173"/>
      <c r="E168" s="173"/>
      <c r="F168" s="468"/>
      <c r="G168" s="156"/>
      <c r="H168" s="498"/>
      <c r="I168" s="498"/>
      <c r="J168" s="498"/>
      <c r="K168" s="498"/>
      <c r="L168" s="498"/>
      <c r="M168" s="498"/>
      <c r="N168" s="499" t="s">
        <v>1745</v>
      </c>
      <c r="O168" s="499" t="s">
        <v>1745</v>
      </c>
      <c r="P168" s="499" t="s">
        <v>1745</v>
      </c>
      <c r="Q168" s="503" t="s">
        <v>1748</v>
      </c>
      <c r="R168" s="504">
        <v>1</v>
      </c>
      <c r="S168" s="505" t="s">
        <v>3269</v>
      </c>
      <c r="T168" s="501"/>
      <c r="U168" s="501"/>
      <c r="V168" s="501"/>
      <c r="W168" s="501"/>
      <c r="X168" s="501"/>
      <c r="Y168" s="501"/>
      <c r="Z168" s="501"/>
      <c r="AA168" s="501"/>
      <c r="AB168" s="501"/>
      <c r="AC168" s="501"/>
      <c r="AD168" s="28"/>
      <c r="AE168" s="28"/>
      <c r="AF168" s="28"/>
    </row>
    <row r="169" spans="1:32" ht="14.25">
      <c r="A169" s="28" t="s">
        <v>309</v>
      </c>
      <c r="B169" s="41" t="s">
        <v>133</v>
      </c>
      <c r="C169" s="174" t="s">
        <v>1219</v>
      </c>
      <c r="D169" s="174" t="s">
        <v>1255</v>
      </c>
      <c r="E169" s="174" t="s">
        <v>1291</v>
      </c>
      <c r="F169" s="469" t="s">
        <v>1327</v>
      </c>
      <c r="G169" s="156"/>
      <c r="H169" s="498"/>
      <c r="I169" s="498"/>
      <c r="J169" s="498"/>
      <c r="K169" s="498"/>
      <c r="L169" s="498"/>
      <c r="M169" s="498"/>
      <c r="N169" s="499" t="s">
        <v>1745</v>
      </c>
      <c r="O169" s="499" t="s">
        <v>1745</v>
      </c>
      <c r="P169" s="499" t="s">
        <v>1746</v>
      </c>
      <c r="Q169" s="500" t="s">
        <v>1747</v>
      </c>
      <c r="R169" s="485">
        <v>2</v>
      </c>
      <c r="S169" s="506" t="s">
        <v>3270</v>
      </c>
      <c r="T169" s="501"/>
      <c r="U169" s="501"/>
      <c r="V169" s="501"/>
      <c r="W169" s="501"/>
      <c r="X169" s="501"/>
      <c r="Y169" s="501"/>
      <c r="Z169" s="501"/>
      <c r="AA169" s="501"/>
      <c r="AB169" s="501"/>
      <c r="AC169" s="501"/>
      <c r="AD169" s="28"/>
      <c r="AE169" s="28"/>
      <c r="AF169" s="28"/>
    </row>
    <row r="170" spans="1:32" ht="14.25">
      <c r="A170" s="28" t="s">
        <v>310</v>
      </c>
      <c r="B170" s="41" t="s">
        <v>134</v>
      </c>
      <c r="C170" s="174" t="s">
        <v>1220</v>
      </c>
      <c r="D170" s="174" t="s">
        <v>1256</v>
      </c>
      <c r="E170" s="174" t="s">
        <v>1292</v>
      </c>
      <c r="F170" s="469" t="s">
        <v>1328</v>
      </c>
      <c r="G170" s="156"/>
      <c r="H170" s="498"/>
      <c r="I170" s="498"/>
      <c r="J170" s="498"/>
      <c r="K170" s="498"/>
      <c r="L170" s="498"/>
      <c r="M170" s="498"/>
      <c r="N170" s="499" t="s">
        <v>1746</v>
      </c>
      <c r="O170" s="499" t="s">
        <v>1746</v>
      </c>
      <c r="P170" s="499" t="s">
        <v>1745</v>
      </c>
      <c r="Q170" s="500" t="s">
        <v>1747</v>
      </c>
      <c r="R170" s="485">
        <v>3</v>
      </c>
      <c r="S170" s="506" t="s">
        <v>3270</v>
      </c>
      <c r="T170" s="501"/>
      <c r="U170" s="501"/>
      <c r="V170" s="501"/>
      <c r="W170" s="501"/>
      <c r="X170" s="501"/>
      <c r="Y170" s="501"/>
      <c r="Z170" s="501"/>
      <c r="AA170" s="501"/>
      <c r="AB170" s="501"/>
      <c r="AC170" s="501"/>
      <c r="AD170" s="28"/>
      <c r="AE170" s="28"/>
      <c r="AF170" s="28"/>
    </row>
    <row r="171" spans="1:32" ht="14.25">
      <c r="A171" s="28" t="s">
        <v>311</v>
      </c>
      <c r="B171" s="41" t="s">
        <v>136</v>
      </c>
      <c r="C171" s="174" t="s">
        <v>1221</v>
      </c>
      <c r="D171" s="174" t="s">
        <v>1257</v>
      </c>
      <c r="E171" s="174" t="s">
        <v>1293</v>
      </c>
      <c r="F171" s="469" t="s">
        <v>1329</v>
      </c>
      <c r="G171" s="156"/>
      <c r="H171" s="498"/>
      <c r="I171" s="498"/>
      <c r="J171" s="498"/>
      <c r="K171" s="498"/>
      <c r="L171" s="498"/>
      <c r="M171" s="498"/>
      <c r="N171" s="499" t="s">
        <v>1746</v>
      </c>
      <c r="O171" s="499" t="s">
        <v>1746</v>
      </c>
      <c r="P171" s="499" t="s">
        <v>1746</v>
      </c>
      <c r="Q171" s="500" t="s">
        <v>1748</v>
      </c>
      <c r="R171" s="485">
        <v>4</v>
      </c>
      <c r="S171" s="506" t="s">
        <v>3269</v>
      </c>
      <c r="T171" s="501"/>
      <c r="U171" s="501"/>
      <c r="V171" s="501"/>
      <c r="W171" s="501"/>
      <c r="X171" s="501"/>
      <c r="Y171" s="501"/>
      <c r="Z171" s="501"/>
      <c r="AA171" s="501"/>
      <c r="AB171" s="501"/>
      <c r="AC171" s="501"/>
      <c r="AD171" s="28"/>
      <c r="AE171" s="28"/>
      <c r="AF171" s="28"/>
    </row>
    <row r="172" spans="1:32" ht="14.25">
      <c r="A172" s="28" t="s">
        <v>312</v>
      </c>
      <c r="B172" s="151" t="s">
        <v>135</v>
      </c>
      <c r="C172" s="177" t="s">
        <v>1222</v>
      </c>
      <c r="D172" s="177" t="s">
        <v>1258</v>
      </c>
      <c r="E172" s="177" t="s">
        <v>1294</v>
      </c>
      <c r="F172" s="471" t="s">
        <v>1330</v>
      </c>
      <c r="G172" s="156"/>
      <c r="H172" s="498"/>
      <c r="I172" s="498"/>
      <c r="J172" s="498"/>
      <c r="K172" s="498"/>
      <c r="L172" s="498"/>
      <c r="M172" s="498"/>
      <c r="N172" s="499" t="s">
        <v>1745</v>
      </c>
      <c r="O172" s="499" t="s">
        <v>1746</v>
      </c>
      <c r="P172" s="499"/>
      <c r="Q172" s="500" t="s">
        <v>3273</v>
      </c>
      <c r="R172" s="485">
        <v>5</v>
      </c>
      <c r="S172" s="507" t="s">
        <v>3271</v>
      </c>
      <c r="T172" s="501"/>
      <c r="U172" s="501"/>
      <c r="V172" s="501"/>
      <c r="W172" s="501"/>
      <c r="X172" s="501"/>
      <c r="Y172" s="501"/>
      <c r="Z172" s="501"/>
      <c r="AA172" s="501"/>
      <c r="AB172" s="501"/>
      <c r="AC172" s="501"/>
      <c r="AD172" s="28"/>
      <c r="AE172" s="28"/>
      <c r="AF172" s="28"/>
    </row>
    <row r="173" spans="1:32" ht="15" thickBot="1">
      <c r="A173" s="28" t="s">
        <v>313</v>
      </c>
      <c r="B173" s="35" t="s">
        <v>137</v>
      </c>
      <c r="C173" s="213" t="s">
        <v>1223</v>
      </c>
      <c r="D173" s="213" t="s">
        <v>1259</v>
      </c>
      <c r="E173" s="213" t="s">
        <v>1295</v>
      </c>
      <c r="F173" s="470" t="s">
        <v>1331</v>
      </c>
      <c r="G173" s="168"/>
      <c r="H173" s="498"/>
      <c r="I173" s="498"/>
      <c r="J173" s="498"/>
      <c r="K173" s="498"/>
      <c r="L173" s="498"/>
      <c r="M173" s="498"/>
      <c r="N173" s="499" t="s">
        <v>1746</v>
      </c>
      <c r="O173" s="499" t="s">
        <v>1745</v>
      </c>
      <c r="P173" s="499"/>
      <c r="Q173" s="502" t="s">
        <v>3274</v>
      </c>
      <c r="R173" s="508">
        <v>6</v>
      </c>
      <c r="S173" s="509" t="s">
        <v>3271</v>
      </c>
      <c r="T173" s="501"/>
      <c r="U173" s="501"/>
      <c r="V173" s="501"/>
      <c r="W173" s="501"/>
      <c r="X173" s="501"/>
      <c r="Y173" s="501"/>
      <c r="Z173" s="501"/>
      <c r="AA173" s="501"/>
      <c r="AB173" s="501"/>
      <c r="AC173" s="501"/>
      <c r="AD173" s="28"/>
      <c r="AE173" s="28"/>
      <c r="AF173" s="28"/>
    </row>
    <row r="174" spans="1:32" ht="14.25">
      <c r="A174" s="28" t="s">
        <v>314</v>
      </c>
      <c r="B174" s="41" t="s">
        <v>138</v>
      </c>
      <c r="C174" s="174" t="s">
        <v>1224</v>
      </c>
      <c r="D174" s="174" t="s">
        <v>1260</v>
      </c>
      <c r="E174" s="174" t="s">
        <v>1296</v>
      </c>
      <c r="F174" s="469" t="s">
        <v>1332</v>
      </c>
      <c r="G174" s="156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</row>
    <row r="175" spans="1:32" ht="28.5">
      <c r="A175" s="28" t="s">
        <v>315</v>
      </c>
      <c r="B175" s="41" t="s">
        <v>139</v>
      </c>
      <c r="C175" s="174" t="s">
        <v>1225</v>
      </c>
      <c r="D175" s="174" t="s">
        <v>1261</v>
      </c>
      <c r="E175" s="174" t="s">
        <v>1297</v>
      </c>
      <c r="F175" s="469" t="s">
        <v>1333</v>
      </c>
      <c r="G175" s="156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</row>
    <row r="176" spans="1:32" ht="14.25">
      <c r="A176" s="28" t="s">
        <v>316</v>
      </c>
      <c r="B176" s="41" t="s">
        <v>140</v>
      </c>
      <c r="C176" s="174" t="s">
        <v>1226</v>
      </c>
      <c r="D176" s="174" t="s">
        <v>1262</v>
      </c>
      <c r="E176" s="174" t="s">
        <v>1298</v>
      </c>
      <c r="F176" s="469" t="s">
        <v>1334</v>
      </c>
      <c r="G176" s="156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</row>
    <row r="177" spans="1:32" ht="14.25">
      <c r="A177" s="28" t="s">
        <v>317</v>
      </c>
      <c r="B177" s="35" t="s">
        <v>141</v>
      </c>
      <c r="C177" s="213" t="s">
        <v>1227</v>
      </c>
      <c r="D177" s="213" t="s">
        <v>1263</v>
      </c>
      <c r="E177" s="213" t="s">
        <v>1299</v>
      </c>
      <c r="F177" s="470" t="s">
        <v>1335</v>
      </c>
      <c r="G177" s="16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</row>
    <row r="178" spans="1:32" ht="14.25">
      <c r="A178" s="28" t="s">
        <v>318</v>
      </c>
      <c r="B178" s="35" t="s">
        <v>142</v>
      </c>
      <c r="C178" s="213" t="s">
        <v>1228</v>
      </c>
      <c r="D178" s="213" t="s">
        <v>1264</v>
      </c>
      <c r="E178" s="213" t="s">
        <v>1300</v>
      </c>
      <c r="F178" s="470" t="s">
        <v>1336</v>
      </c>
      <c r="G178" s="16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</row>
    <row r="179" spans="1:32" ht="28.5">
      <c r="A179" s="28" t="s">
        <v>319</v>
      </c>
      <c r="B179" s="35" t="s">
        <v>143</v>
      </c>
      <c r="C179" s="160" t="s">
        <v>1229</v>
      </c>
      <c r="D179" s="215" t="s">
        <v>1265</v>
      </c>
      <c r="E179" s="213" t="s">
        <v>1301</v>
      </c>
      <c r="F179" s="470" t="s">
        <v>1337</v>
      </c>
      <c r="G179" s="16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</row>
    <row r="180" spans="1:32" ht="14.25">
      <c r="A180" s="28" t="s">
        <v>320</v>
      </c>
      <c r="B180" s="35" t="s">
        <v>144</v>
      </c>
      <c r="C180" s="160" t="s">
        <v>1230</v>
      </c>
      <c r="D180" s="160" t="s">
        <v>1266</v>
      </c>
      <c r="E180" s="160" t="s">
        <v>1302</v>
      </c>
      <c r="F180" s="165" t="s">
        <v>1338</v>
      </c>
      <c r="G180" s="16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</row>
    <row r="181" spans="1:32" ht="14.25">
      <c r="A181" s="28" t="s">
        <v>321</v>
      </c>
      <c r="B181" s="41" t="s">
        <v>145</v>
      </c>
      <c r="C181" s="171" t="s">
        <v>1231</v>
      </c>
      <c r="D181" s="171" t="s">
        <v>1267</v>
      </c>
      <c r="E181" s="171" t="s">
        <v>1303</v>
      </c>
      <c r="F181" s="472" t="s">
        <v>1339</v>
      </c>
      <c r="G181" s="156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</row>
    <row r="182" spans="1:32" ht="15" thickBot="1">
      <c r="A182" s="28" t="s">
        <v>322</v>
      </c>
      <c r="B182" s="126" t="s">
        <v>146</v>
      </c>
      <c r="C182" s="166" t="s">
        <v>1232</v>
      </c>
      <c r="D182" s="166" t="s">
        <v>1268</v>
      </c>
      <c r="E182" s="166" t="s">
        <v>1304</v>
      </c>
      <c r="F182" s="167" t="s">
        <v>1340</v>
      </c>
      <c r="G182" s="16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</row>
    <row r="183" spans="1:32">
      <c r="B183" s="198"/>
      <c r="C183" s="168"/>
      <c r="D183" s="168"/>
      <c r="E183" s="168"/>
      <c r="F183" s="168"/>
      <c r="G183" s="156"/>
      <c r="H183" s="156"/>
      <c r="I183" s="156"/>
      <c r="J183" s="156"/>
      <c r="K183" s="156"/>
      <c r="L183" s="156"/>
      <c r="M183" s="156"/>
      <c r="N183" s="156"/>
      <c r="O183" s="156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</row>
    <row r="184" spans="1:32" ht="13.5" thickBot="1">
      <c r="B184" s="198"/>
      <c r="C184" s="168"/>
      <c r="D184" s="168"/>
      <c r="E184" s="168"/>
      <c r="F184" s="168"/>
      <c r="G184" s="156"/>
      <c r="H184" s="192"/>
      <c r="I184" s="156"/>
      <c r="J184" s="192"/>
      <c r="K184" s="156"/>
      <c r="L184" s="156"/>
      <c r="M184" s="156"/>
      <c r="N184" s="156"/>
      <c r="O184" s="156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</row>
    <row r="185" spans="1:32" ht="16.149999999999999" customHeight="1">
      <c r="B185" s="658" t="s">
        <v>0</v>
      </c>
      <c r="C185" s="688" t="s">
        <v>434</v>
      </c>
      <c r="D185" s="688" t="s">
        <v>433</v>
      </c>
      <c r="E185" s="688" t="s">
        <v>432</v>
      </c>
      <c r="F185" s="688" t="s">
        <v>431</v>
      </c>
      <c r="G185" s="653" t="s">
        <v>1711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</row>
    <row r="186" spans="1:32">
      <c r="B186" s="658"/>
      <c r="C186" s="689"/>
      <c r="D186" s="689"/>
      <c r="E186" s="689"/>
      <c r="F186" s="689"/>
      <c r="G186" s="654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</row>
    <row r="187" spans="1:32" ht="13.5">
      <c r="A187" s="28" t="s">
        <v>435</v>
      </c>
      <c r="B187" s="429" t="s">
        <v>1750</v>
      </c>
      <c r="C187" s="428" t="s">
        <v>2288</v>
      </c>
      <c r="D187" s="158" t="s">
        <v>2307</v>
      </c>
      <c r="E187" s="158" t="s">
        <v>2326</v>
      </c>
      <c r="F187" s="158" t="s">
        <v>2345</v>
      </c>
      <c r="G187" s="162" t="s">
        <v>2364</v>
      </c>
      <c r="H187" s="410" t="s">
        <v>1750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</row>
    <row r="188" spans="1:32" ht="13.5">
      <c r="A188" s="28" t="s">
        <v>436</v>
      </c>
      <c r="B188" s="429" t="s">
        <v>1751</v>
      </c>
      <c r="C188" s="428" t="s">
        <v>2289</v>
      </c>
      <c r="D188" s="158" t="s">
        <v>2308</v>
      </c>
      <c r="E188" s="158" t="s">
        <v>2327</v>
      </c>
      <c r="F188" s="158" t="s">
        <v>2346</v>
      </c>
      <c r="G188" s="162" t="s">
        <v>2365</v>
      </c>
      <c r="H188" s="410" t="s">
        <v>1751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</row>
    <row r="189" spans="1:32" ht="13.5">
      <c r="A189" s="28" t="s">
        <v>437</v>
      </c>
      <c r="B189" s="429" t="s">
        <v>1752</v>
      </c>
      <c r="C189" s="428" t="s">
        <v>2290</v>
      </c>
      <c r="D189" s="158" t="s">
        <v>2309</v>
      </c>
      <c r="E189" s="158" t="s">
        <v>2328</v>
      </c>
      <c r="F189" s="158" t="s">
        <v>2347</v>
      </c>
      <c r="G189" s="162" t="s">
        <v>2366</v>
      </c>
      <c r="H189" s="410" t="s">
        <v>1752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</row>
    <row r="190" spans="1:32" ht="13.5">
      <c r="A190" s="28" t="s">
        <v>438</v>
      </c>
      <c r="B190" s="429" t="s">
        <v>1759</v>
      </c>
      <c r="C190" s="428" t="s">
        <v>2291</v>
      </c>
      <c r="D190" s="158" t="s">
        <v>2310</v>
      </c>
      <c r="E190" s="158" t="s">
        <v>2329</v>
      </c>
      <c r="F190" s="158" t="s">
        <v>2348</v>
      </c>
      <c r="G190" s="162" t="s">
        <v>2367</v>
      </c>
      <c r="H190" s="410" t="s">
        <v>1759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</row>
    <row r="191" spans="1:32" ht="13.5">
      <c r="A191" s="28" t="s">
        <v>439</v>
      </c>
      <c r="B191" s="429" t="s">
        <v>1760</v>
      </c>
      <c r="C191" s="428" t="s">
        <v>2292</v>
      </c>
      <c r="D191" s="158" t="s">
        <v>2311</v>
      </c>
      <c r="E191" s="158" t="s">
        <v>2330</v>
      </c>
      <c r="F191" s="158" t="s">
        <v>2349</v>
      </c>
      <c r="G191" s="162" t="s">
        <v>2368</v>
      </c>
      <c r="H191" s="410" t="s">
        <v>1760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</row>
    <row r="192" spans="1:32" ht="13.5">
      <c r="A192" s="28" t="s">
        <v>440</v>
      </c>
      <c r="B192" s="429" t="s">
        <v>1761</v>
      </c>
      <c r="C192" s="428" t="s">
        <v>2293</v>
      </c>
      <c r="D192" s="158" t="s">
        <v>2312</v>
      </c>
      <c r="E192" s="158" t="s">
        <v>2331</v>
      </c>
      <c r="F192" s="158" t="s">
        <v>2350</v>
      </c>
      <c r="G192" s="162" t="s">
        <v>2369</v>
      </c>
      <c r="H192" s="410" t="s">
        <v>1761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</row>
    <row r="193" spans="1:32" ht="13.5">
      <c r="A193" s="28" t="s">
        <v>441</v>
      </c>
      <c r="B193" s="429" t="s">
        <v>1762</v>
      </c>
      <c r="C193" s="428" t="s">
        <v>2294</v>
      </c>
      <c r="D193" s="158" t="s">
        <v>2313</v>
      </c>
      <c r="E193" s="158" t="s">
        <v>2332</v>
      </c>
      <c r="F193" s="158" t="s">
        <v>2351</v>
      </c>
      <c r="G193" s="162" t="s">
        <v>2370</v>
      </c>
      <c r="H193" s="410" t="s">
        <v>1762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</row>
    <row r="194" spans="1:32" ht="13.5">
      <c r="A194" s="28" t="s">
        <v>442</v>
      </c>
      <c r="B194" s="429" t="s">
        <v>1763</v>
      </c>
      <c r="C194" s="428" t="s">
        <v>2295</v>
      </c>
      <c r="D194" s="158" t="s">
        <v>2314</v>
      </c>
      <c r="E194" s="158" t="s">
        <v>2333</v>
      </c>
      <c r="F194" s="158" t="s">
        <v>2352</v>
      </c>
      <c r="G194" s="162" t="s">
        <v>2371</v>
      </c>
      <c r="H194" s="410" t="s">
        <v>1763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</row>
    <row r="195" spans="1:32" ht="13.5">
      <c r="A195" s="28" t="s">
        <v>443</v>
      </c>
      <c r="B195" s="429" t="s">
        <v>1756</v>
      </c>
      <c r="C195" s="428" t="s">
        <v>2296</v>
      </c>
      <c r="D195" s="158" t="s">
        <v>2315</v>
      </c>
      <c r="E195" s="158" t="s">
        <v>2334</v>
      </c>
      <c r="F195" s="158" t="s">
        <v>2353</v>
      </c>
      <c r="G195" s="162" t="s">
        <v>2372</v>
      </c>
      <c r="H195" s="410" t="s">
        <v>1756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</row>
    <row r="196" spans="1:32" ht="13.5">
      <c r="A196" s="28" t="s">
        <v>444</v>
      </c>
      <c r="B196" s="429" t="s">
        <v>1757</v>
      </c>
      <c r="C196" s="428" t="s">
        <v>2297</v>
      </c>
      <c r="D196" s="158" t="s">
        <v>2316</v>
      </c>
      <c r="E196" s="158" t="s">
        <v>2335</v>
      </c>
      <c r="F196" s="158" t="s">
        <v>2354</v>
      </c>
      <c r="G196" s="162" t="s">
        <v>2373</v>
      </c>
      <c r="H196" s="410" t="s">
        <v>1757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</row>
    <row r="197" spans="1:32" ht="13.5">
      <c r="A197" s="28" t="s">
        <v>445</v>
      </c>
      <c r="B197" s="429" t="s">
        <v>1758</v>
      </c>
      <c r="C197" s="428" t="s">
        <v>2298</v>
      </c>
      <c r="D197" s="158" t="s">
        <v>2317</v>
      </c>
      <c r="E197" s="158" t="s">
        <v>2336</v>
      </c>
      <c r="F197" s="158" t="s">
        <v>2355</v>
      </c>
      <c r="G197" s="162" t="s">
        <v>2374</v>
      </c>
      <c r="H197" s="410" t="s">
        <v>1758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</row>
    <row r="198" spans="1:32" ht="15">
      <c r="A198" s="28" t="s">
        <v>446</v>
      </c>
      <c r="B198" s="430" t="s">
        <v>1765</v>
      </c>
      <c r="C198" s="428" t="s">
        <v>2299</v>
      </c>
      <c r="D198" s="158" t="s">
        <v>2318</v>
      </c>
      <c r="E198" s="158" t="s">
        <v>2337</v>
      </c>
      <c r="F198" s="158" t="s">
        <v>2356</v>
      </c>
      <c r="G198" s="162" t="s">
        <v>2375</v>
      </c>
      <c r="H198" s="333" t="s">
        <v>1765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</row>
    <row r="199" spans="1:32" ht="15">
      <c r="A199" s="28" t="s">
        <v>447</v>
      </c>
      <c r="B199" s="430" t="s">
        <v>1766</v>
      </c>
      <c r="C199" s="428" t="s">
        <v>2300</v>
      </c>
      <c r="D199" s="158" t="s">
        <v>2319</v>
      </c>
      <c r="E199" s="158" t="s">
        <v>2338</v>
      </c>
      <c r="F199" s="158" t="s">
        <v>2357</v>
      </c>
      <c r="G199" s="162" t="s">
        <v>2376</v>
      </c>
      <c r="H199" s="333" t="s">
        <v>1766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</row>
    <row r="200" spans="1:32" ht="15">
      <c r="A200" s="28" t="s">
        <v>448</v>
      </c>
      <c r="B200" s="430" t="s">
        <v>1767</v>
      </c>
      <c r="C200" s="428" t="s">
        <v>2301</v>
      </c>
      <c r="D200" s="158" t="s">
        <v>2320</v>
      </c>
      <c r="E200" s="158" t="s">
        <v>2339</v>
      </c>
      <c r="F200" s="158" t="s">
        <v>2358</v>
      </c>
      <c r="G200" s="162" t="s">
        <v>2377</v>
      </c>
      <c r="H200" s="333" t="s">
        <v>1767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</row>
    <row r="201" spans="1:32" ht="15">
      <c r="A201" s="28" t="s">
        <v>449</v>
      </c>
      <c r="B201" s="430" t="s">
        <v>1768</v>
      </c>
      <c r="C201" s="428" t="s">
        <v>2302</v>
      </c>
      <c r="D201" s="158" t="s">
        <v>2321</v>
      </c>
      <c r="E201" s="158" t="s">
        <v>2340</v>
      </c>
      <c r="F201" s="158" t="s">
        <v>2359</v>
      </c>
      <c r="G201" s="162" t="s">
        <v>2378</v>
      </c>
      <c r="H201" s="333" t="s">
        <v>1768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</row>
    <row r="202" spans="1:32" ht="13.5">
      <c r="A202" s="28" t="s">
        <v>450</v>
      </c>
      <c r="B202" s="429" t="s">
        <v>1755</v>
      </c>
      <c r="C202" s="428" t="s">
        <v>2303</v>
      </c>
      <c r="D202" s="158" t="s">
        <v>2322</v>
      </c>
      <c r="E202" s="158" t="s">
        <v>2341</v>
      </c>
      <c r="F202" s="158" t="s">
        <v>2360</v>
      </c>
      <c r="G202" s="162" t="s">
        <v>2379</v>
      </c>
      <c r="H202" s="410" t="s">
        <v>1755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</row>
    <row r="203" spans="1:32" ht="13.5">
      <c r="A203" s="28" t="s">
        <v>451</v>
      </c>
      <c r="B203" s="429" t="s">
        <v>1753</v>
      </c>
      <c r="C203" s="428" t="s">
        <v>2304</v>
      </c>
      <c r="D203" s="158" t="s">
        <v>2323</v>
      </c>
      <c r="E203" s="158" t="s">
        <v>2342</v>
      </c>
      <c r="F203" s="158" t="s">
        <v>2361</v>
      </c>
      <c r="G203" s="162" t="s">
        <v>2380</v>
      </c>
      <c r="H203" s="410" t="s">
        <v>1753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</row>
    <row r="204" spans="1:32" ht="13.5">
      <c r="A204" s="28" t="s">
        <v>452</v>
      </c>
      <c r="B204" s="429" t="s">
        <v>1754</v>
      </c>
      <c r="C204" s="428" t="s">
        <v>2305</v>
      </c>
      <c r="D204" s="158" t="s">
        <v>2324</v>
      </c>
      <c r="E204" s="158" t="s">
        <v>2343</v>
      </c>
      <c r="F204" s="158" t="s">
        <v>2362</v>
      </c>
      <c r="G204" s="162" t="s">
        <v>2381</v>
      </c>
      <c r="H204" s="410" t="s">
        <v>1754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</row>
    <row r="205" spans="1:32" ht="14.25" thickBot="1">
      <c r="A205" s="28" t="s">
        <v>453</v>
      </c>
      <c r="B205" s="429" t="s">
        <v>1764</v>
      </c>
      <c r="C205" s="428" t="s">
        <v>2306</v>
      </c>
      <c r="D205" s="158" t="s">
        <v>2325</v>
      </c>
      <c r="E205" s="158" t="s">
        <v>2344</v>
      </c>
      <c r="F205" s="158" t="s">
        <v>2363</v>
      </c>
      <c r="G205" s="162" t="s">
        <v>2382</v>
      </c>
      <c r="H205" s="418" t="s">
        <v>1764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</row>
    <row r="206" spans="1:32" ht="13.5">
      <c r="B206" s="569"/>
      <c r="C206" s="156"/>
      <c r="D206" s="156"/>
      <c r="E206" s="156"/>
      <c r="F206" s="156"/>
      <c r="G206" s="156"/>
      <c r="H206" s="389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</row>
    <row r="207" spans="1:32" ht="13.5">
      <c r="B207" s="569"/>
      <c r="C207" s="156"/>
      <c r="D207" s="156"/>
      <c r="E207" s="156"/>
      <c r="F207" s="156"/>
      <c r="G207" s="156"/>
      <c r="H207" s="389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</row>
    <row r="208" spans="1:32" ht="13.5">
      <c r="B208" s="569"/>
      <c r="C208" s="156"/>
      <c r="D208" s="156"/>
      <c r="E208" s="156"/>
      <c r="F208" s="156"/>
      <c r="G208" s="156"/>
      <c r="H208" s="389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</row>
    <row r="209" spans="1:32" ht="13.5" thickBot="1">
      <c r="Z209" s="28"/>
      <c r="AA209" s="28"/>
      <c r="AB209" s="28"/>
      <c r="AC209" s="28"/>
      <c r="AD209" s="28"/>
      <c r="AE209" s="28"/>
      <c r="AF209" s="28"/>
    </row>
    <row r="210" spans="1:32">
      <c r="B210" s="655" t="s">
        <v>0</v>
      </c>
      <c r="C210" s="657" t="s">
        <v>434</v>
      </c>
      <c r="D210" s="657" t="s">
        <v>433</v>
      </c>
      <c r="E210" s="657" t="s">
        <v>432</v>
      </c>
      <c r="F210" s="657" t="s">
        <v>431</v>
      </c>
      <c r="G210" s="653" t="s">
        <v>1711</v>
      </c>
      <c r="Z210" s="28"/>
      <c r="AA210" s="28"/>
      <c r="AB210" s="28"/>
      <c r="AC210" s="28"/>
      <c r="AD210" s="28"/>
      <c r="AE210" s="28"/>
      <c r="AF210" s="28"/>
    </row>
    <row r="211" spans="1:32">
      <c r="B211" s="656"/>
      <c r="C211" s="658"/>
      <c r="D211" s="658"/>
      <c r="E211" s="658"/>
      <c r="F211" s="658"/>
      <c r="G211" s="654"/>
      <c r="Z211" s="28"/>
      <c r="AA211" s="28"/>
      <c r="AB211" s="28"/>
      <c r="AC211" s="28"/>
      <c r="AD211" s="28"/>
      <c r="AE211" s="28"/>
      <c r="AF211" s="28"/>
    </row>
    <row r="212" spans="1:32">
      <c r="A212" s="28" t="s">
        <v>3508</v>
      </c>
      <c r="B212" s="565" t="s">
        <v>3533</v>
      </c>
      <c r="C212" s="562" t="s">
        <v>3546</v>
      </c>
      <c r="D212" s="562" t="s">
        <v>3571</v>
      </c>
      <c r="E212" s="562" t="s">
        <v>3596</v>
      </c>
      <c r="F212" s="562" t="s">
        <v>3621</v>
      </c>
      <c r="G212" s="571"/>
      <c r="I212" s="389"/>
      <c r="Z212" s="28"/>
      <c r="AA212" s="28"/>
      <c r="AB212" s="28"/>
      <c r="AC212" s="28"/>
      <c r="AD212" s="28"/>
      <c r="AE212" s="28"/>
      <c r="AF212" s="28"/>
    </row>
    <row r="213" spans="1:32">
      <c r="A213" s="28" t="s">
        <v>3509</v>
      </c>
      <c r="B213" s="565" t="s">
        <v>3534</v>
      </c>
      <c r="C213" s="562" t="s">
        <v>3547</v>
      </c>
      <c r="D213" s="562" t="s">
        <v>3572</v>
      </c>
      <c r="E213" s="562" t="s">
        <v>3597</v>
      </c>
      <c r="F213" s="562" t="s">
        <v>3622</v>
      </c>
      <c r="G213" s="571"/>
      <c r="I213" s="389"/>
      <c r="Z213" s="28"/>
      <c r="AA213" s="28"/>
      <c r="AB213" s="28"/>
      <c r="AC213" s="28"/>
      <c r="AD213" s="28"/>
      <c r="AE213" s="28"/>
      <c r="AF213" s="28"/>
    </row>
    <row r="214" spans="1:32">
      <c r="A214" s="28" t="s">
        <v>3510</v>
      </c>
      <c r="B214" s="565" t="s">
        <v>3535</v>
      </c>
      <c r="C214" s="562" t="s">
        <v>3548</v>
      </c>
      <c r="D214" s="562" t="s">
        <v>3573</v>
      </c>
      <c r="E214" s="562" t="s">
        <v>3598</v>
      </c>
      <c r="F214" s="562" t="s">
        <v>3623</v>
      </c>
      <c r="G214" s="571"/>
      <c r="I214" s="389"/>
      <c r="Z214" s="28"/>
      <c r="AA214" s="28"/>
      <c r="AB214" s="28"/>
      <c r="AC214" s="28"/>
      <c r="AD214" s="28"/>
      <c r="AE214" s="28"/>
      <c r="AF214" s="28"/>
    </row>
    <row r="215" spans="1:32">
      <c r="A215" s="28" t="s">
        <v>3511</v>
      </c>
      <c r="B215" s="565" t="s">
        <v>3536</v>
      </c>
      <c r="C215" s="562" t="s">
        <v>3549</v>
      </c>
      <c r="D215" s="562" t="s">
        <v>3574</v>
      </c>
      <c r="E215" s="562" t="s">
        <v>3599</v>
      </c>
      <c r="F215" s="562" t="s">
        <v>3624</v>
      </c>
      <c r="G215" s="571"/>
      <c r="I215" s="389"/>
      <c r="Z215" s="28"/>
      <c r="AA215" s="28"/>
      <c r="AB215" s="28"/>
      <c r="AC215" s="28"/>
      <c r="AD215" s="28"/>
      <c r="AE215" s="28"/>
      <c r="AF215" s="28"/>
    </row>
    <row r="216" spans="1:32">
      <c r="A216" s="28" t="s">
        <v>3512</v>
      </c>
      <c r="B216" s="565" t="s">
        <v>3537</v>
      </c>
      <c r="C216" s="562" t="s">
        <v>3550</v>
      </c>
      <c r="D216" s="562" t="s">
        <v>3575</v>
      </c>
      <c r="E216" s="562" t="s">
        <v>3600</v>
      </c>
      <c r="F216" s="562" t="s">
        <v>3625</v>
      </c>
      <c r="G216" s="571"/>
      <c r="I216" s="389"/>
      <c r="Z216" s="28"/>
      <c r="AA216" s="28"/>
      <c r="AB216" s="28"/>
      <c r="AC216" s="28"/>
      <c r="AD216" s="28"/>
      <c r="AE216" s="28"/>
      <c r="AF216" s="28"/>
    </row>
    <row r="217" spans="1:32">
      <c r="A217" s="28" t="s">
        <v>3513</v>
      </c>
      <c r="B217" s="565" t="s">
        <v>3538</v>
      </c>
      <c r="C217" s="562" t="s">
        <v>3551</v>
      </c>
      <c r="D217" s="562" t="s">
        <v>3576</v>
      </c>
      <c r="E217" s="562" t="s">
        <v>3601</v>
      </c>
      <c r="F217" s="562" t="s">
        <v>3626</v>
      </c>
      <c r="G217" s="571"/>
      <c r="I217" s="389"/>
      <c r="Z217" s="28"/>
      <c r="AA217" s="28"/>
      <c r="AB217" s="28"/>
      <c r="AC217" s="28"/>
      <c r="AD217" s="28"/>
      <c r="AE217" s="28"/>
      <c r="AF217" s="28"/>
    </row>
    <row r="218" spans="1:32">
      <c r="A218" s="28" t="s">
        <v>3514</v>
      </c>
      <c r="B218" s="565" t="s">
        <v>3539</v>
      </c>
      <c r="C218" s="562" t="s">
        <v>3552</v>
      </c>
      <c r="D218" s="562" t="s">
        <v>3577</v>
      </c>
      <c r="E218" s="562" t="s">
        <v>3602</v>
      </c>
      <c r="F218" s="562" t="s">
        <v>3627</v>
      </c>
      <c r="G218" s="571"/>
      <c r="I218" s="389"/>
      <c r="Z218" s="28"/>
      <c r="AA218" s="28"/>
      <c r="AB218" s="28"/>
      <c r="AC218" s="28"/>
      <c r="AD218" s="28"/>
      <c r="AE218" s="28"/>
      <c r="AF218" s="28"/>
    </row>
    <row r="219" spans="1:32">
      <c r="A219" s="28" t="s">
        <v>3515</v>
      </c>
      <c r="B219" s="565" t="s">
        <v>3540</v>
      </c>
      <c r="C219" s="562" t="s">
        <v>3553</v>
      </c>
      <c r="D219" s="562" t="s">
        <v>3578</v>
      </c>
      <c r="E219" s="562" t="s">
        <v>3603</v>
      </c>
      <c r="F219" s="562" t="s">
        <v>3628</v>
      </c>
      <c r="G219" s="571"/>
      <c r="I219" s="389"/>
      <c r="Z219" s="28"/>
      <c r="AA219" s="28"/>
      <c r="AB219" s="28"/>
      <c r="AC219" s="28"/>
      <c r="AD219" s="28"/>
      <c r="AE219" s="28"/>
      <c r="AF219" s="28"/>
    </row>
    <row r="220" spans="1:32">
      <c r="A220" s="28" t="s">
        <v>3516</v>
      </c>
      <c r="B220" s="565" t="s">
        <v>3541</v>
      </c>
      <c r="C220" s="562" t="s">
        <v>3554</v>
      </c>
      <c r="D220" s="562" t="s">
        <v>3579</v>
      </c>
      <c r="E220" s="562" t="s">
        <v>3604</v>
      </c>
      <c r="F220" s="562" t="s">
        <v>3629</v>
      </c>
      <c r="G220" s="571"/>
      <c r="I220" s="389"/>
      <c r="Z220" s="28"/>
      <c r="AA220" s="28"/>
      <c r="AB220" s="28"/>
      <c r="AC220" s="28"/>
      <c r="AD220" s="28"/>
      <c r="AE220" s="28"/>
      <c r="AF220" s="28"/>
    </row>
    <row r="221" spans="1:32">
      <c r="A221" s="28" t="s">
        <v>3517</v>
      </c>
      <c r="B221" s="565" t="s">
        <v>3542</v>
      </c>
      <c r="C221" s="562" t="s">
        <v>3555</v>
      </c>
      <c r="D221" s="562" t="s">
        <v>3580</v>
      </c>
      <c r="E221" s="562" t="s">
        <v>3605</v>
      </c>
      <c r="F221" s="562" t="s">
        <v>3630</v>
      </c>
      <c r="G221" s="571"/>
      <c r="I221" s="389"/>
      <c r="Z221" s="28"/>
      <c r="AA221" s="28"/>
      <c r="AB221" s="28"/>
      <c r="AC221" s="28"/>
      <c r="AD221" s="28"/>
      <c r="AE221" s="28"/>
      <c r="AF221" s="28"/>
    </row>
    <row r="222" spans="1:32">
      <c r="A222" s="28" t="s">
        <v>3518</v>
      </c>
      <c r="B222" s="565" t="s">
        <v>3543</v>
      </c>
      <c r="C222" s="562" t="s">
        <v>3556</v>
      </c>
      <c r="D222" s="562" t="s">
        <v>3581</v>
      </c>
      <c r="E222" s="562" t="s">
        <v>3606</v>
      </c>
      <c r="F222" s="562" t="s">
        <v>3631</v>
      </c>
      <c r="G222" s="571"/>
      <c r="I222" s="389"/>
      <c r="Z222" s="28"/>
      <c r="AA222" s="28"/>
      <c r="AB222" s="28"/>
      <c r="AC222" s="28"/>
      <c r="AD222" s="28"/>
      <c r="AE222" s="28"/>
      <c r="AF222" s="28"/>
    </row>
    <row r="223" spans="1:32">
      <c r="A223" s="28" t="s">
        <v>3519</v>
      </c>
      <c r="B223" s="565" t="s">
        <v>3544</v>
      </c>
      <c r="C223" s="562" t="s">
        <v>3557</v>
      </c>
      <c r="D223" s="562" t="s">
        <v>3582</v>
      </c>
      <c r="E223" s="562" t="s">
        <v>3607</v>
      </c>
      <c r="F223" s="562" t="s">
        <v>3632</v>
      </c>
      <c r="G223" s="571"/>
      <c r="I223" s="389"/>
      <c r="Z223" s="28"/>
      <c r="AA223" s="28"/>
      <c r="AB223" s="28"/>
      <c r="AC223" s="28"/>
      <c r="AD223" s="28"/>
      <c r="AE223" s="28"/>
      <c r="AF223" s="28"/>
    </row>
    <row r="224" spans="1:32">
      <c r="A224" s="28" t="s">
        <v>3520</v>
      </c>
      <c r="B224" s="565" t="s">
        <v>3492</v>
      </c>
      <c r="C224" s="562" t="s">
        <v>3558</v>
      </c>
      <c r="D224" s="562" t="s">
        <v>3583</v>
      </c>
      <c r="E224" s="562" t="s">
        <v>3608</v>
      </c>
      <c r="F224" s="562" t="s">
        <v>3633</v>
      </c>
      <c r="G224" s="571"/>
      <c r="I224" s="389"/>
      <c r="Z224" s="28"/>
      <c r="AA224" s="28"/>
      <c r="AB224" s="28"/>
      <c r="AC224" s="28"/>
      <c r="AD224" s="28"/>
      <c r="AE224" s="28"/>
      <c r="AF224" s="28"/>
    </row>
    <row r="225" spans="1:32">
      <c r="A225" s="28" t="s">
        <v>3521</v>
      </c>
      <c r="B225" s="565" t="s">
        <v>3493</v>
      </c>
      <c r="C225" s="562" t="s">
        <v>3559</v>
      </c>
      <c r="D225" s="562" t="s">
        <v>3584</v>
      </c>
      <c r="E225" s="562" t="s">
        <v>3609</v>
      </c>
      <c r="F225" s="562" t="s">
        <v>3634</v>
      </c>
      <c r="G225" s="571"/>
      <c r="I225" s="389"/>
      <c r="Z225" s="28"/>
      <c r="AA225" s="28"/>
      <c r="AB225" s="28"/>
      <c r="AC225" s="28"/>
      <c r="AD225" s="28"/>
      <c r="AE225" s="28"/>
      <c r="AF225" s="28"/>
    </row>
    <row r="226" spans="1:32">
      <c r="A226" s="28" t="s">
        <v>3522</v>
      </c>
      <c r="B226" s="565" t="s">
        <v>3500</v>
      </c>
      <c r="C226" s="562" t="s">
        <v>3560</v>
      </c>
      <c r="D226" s="562" t="s">
        <v>3585</v>
      </c>
      <c r="E226" s="562" t="s">
        <v>3610</v>
      </c>
      <c r="F226" s="562" t="s">
        <v>3635</v>
      </c>
      <c r="G226" s="571"/>
      <c r="I226" s="389"/>
      <c r="Z226" s="28"/>
      <c r="AA226" s="28"/>
      <c r="AB226" s="28"/>
      <c r="AC226" s="28"/>
      <c r="AD226" s="28"/>
      <c r="AE226" s="28"/>
      <c r="AF226" s="28"/>
    </row>
    <row r="227" spans="1:32">
      <c r="A227" s="28" t="s">
        <v>3523</v>
      </c>
      <c r="B227" s="565" t="s">
        <v>3501</v>
      </c>
      <c r="C227" s="562" t="s">
        <v>3561</v>
      </c>
      <c r="D227" s="562" t="s">
        <v>3586</v>
      </c>
      <c r="E227" s="562" t="s">
        <v>3611</v>
      </c>
      <c r="F227" s="562" t="s">
        <v>3636</v>
      </c>
      <c r="G227" s="571"/>
      <c r="I227" s="389"/>
      <c r="Z227" s="28"/>
      <c r="AA227" s="28"/>
      <c r="AB227" s="28"/>
      <c r="AC227" s="28"/>
      <c r="AD227" s="28"/>
      <c r="AE227" s="28"/>
      <c r="AF227" s="28"/>
    </row>
    <row r="228" spans="1:32">
      <c r="A228" s="28" t="s">
        <v>3524</v>
      </c>
      <c r="B228" s="565" t="s">
        <v>3502</v>
      </c>
      <c r="C228" s="562" t="s">
        <v>3562</v>
      </c>
      <c r="D228" s="562" t="s">
        <v>3587</v>
      </c>
      <c r="E228" s="562" t="s">
        <v>3612</v>
      </c>
      <c r="F228" s="562" t="s">
        <v>3637</v>
      </c>
      <c r="G228" s="571"/>
      <c r="I228" s="389"/>
      <c r="Z228" s="28"/>
      <c r="AA228" s="28"/>
      <c r="AB228" s="28"/>
      <c r="AC228" s="28"/>
      <c r="AD228" s="28"/>
      <c r="AE228" s="28"/>
      <c r="AF228" s="28"/>
    </row>
    <row r="229" spans="1:32">
      <c r="A229" s="28" t="s">
        <v>3525</v>
      </c>
      <c r="B229" s="570" t="s">
        <v>3503</v>
      </c>
      <c r="C229" s="562" t="s">
        <v>3563</v>
      </c>
      <c r="D229" s="562" t="s">
        <v>3588</v>
      </c>
      <c r="E229" s="562" t="s">
        <v>3613</v>
      </c>
      <c r="F229" s="562" t="s">
        <v>3638</v>
      </c>
      <c r="G229" s="566" t="s">
        <v>3647</v>
      </c>
      <c r="I229" s="389"/>
      <c r="Z229" s="28"/>
      <c r="AA229" s="28"/>
      <c r="AB229" s="28"/>
      <c r="AC229" s="28"/>
      <c r="AD229" s="28"/>
      <c r="AE229" s="28"/>
      <c r="AF229" s="28"/>
    </row>
    <row r="230" spans="1:32">
      <c r="A230" s="28" t="s">
        <v>3526</v>
      </c>
      <c r="B230" s="570" t="s">
        <v>3504</v>
      </c>
      <c r="C230" s="562" t="s">
        <v>3564</v>
      </c>
      <c r="D230" s="562" t="s">
        <v>3589</v>
      </c>
      <c r="E230" s="562" t="s">
        <v>3614</v>
      </c>
      <c r="F230" s="562" t="s">
        <v>3639</v>
      </c>
      <c r="G230" s="566" t="s">
        <v>3649</v>
      </c>
      <c r="I230" s="389"/>
      <c r="Z230" s="28"/>
      <c r="AA230" s="28"/>
      <c r="AB230" s="28"/>
      <c r="AC230" s="28"/>
      <c r="AD230" s="28"/>
      <c r="AE230" s="28"/>
      <c r="AF230" s="28"/>
    </row>
    <row r="231" spans="1:32">
      <c r="A231" s="28" t="s">
        <v>3527</v>
      </c>
      <c r="B231" s="570" t="s">
        <v>3505</v>
      </c>
      <c r="C231" s="562" t="s">
        <v>3565</v>
      </c>
      <c r="D231" s="562" t="s">
        <v>3590</v>
      </c>
      <c r="E231" s="562" t="s">
        <v>3615</v>
      </c>
      <c r="F231" s="562" t="s">
        <v>3640</v>
      </c>
      <c r="G231" s="566" t="s">
        <v>3651</v>
      </c>
      <c r="I231" s="389"/>
      <c r="Z231" s="28"/>
      <c r="AA231" s="28"/>
      <c r="AB231" s="28"/>
      <c r="AC231" s="28"/>
      <c r="AD231" s="28"/>
      <c r="AE231" s="28"/>
      <c r="AF231" s="28"/>
    </row>
    <row r="232" spans="1:32">
      <c r="A232" s="28" t="s">
        <v>3528</v>
      </c>
      <c r="B232" s="565" t="s">
        <v>3545</v>
      </c>
      <c r="C232" s="562" t="s">
        <v>3566</v>
      </c>
      <c r="D232" s="562" t="s">
        <v>3591</v>
      </c>
      <c r="E232" s="562" t="s">
        <v>3616</v>
      </c>
      <c r="F232" s="562" t="s">
        <v>3641</v>
      </c>
      <c r="G232" s="571"/>
      <c r="I232" s="389"/>
      <c r="Z232" s="28"/>
      <c r="AA232" s="28"/>
      <c r="AB232" s="28"/>
      <c r="AC232" s="28"/>
      <c r="AD232" s="28"/>
      <c r="AE232" s="28"/>
      <c r="AF232" s="28"/>
    </row>
    <row r="233" spans="1:32">
      <c r="A233" s="28" t="s">
        <v>3529</v>
      </c>
      <c r="B233" s="565" t="s">
        <v>3506</v>
      </c>
      <c r="C233" s="562" t="s">
        <v>3567</v>
      </c>
      <c r="D233" s="562" t="s">
        <v>3592</v>
      </c>
      <c r="E233" s="562" t="s">
        <v>3617</v>
      </c>
      <c r="F233" s="562" t="s">
        <v>3642</v>
      </c>
      <c r="G233" s="571"/>
      <c r="I233" s="389"/>
      <c r="Z233" s="28"/>
      <c r="AA233" s="28"/>
      <c r="AB233" s="28"/>
      <c r="AC233" s="28"/>
      <c r="AD233" s="28"/>
      <c r="AE233" s="28"/>
      <c r="AF233" s="28"/>
    </row>
    <row r="234" spans="1:32">
      <c r="A234" s="28" t="s">
        <v>3530</v>
      </c>
      <c r="B234" s="565" t="s">
        <v>3507</v>
      </c>
      <c r="C234" s="562" t="s">
        <v>3568</v>
      </c>
      <c r="D234" s="562" t="s">
        <v>3593</v>
      </c>
      <c r="E234" s="562" t="s">
        <v>3618</v>
      </c>
      <c r="F234" s="562" t="s">
        <v>3643</v>
      </c>
      <c r="G234" s="571"/>
      <c r="I234" s="389"/>
      <c r="Z234" s="28"/>
      <c r="AA234" s="28"/>
      <c r="AB234" s="28"/>
      <c r="AC234" s="28"/>
      <c r="AD234" s="28"/>
      <c r="AE234" s="28"/>
      <c r="AF234" s="28"/>
    </row>
    <row r="235" spans="1:32">
      <c r="A235" s="28" t="s">
        <v>3531</v>
      </c>
      <c r="B235" s="570" t="s">
        <v>3495</v>
      </c>
      <c r="C235" s="562" t="s">
        <v>3569</v>
      </c>
      <c r="D235" s="562" t="s">
        <v>3594</v>
      </c>
      <c r="E235" s="562" t="s">
        <v>3619</v>
      </c>
      <c r="F235" s="562" t="s">
        <v>3644</v>
      </c>
      <c r="G235" s="566" t="s">
        <v>3653</v>
      </c>
      <c r="I235" s="389"/>
      <c r="Z235" s="28"/>
      <c r="AA235" s="28"/>
      <c r="AB235" s="28"/>
      <c r="AC235" s="28"/>
      <c r="AD235" s="28"/>
      <c r="AE235" s="28"/>
      <c r="AF235" s="28"/>
    </row>
    <row r="236" spans="1:32" ht="13.5" thickBot="1">
      <c r="A236" s="28" t="s">
        <v>3532</v>
      </c>
      <c r="B236" s="573" t="s">
        <v>3497</v>
      </c>
      <c r="C236" s="574" t="s">
        <v>3570</v>
      </c>
      <c r="D236" s="574" t="s">
        <v>3595</v>
      </c>
      <c r="E236" s="574" t="s">
        <v>3620</v>
      </c>
      <c r="F236" s="574" t="s">
        <v>3645</v>
      </c>
      <c r="G236" s="575" t="s">
        <v>3655</v>
      </c>
      <c r="I236" s="389"/>
      <c r="Z236" s="28"/>
      <c r="AA236" s="28"/>
      <c r="AB236" s="28"/>
      <c r="AC236" s="28"/>
      <c r="AD236" s="28"/>
      <c r="AE236" s="28"/>
      <c r="AF236" s="28"/>
    </row>
    <row r="237" spans="1:32">
      <c r="A237" s="572" t="s">
        <v>3660</v>
      </c>
      <c r="B237" s="563" t="s">
        <v>3656</v>
      </c>
      <c r="C237" s="564" t="s">
        <v>3664</v>
      </c>
      <c r="D237" s="564" t="s">
        <v>3668</v>
      </c>
      <c r="E237" s="564" t="s">
        <v>3672</v>
      </c>
      <c r="F237" s="576"/>
      <c r="G237" s="577"/>
      <c r="I237" s="389"/>
      <c r="Z237" s="28"/>
      <c r="AA237" s="28"/>
      <c r="AB237" s="28"/>
      <c r="AC237" s="28"/>
      <c r="AD237" s="28"/>
      <c r="AE237" s="28"/>
      <c r="AF237" s="28"/>
    </row>
    <row r="238" spans="1:32">
      <c r="A238" s="572" t="s">
        <v>3661</v>
      </c>
      <c r="B238" s="565" t="s">
        <v>3657</v>
      </c>
      <c r="C238" s="562" t="s">
        <v>3665</v>
      </c>
      <c r="D238" s="562" t="s">
        <v>3669</v>
      </c>
      <c r="E238" s="562" t="s">
        <v>3673</v>
      </c>
      <c r="F238" s="561"/>
      <c r="G238" s="571"/>
      <c r="I238" s="389"/>
      <c r="Z238" s="28"/>
      <c r="AA238" s="28"/>
      <c r="AB238" s="28"/>
      <c r="AC238" s="28"/>
      <c r="AD238" s="28"/>
      <c r="AE238" s="28"/>
      <c r="AF238" s="28"/>
    </row>
    <row r="239" spans="1:32">
      <c r="A239" s="572" t="s">
        <v>3662</v>
      </c>
      <c r="B239" s="565" t="s">
        <v>3658</v>
      </c>
      <c r="C239" s="562" t="s">
        <v>3666</v>
      </c>
      <c r="D239" s="562" t="s">
        <v>3670</v>
      </c>
      <c r="E239" s="562" t="s">
        <v>3674</v>
      </c>
      <c r="F239" s="561"/>
      <c r="G239" s="571"/>
      <c r="I239" s="389"/>
      <c r="Z239" s="28"/>
      <c r="AA239" s="28"/>
      <c r="AB239" s="28"/>
      <c r="AC239" s="28"/>
      <c r="AD239" s="28"/>
      <c r="AE239" s="28"/>
      <c r="AF239" s="28"/>
    </row>
    <row r="240" spans="1:32" ht="13.5" thickBot="1">
      <c r="A240" s="572" t="s">
        <v>3663</v>
      </c>
      <c r="B240" s="567" t="s">
        <v>3659</v>
      </c>
      <c r="C240" s="568" t="s">
        <v>3667</v>
      </c>
      <c r="D240" s="568" t="s">
        <v>3671</v>
      </c>
      <c r="E240" s="568" t="s">
        <v>3675</v>
      </c>
      <c r="F240" s="578"/>
      <c r="G240" s="579"/>
      <c r="I240" s="389"/>
      <c r="Z240" s="28"/>
      <c r="AA240" s="28"/>
      <c r="AB240" s="28"/>
      <c r="AC240" s="28"/>
      <c r="AD240" s="28"/>
      <c r="AE240" s="28"/>
      <c r="AF240" s="28"/>
    </row>
    <row r="241" spans="26:32">
      <c r="Z241" s="28"/>
      <c r="AA241" s="28"/>
      <c r="AB241" s="28"/>
      <c r="AC241" s="28"/>
      <c r="AD241" s="28"/>
      <c r="AE241" s="28"/>
      <c r="AF241" s="28"/>
    </row>
    <row r="242" spans="26:32">
      <c r="Z242" s="28"/>
      <c r="AA242" s="28"/>
      <c r="AB242" s="28"/>
      <c r="AC242" s="28"/>
      <c r="AD242" s="28"/>
      <c r="AE242" s="28"/>
      <c r="AF242" s="28"/>
    </row>
    <row r="243" spans="26:32">
      <c r="Z243" s="28"/>
      <c r="AA243" s="28"/>
      <c r="AB243" s="28"/>
      <c r="AC243" s="28"/>
      <c r="AD243" s="28"/>
      <c r="AE243" s="28"/>
      <c r="AF243" s="28"/>
    </row>
    <row r="244" spans="26:32">
      <c r="Z244" s="28"/>
      <c r="AA244" s="28"/>
      <c r="AB244" s="28"/>
      <c r="AC244" s="28"/>
      <c r="AD244" s="28"/>
      <c r="AE244" s="28"/>
      <c r="AF244" s="28"/>
    </row>
    <row r="245" spans="26:32">
      <c r="Z245" s="28"/>
      <c r="AA245" s="28"/>
      <c r="AB245" s="28"/>
      <c r="AC245" s="28"/>
      <c r="AD245" s="28"/>
      <c r="AE245" s="28"/>
      <c r="AF245" s="28"/>
    </row>
    <row r="246" spans="26:32">
      <c r="Z246" s="28"/>
      <c r="AA246" s="28"/>
      <c r="AB246" s="28"/>
      <c r="AC246" s="28"/>
      <c r="AD246" s="28"/>
      <c r="AE246" s="28"/>
      <c r="AF246" s="28"/>
    </row>
    <row r="247" spans="26:32">
      <c r="Z247" s="28"/>
      <c r="AA247" s="28"/>
      <c r="AB247" s="28"/>
      <c r="AC247" s="28"/>
      <c r="AD247" s="28"/>
      <c r="AE247" s="28"/>
      <c r="AF247" s="28"/>
    </row>
    <row r="248" spans="26:32">
      <c r="Z248" s="28"/>
      <c r="AA248" s="28"/>
      <c r="AB248" s="28"/>
      <c r="AC248" s="28"/>
      <c r="AD248" s="28"/>
      <c r="AE248" s="28"/>
      <c r="AF248" s="28"/>
    </row>
    <row r="249" spans="26:32">
      <c r="Z249" s="28"/>
      <c r="AA249" s="28"/>
      <c r="AB249" s="28"/>
      <c r="AC249" s="28"/>
      <c r="AD249" s="28"/>
      <c r="AE249" s="28"/>
      <c r="AF249" s="28"/>
    </row>
    <row r="250" spans="26:32">
      <c r="Z250" s="28"/>
      <c r="AA250" s="28"/>
      <c r="AB250" s="28"/>
      <c r="AC250" s="28"/>
      <c r="AD250" s="28"/>
      <c r="AE250" s="28"/>
      <c r="AF250" s="28"/>
    </row>
    <row r="251" spans="26:32">
      <c r="Z251" s="28"/>
      <c r="AA251" s="28"/>
      <c r="AB251" s="28"/>
      <c r="AC251" s="28"/>
      <c r="AD251" s="28"/>
      <c r="AE251" s="28"/>
      <c r="AF251" s="28"/>
    </row>
  </sheetData>
  <mergeCells count="75">
    <mergeCell ref="O3:P3"/>
    <mergeCell ref="R3:S3"/>
    <mergeCell ref="X3:Y3"/>
    <mergeCell ref="AA3:AB3"/>
    <mergeCell ref="AD3:AE3"/>
    <mergeCell ref="U3:V3"/>
    <mergeCell ref="AA2:AC2"/>
    <mergeCell ref="AD2:AF2"/>
    <mergeCell ref="F1:F2"/>
    <mergeCell ref="E1:E2"/>
    <mergeCell ref="G1:J1"/>
    <mergeCell ref="K1:N1"/>
    <mergeCell ref="O1:T1"/>
    <mergeCell ref="O2:Q2"/>
    <mergeCell ref="R2:T2"/>
    <mergeCell ref="AA1:AF1"/>
    <mergeCell ref="U1:Z1"/>
    <mergeCell ref="U2:W2"/>
    <mergeCell ref="X2:Z2"/>
    <mergeCell ref="F85:F86"/>
    <mergeCell ref="E85:E86"/>
    <mergeCell ref="D85:D86"/>
    <mergeCell ref="C85:C86"/>
    <mergeCell ref="B85:B86"/>
    <mergeCell ref="E185:E186"/>
    <mergeCell ref="D185:D186"/>
    <mergeCell ref="C185:C186"/>
    <mergeCell ref="B185:B186"/>
    <mergeCell ref="B1:B2"/>
    <mergeCell ref="C1:C2"/>
    <mergeCell ref="E142:E143"/>
    <mergeCell ref="D142:D143"/>
    <mergeCell ref="C142:C143"/>
    <mergeCell ref="B142:B143"/>
    <mergeCell ref="D1:D2"/>
    <mergeCell ref="F185:F186"/>
    <mergeCell ref="G185:G186"/>
    <mergeCell ref="F142:F143"/>
    <mergeCell ref="H145:H147"/>
    <mergeCell ref="H148:H150"/>
    <mergeCell ref="H151:H153"/>
    <mergeCell ref="H164:H166"/>
    <mergeCell ref="H167:I167"/>
    <mergeCell ref="H158:H160"/>
    <mergeCell ref="H161:H163"/>
    <mergeCell ref="I142:I144"/>
    <mergeCell ref="H142:H144"/>
    <mergeCell ref="M142:R142"/>
    <mergeCell ref="S142:X142"/>
    <mergeCell ref="M143:O143"/>
    <mergeCell ref="P143:R143"/>
    <mergeCell ref="S143:U143"/>
    <mergeCell ref="V143:X143"/>
    <mergeCell ref="N157:U157"/>
    <mergeCell ref="V157:AC157"/>
    <mergeCell ref="G86:I86"/>
    <mergeCell ref="J86:L86"/>
    <mergeCell ref="G85:L85"/>
    <mergeCell ref="M85:R85"/>
    <mergeCell ref="M86:O86"/>
    <mergeCell ref="P86:R86"/>
    <mergeCell ref="K142:K144"/>
    <mergeCell ref="J142:J144"/>
    <mergeCell ref="H157:I157"/>
    <mergeCell ref="V144:W144"/>
    <mergeCell ref="M144:N144"/>
    <mergeCell ref="P144:Q144"/>
    <mergeCell ref="S144:T144"/>
    <mergeCell ref="L142:L144"/>
    <mergeCell ref="G210:G211"/>
    <mergeCell ref="B210:B211"/>
    <mergeCell ref="C210:C211"/>
    <mergeCell ref="D210:D211"/>
    <mergeCell ref="E210:E211"/>
    <mergeCell ref="F210:F21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D544D-C661-4400-B896-7E25F5EDD2A7}">
  <sheetPr codeName="Sheet2">
    <tabColor theme="9" tint="0.59999389629810485"/>
  </sheetPr>
  <dimension ref="A1:G26"/>
  <sheetViews>
    <sheetView topLeftCell="A4" workbookViewId="0">
      <selection activeCell="E5" sqref="E5"/>
    </sheetView>
  </sheetViews>
  <sheetFormatPr defaultColWidth="8.75" defaultRowHeight="12"/>
  <cols>
    <col min="1" max="1" width="24.25" style="379" customWidth="1"/>
    <col min="2" max="2" width="17.875" style="379" customWidth="1"/>
    <col min="3" max="5" width="16.25" style="379" customWidth="1"/>
    <col min="6" max="6" width="23.5" style="379" customWidth="1"/>
    <col min="7" max="7" width="19.75" style="379" customWidth="1"/>
    <col min="8" max="16384" width="8.75" style="379"/>
  </cols>
  <sheetData>
    <row r="1" spans="1:7" ht="24">
      <c r="A1" s="604" t="s">
        <v>67</v>
      </c>
      <c r="B1" s="605" t="s">
        <v>207</v>
      </c>
      <c r="C1" s="606" t="s">
        <v>79</v>
      </c>
      <c r="D1" s="606" t="s">
        <v>747</v>
      </c>
      <c r="E1" s="606" t="s">
        <v>748</v>
      </c>
      <c r="F1" s="607" t="s">
        <v>1695</v>
      </c>
      <c r="G1" s="608" t="s">
        <v>1636</v>
      </c>
    </row>
    <row r="2" spans="1:7" ht="12.75">
      <c r="A2" s="609" t="s">
        <v>36</v>
      </c>
      <c r="B2" s="600"/>
      <c r="C2" s="603" t="s">
        <v>1706</v>
      </c>
      <c r="D2" s="600"/>
      <c r="E2" s="600"/>
      <c r="F2" s="601"/>
      <c r="G2" s="610"/>
    </row>
    <row r="3" spans="1:7" ht="12.75">
      <c r="A3" s="609" t="s">
        <v>35</v>
      </c>
      <c r="B3" s="600"/>
      <c r="C3" s="603" t="s">
        <v>1707</v>
      </c>
      <c r="D3" s="600"/>
      <c r="E3" s="600"/>
      <c r="F3" s="601"/>
      <c r="G3" s="610"/>
    </row>
    <row r="4" spans="1:7" ht="12.75">
      <c r="A4" s="609" t="s">
        <v>34</v>
      </c>
      <c r="B4" s="600"/>
      <c r="C4" s="603" t="s">
        <v>1708</v>
      </c>
      <c r="D4" s="600"/>
      <c r="E4" s="600"/>
      <c r="F4" s="601"/>
      <c r="G4" s="610"/>
    </row>
    <row r="5" spans="1:7" ht="12.75">
      <c r="A5" s="609" t="s">
        <v>33</v>
      </c>
      <c r="B5" s="600"/>
      <c r="C5" s="603" t="s">
        <v>1709</v>
      </c>
      <c r="D5" s="600"/>
      <c r="E5" s="600"/>
      <c r="F5" s="601"/>
      <c r="G5" s="610"/>
    </row>
    <row r="6" spans="1:7" ht="12.75">
      <c r="A6" s="609" t="s">
        <v>3762</v>
      </c>
      <c r="B6" s="598"/>
      <c r="C6" s="599">
        <v>43738</v>
      </c>
      <c r="D6" s="600"/>
      <c r="E6" s="600"/>
      <c r="F6" s="601"/>
      <c r="G6" s="610"/>
    </row>
    <row r="7" spans="1:7" ht="13.5" thickBot="1">
      <c r="A7" s="611" t="s">
        <v>1749</v>
      </c>
      <c r="B7" s="612"/>
      <c r="C7" s="613"/>
      <c r="D7" s="614"/>
      <c r="E7" s="614"/>
      <c r="F7" s="615"/>
      <c r="G7" s="616"/>
    </row>
    <row r="8" spans="1:7" ht="12.75" thickBot="1"/>
    <row r="9" spans="1:7" ht="24">
      <c r="A9" s="384" t="s">
        <v>1710</v>
      </c>
      <c r="B9" s="377" t="s">
        <v>33</v>
      </c>
      <c r="C9" s="377" t="s">
        <v>34</v>
      </c>
      <c r="D9" s="377" t="s">
        <v>35</v>
      </c>
      <c r="E9" s="378" t="s">
        <v>36</v>
      </c>
    </row>
    <row r="10" spans="1:7" ht="12.75">
      <c r="A10" s="385" t="s">
        <v>5</v>
      </c>
      <c r="B10" s="386"/>
      <c r="C10" s="386"/>
      <c r="D10" s="386"/>
      <c r="E10" s="387"/>
    </row>
    <row r="11" spans="1:7" ht="12.75">
      <c r="A11" s="385" t="s">
        <v>1</v>
      </c>
      <c r="B11" s="386"/>
      <c r="C11" s="386"/>
      <c r="D11" s="386"/>
      <c r="E11" s="387"/>
    </row>
    <row r="12" spans="1:7" ht="12.75">
      <c r="A12" s="385" t="s">
        <v>2</v>
      </c>
      <c r="B12" s="386"/>
      <c r="C12" s="386"/>
      <c r="D12" s="386"/>
      <c r="E12" s="387"/>
    </row>
    <row r="13" spans="1:7" ht="12.75">
      <c r="A13" s="385" t="s">
        <v>147</v>
      </c>
      <c r="B13" s="386"/>
      <c r="C13" s="386"/>
      <c r="D13" s="386"/>
      <c r="E13" s="387"/>
    </row>
    <row r="14" spans="1:7" ht="12.75">
      <c r="A14" s="385" t="s">
        <v>148</v>
      </c>
      <c r="B14" s="386"/>
      <c r="C14" s="386"/>
      <c r="D14" s="386"/>
      <c r="E14" s="387"/>
    </row>
    <row r="15" spans="1:7" ht="12.75">
      <c r="A15" s="385" t="s">
        <v>3</v>
      </c>
      <c r="B15" s="386"/>
      <c r="C15" s="386"/>
      <c r="D15" s="386"/>
      <c r="E15" s="387"/>
    </row>
    <row r="16" spans="1:7" ht="12.75">
      <c r="A16" s="385" t="s">
        <v>4</v>
      </c>
      <c r="B16" s="386"/>
      <c r="C16" s="386"/>
      <c r="D16" s="386"/>
      <c r="E16" s="387"/>
    </row>
    <row r="17" spans="1:6" ht="12.75">
      <c r="A17" s="388" t="s">
        <v>1716</v>
      </c>
      <c r="B17" s="386"/>
      <c r="C17" s="386"/>
      <c r="D17" s="386"/>
      <c r="E17" s="387"/>
    </row>
    <row r="18" spans="1:6">
      <c r="A18" s="385" t="s">
        <v>1637</v>
      </c>
      <c r="B18" s="380"/>
      <c r="C18" s="380"/>
      <c r="D18" s="380"/>
      <c r="E18" s="381"/>
    </row>
    <row r="19" spans="1:6">
      <c r="A19" s="553" t="s">
        <v>1715</v>
      </c>
      <c r="B19" s="380"/>
      <c r="C19" s="380"/>
      <c r="D19" s="380"/>
      <c r="E19" s="381"/>
      <c r="F19" s="722" t="s">
        <v>3499</v>
      </c>
    </row>
    <row r="20" spans="1:6" ht="12.75" thickBot="1">
      <c r="A20" s="554" t="s">
        <v>1714</v>
      </c>
      <c r="B20" s="382"/>
      <c r="C20" s="382"/>
      <c r="D20" s="382"/>
      <c r="E20" s="383"/>
      <c r="F20" s="722"/>
    </row>
    <row r="21" spans="1:6" ht="12.75" thickBot="1"/>
    <row r="22" spans="1:6">
      <c r="A22" s="416" t="s">
        <v>3681</v>
      </c>
      <c r="B22" s="587" t="s">
        <v>3680</v>
      </c>
    </row>
    <row r="23" spans="1:6" ht="12.75">
      <c r="A23" s="390" t="s">
        <v>1774</v>
      </c>
      <c r="B23" s="387"/>
    </row>
    <row r="24" spans="1:6" ht="12.75">
      <c r="A24" s="390" t="s">
        <v>1775</v>
      </c>
      <c r="B24" s="387"/>
    </row>
    <row r="25" spans="1:6" ht="12.75">
      <c r="A25" s="390" t="s">
        <v>1776</v>
      </c>
      <c r="B25" s="387"/>
    </row>
    <row r="26" spans="1:6" ht="13.5" thickBot="1">
      <c r="A26" s="391" t="s">
        <v>3676</v>
      </c>
      <c r="B26" s="586"/>
    </row>
  </sheetData>
  <mergeCells count="1">
    <mergeCell ref="F19:F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85360-A94F-40DC-A4CB-25626F4DFD56}">
  <sheetPr codeName="Sheet3">
    <tabColor theme="9" tint="0.59999389629810485"/>
  </sheetPr>
  <dimension ref="A1:W112"/>
  <sheetViews>
    <sheetView zoomScale="70" zoomScaleNormal="70" workbookViewId="0">
      <pane xSplit="1" ySplit="3" topLeftCell="B73" activePane="bottomRight" state="frozen"/>
      <selection pane="topRight" activeCell="B1" sqref="B1"/>
      <selection pane="bottomLeft" activeCell="A2" sqref="A2"/>
      <selection pane="bottomRight" activeCell="B5" sqref="B5:E83"/>
    </sheetView>
  </sheetViews>
  <sheetFormatPr defaultColWidth="8.75" defaultRowHeight="15.75"/>
  <cols>
    <col min="1" max="1" width="22.25" style="288" customWidth="1"/>
    <col min="2" max="2" width="23.375" style="7" customWidth="1"/>
    <col min="3" max="3" width="24.75" style="8" customWidth="1"/>
    <col min="4" max="4" width="22.625" style="8" customWidth="1"/>
    <col min="5" max="5" width="23.125" style="8" customWidth="1"/>
    <col min="6" max="6" width="19.5" style="8" customWidth="1"/>
    <col min="7" max="7" width="20.125" style="8" customWidth="1"/>
    <col min="8" max="8" width="19.75" style="8" customWidth="1"/>
    <col min="9" max="9" width="22.125" style="8" customWidth="1"/>
    <col min="10" max="10" width="10.125" style="8" bestFit="1" customWidth="1"/>
    <col min="11" max="12" width="7.75" style="8" bestFit="1" customWidth="1"/>
    <col min="13" max="13" width="8" style="8" bestFit="1" customWidth="1"/>
    <col min="14" max="14" width="13.5" style="8" customWidth="1"/>
    <col min="15" max="15" width="13.875" style="8" customWidth="1"/>
    <col min="16" max="16" width="13.625" style="8" customWidth="1"/>
    <col min="17" max="17" width="14.375" style="8" customWidth="1"/>
    <col min="18" max="18" width="18.375" style="8" customWidth="1"/>
    <col min="19" max="19" width="11.375" style="8" customWidth="1"/>
    <col min="20" max="20" width="15" style="8" bestFit="1" customWidth="1"/>
    <col min="21" max="21" width="13.125" style="8" customWidth="1"/>
    <col min="22" max="22" width="15.75" style="8" customWidth="1"/>
    <col min="23" max="23" width="10.75" style="8" customWidth="1"/>
    <col min="24" max="16384" width="8.75" style="8"/>
  </cols>
  <sheetData>
    <row r="1" spans="1:23" ht="16.5" thickBot="1">
      <c r="A1" s="277" t="s">
        <v>80</v>
      </c>
      <c r="B1" s="57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</row>
    <row r="2" spans="1:23">
      <c r="A2" s="278"/>
      <c r="B2" s="725" t="s">
        <v>70</v>
      </c>
      <c r="C2" s="726"/>
      <c r="D2" s="726"/>
      <c r="E2" s="727"/>
      <c r="F2" s="728" t="s">
        <v>71</v>
      </c>
      <c r="G2" s="726"/>
      <c r="H2" s="726"/>
      <c r="I2" s="727"/>
      <c r="J2" s="729" t="s">
        <v>68</v>
      </c>
      <c r="K2" s="730"/>
      <c r="L2" s="730"/>
      <c r="M2" s="731"/>
      <c r="N2" s="729" t="s">
        <v>69</v>
      </c>
      <c r="O2" s="730"/>
      <c r="P2" s="730"/>
      <c r="Q2" s="731"/>
      <c r="R2" s="732" t="s">
        <v>78</v>
      </c>
      <c r="S2" s="723"/>
      <c r="T2" s="733" t="s">
        <v>77</v>
      </c>
      <c r="U2" s="723"/>
      <c r="V2" s="723" t="s">
        <v>76</v>
      </c>
      <c r="W2" s="724"/>
    </row>
    <row r="3" spans="1:23">
      <c r="A3" s="279" t="s">
        <v>0</v>
      </c>
      <c r="B3" s="60">
        <f>必填信息!B5</f>
        <v>0</v>
      </c>
      <c r="C3" s="60">
        <f>必填信息!B4</f>
        <v>0</v>
      </c>
      <c r="D3" s="60">
        <f>必填信息!B3</f>
        <v>0</v>
      </c>
      <c r="E3" s="61">
        <f>必填信息!B2</f>
        <v>0</v>
      </c>
      <c r="F3" s="224">
        <f>B3</f>
        <v>0</v>
      </c>
      <c r="G3" s="225">
        <f>C3</f>
        <v>0</v>
      </c>
      <c r="H3" s="225">
        <f>D3</f>
        <v>0</v>
      </c>
      <c r="I3" s="226">
        <f>E3</f>
        <v>0</v>
      </c>
      <c r="J3" s="297" t="s">
        <v>72</v>
      </c>
      <c r="K3" s="227" t="s">
        <v>73</v>
      </c>
      <c r="L3" s="227" t="s">
        <v>74</v>
      </c>
      <c r="M3" s="34" t="s">
        <v>75</v>
      </c>
      <c r="N3" s="297" t="s">
        <v>72</v>
      </c>
      <c r="O3" s="227" t="s">
        <v>73</v>
      </c>
      <c r="P3" s="227" t="s">
        <v>74</v>
      </c>
      <c r="Q3" s="34" t="s">
        <v>75</v>
      </c>
      <c r="R3" s="233" t="s">
        <v>32</v>
      </c>
      <c r="S3" s="228" t="s">
        <v>2388</v>
      </c>
      <c r="T3" s="228" t="s">
        <v>32</v>
      </c>
      <c r="U3" s="228" t="s">
        <v>2388</v>
      </c>
      <c r="V3" s="228" t="s">
        <v>32</v>
      </c>
      <c r="W3" s="228" t="s">
        <v>2388</v>
      </c>
    </row>
    <row r="4" spans="1:23">
      <c r="A4" s="280" t="s">
        <v>1614</v>
      </c>
      <c r="B4" s="63"/>
      <c r="C4" s="63"/>
      <c r="D4" s="63"/>
      <c r="E4" s="64"/>
      <c r="F4" s="65"/>
      <c r="G4" s="45"/>
      <c r="H4" s="45"/>
      <c r="I4" s="46"/>
      <c r="J4" s="67"/>
      <c r="K4" s="68"/>
      <c r="L4" s="68"/>
      <c r="M4" s="69"/>
      <c r="N4" s="67"/>
      <c r="O4" s="68"/>
      <c r="P4" s="68"/>
      <c r="Q4" s="69"/>
      <c r="R4" s="67"/>
      <c r="S4" s="68"/>
      <c r="T4" s="70"/>
      <c r="U4" s="68"/>
      <c r="V4" s="70"/>
      <c r="W4" s="69"/>
    </row>
    <row r="5" spans="1:23">
      <c r="A5" s="281" t="s">
        <v>11</v>
      </c>
      <c r="B5" s="291"/>
      <c r="C5" s="291"/>
      <c r="D5" s="291"/>
      <c r="E5" s="292"/>
      <c r="F5" s="74">
        <f t="shared" ref="F5:I35" si="0">B5/10000</f>
        <v>0</v>
      </c>
      <c r="G5" s="75">
        <f t="shared" si="0"/>
        <v>0</v>
      </c>
      <c r="H5" s="75">
        <f t="shared" si="0"/>
        <v>0</v>
      </c>
      <c r="I5" s="229">
        <f t="shared" si="0"/>
        <v>0</v>
      </c>
      <c r="J5" s="67" t="e">
        <f>F5/$F$19*100</f>
        <v>#DIV/0!</v>
      </c>
      <c r="K5" s="68" t="e">
        <f>G5/$G$19*100</f>
        <v>#DIV/0!</v>
      </c>
      <c r="L5" s="68" t="e">
        <f>H5/$H$19*100</f>
        <v>#DIV/0!</v>
      </c>
      <c r="M5" s="69" t="e">
        <f>I5/$I$19*100</f>
        <v>#DIV/0!</v>
      </c>
      <c r="N5" s="67" t="e">
        <f>F5/$F$37*100</f>
        <v>#DIV/0!</v>
      </c>
      <c r="O5" s="68" t="e">
        <f>G5/$G$37*100</f>
        <v>#DIV/0!</v>
      </c>
      <c r="P5" s="68" t="e">
        <f>H5/$H$37*100</f>
        <v>#DIV/0!</v>
      </c>
      <c r="Q5" s="69" t="e">
        <f>I5/$I$37*100</f>
        <v>#DIV/0!</v>
      </c>
      <c r="R5" s="67">
        <f>F5-G5</f>
        <v>0</v>
      </c>
      <c r="S5" s="68" t="e">
        <f>R5/G5*100</f>
        <v>#DIV/0!</v>
      </c>
      <c r="T5" s="68">
        <f>G5-H5</f>
        <v>0</v>
      </c>
      <c r="U5" s="68" t="e">
        <f>T5/H5*100</f>
        <v>#DIV/0!</v>
      </c>
      <c r="V5" s="68">
        <f>H5-I5</f>
        <v>0</v>
      </c>
      <c r="W5" s="69" t="e">
        <f>V5/I5*100</f>
        <v>#DIV/0!</v>
      </c>
    </row>
    <row r="6" spans="1:23" ht="24">
      <c r="A6" s="282" t="s">
        <v>7</v>
      </c>
      <c r="B6" s="291"/>
      <c r="C6" s="291"/>
      <c r="D6" s="291"/>
      <c r="E6" s="292"/>
      <c r="F6" s="74">
        <f t="shared" si="0"/>
        <v>0</v>
      </c>
      <c r="G6" s="75">
        <f t="shared" si="0"/>
        <v>0</v>
      </c>
      <c r="H6" s="75">
        <f t="shared" si="0"/>
        <v>0</v>
      </c>
      <c r="I6" s="229">
        <f t="shared" si="0"/>
        <v>0</v>
      </c>
      <c r="J6" s="67" t="e">
        <f t="shared" ref="J6:J19" si="1">F6/$F$19*100</f>
        <v>#DIV/0!</v>
      </c>
      <c r="K6" s="68" t="e">
        <f t="shared" ref="K6:K19" si="2">G6/$G$19*100</f>
        <v>#DIV/0!</v>
      </c>
      <c r="L6" s="68" t="e">
        <f t="shared" ref="L6:L19" si="3">H6/$H$19*100</f>
        <v>#DIV/0!</v>
      </c>
      <c r="M6" s="69" t="e">
        <f t="shared" ref="M6:M19" si="4">I6/$I$19*100</f>
        <v>#DIV/0!</v>
      </c>
      <c r="N6" s="67" t="e">
        <f t="shared" ref="N6:N19" si="5">F6/$F$37*100</f>
        <v>#DIV/0!</v>
      </c>
      <c r="O6" s="68" t="e">
        <f t="shared" ref="O6:O19" si="6">G6/$G$37*100</f>
        <v>#DIV/0!</v>
      </c>
      <c r="P6" s="68" t="e">
        <f t="shared" ref="P6:P19" si="7">H6/$H$37*100</f>
        <v>#DIV/0!</v>
      </c>
      <c r="Q6" s="69" t="e">
        <f t="shared" ref="Q6:Q19" si="8">I6/$I$37*100</f>
        <v>#DIV/0!</v>
      </c>
      <c r="R6" s="67">
        <f t="shared" ref="R6:R68" si="9">F6-G6</f>
        <v>0</v>
      </c>
      <c r="S6" s="68" t="e">
        <f t="shared" ref="S6:S68" si="10">R6/G6*100</f>
        <v>#DIV/0!</v>
      </c>
      <c r="T6" s="68">
        <f t="shared" ref="T6:T68" si="11">G6-H6</f>
        <v>0</v>
      </c>
      <c r="U6" s="68" t="e">
        <f t="shared" ref="U6:U77" si="12">T6/H6*100</f>
        <v>#DIV/0!</v>
      </c>
      <c r="V6" s="68">
        <f t="shared" ref="V6:V68" si="13">H6-I6</f>
        <v>0</v>
      </c>
      <c r="W6" s="69" t="e">
        <f t="shared" ref="W6:W77" si="14">V6/I6*100</f>
        <v>#DIV/0!</v>
      </c>
    </row>
    <row r="7" spans="1:23">
      <c r="A7" s="282" t="s">
        <v>8</v>
      </c>
      <c r="B7" s="291"/>
      <c r="C7" s="291"/>
      <c r="D7" s="291"/>
      <c r="E7" s="292"/>
      <c r="F7" s="74">
        <f t="shared" si="0"/>
        <v>0</v>
      </c>
      <c r="G7" s="75">
        <f t="shared" si="0"/>
        <v>0</v>
      </c>
      <c r="H7" s="75">
        <f t="shared" si="0"/>
        <v>0</v>
      </c>
      <c r="I7" s="229">
        <f t="shared" si="0"/>
        <v>0</v>
      </c>
      <c r="J7" s="67" t="e">
        <f t="shared" si="1"/>
        <v>#DIV/0!</v>
      </c>
      <c r="K7" s="68" t="e">
        <f t="shared" si="2"/>
        <v>#DIV/0!</v>
      </c>
      <c r="L7" s="68" t="e">
        <f t="shared" si="3"/>
        <v>#DIV/0!</v>
      </c>
      <c r="M7" s="69" t="e">
        <f t="shared" si="4"/>
        <v>#DIV/0!</v>
      </c>
      <c r="N7" s="67" t="e">
        <f t="shared" si="5"/>
        <v>#DIV/0!</v>
      </c>
      <c r="O7" s="68" t="e">
        <f t="shared" si="6"/>
        <v>#DIV/0!</v>
      </c>
      <c r="P7" s="68" t="e">
        <f t="shared" si="7"/>
        <v>#DIV/0!</v>
      </c>
      <c r="Q7" s="69" t="e">
        <f t="shared" si="8"/>
        <v>#DIV/0!</v>
      </c>
      <c r="R7" s="67">
        <f t="shared" si="9"/>
        <v>0</v>
      </c>
      <c r="S7" s="68" t="e">
        <f t="shared" si="10"/>
        <v>#DIV/0!</v>
      </c>
      <c r="T7" s="68">
        <f t="shared" si="11"/>
        <v>0</v>
      </c>
      <c r="U7" s="68" t="e">
        <f t="shared" si="12"/>
        <v>#DIV/0!</v>
      </c>
      <c r="V7" s="68">
        <f t="shared" si="13"/>
        <v>0</v>
      </c>
      <c r="W7" s="69" t="e">
        <f t="shared" si="14"/>
        <v>#DIV/0!</v>
      </c>
    </row>
    <row r="8" spans="1:23" ht="15" customHeight="1">
      <c r="A8" s="281" t="s">
        <v>150</v>
      </c>
      <c r="B8" s="291"/>
      <c r="C8" s="291"/>
      <c r="D8" s="291"/>
      <c r="E8" s="292"/>
      <c r="F8" s="74">
        <f t="shared" si="0"/>
        <v>0</v>
      </c>
      <c r="G8" s="75">
        <f t="shared" si="0"/>
        <v>0</v>
      </c>
      <c r="H8" s="75">
        <f t="shared" si="0"/>
        <v>0</v>
      </c>
      <c r="I8" s="229">
        <f t="shared" si="0"/>
        <v>0</v>
      </c>
      <c r="J8" s="67" t="e">
        <f t="shared" si="1"/>
        <v>#DIV/0!</v>
      </c>
      <c r="K8" s="68" t="e">
        <f t="shared" si="2"/>
        <v>#DIV/0!</v>
      </c>
      <c r="L8" s="68" t="e">
        <f t="shared" si="3"/>
        <v>#DIV/0!</v>
      </c>
      <c r="M8" s="69" t="e">
        <f t="shared" si="4"/>
        <v>#DIV/0!</v>
      </c>
      <c r="N8" s="67" t="e">
        <f t="shared" si="5"/>
        <v>#DIV/0!</v>
      </c>
      <c r="O8" s="68" t="e">
        <f t="shared" si="6"/>
        <v>#DIV/0!</v>
      </c>
      <c r="P8" s="68" t="e">
        <f t="shared" si="7"/>
        <v>#DIV/0!</v>
      </c>
      <c r="Q8" s="69" t="e">
        <f t="shared" si="8"/>
        <v>#DIV/0!</v>
      </c>
      <c r="R8" s="67">
        <f t="shared" si="9"/>
        <v>0</v>
      </c>
      <c r="S8" s="68" t="e">
        <f t="shared" si="10"/>
        <v>#DIV/0!</v>
      </c>
      <c r="T8" s="68">
        <f t="shared" si="11"/>
        <v>0</v>
      </c>
      <c r="U8" s="68" t="e">
        <f t="shared" si="12"/>
        <v>#DIV/0!</v>
      </c>
      <c r="V8" s="68">
        <f t="shared" si="13"/>
        <v>0</v>
      </c>
      <c r="W8" s="69" t="e">
        <f t="shared" si="14"/>
        <v>#DIV/0!</v>
      </c>
    </row>
    <row r="9" spans="1:23">
      <c r="A9" s="281" t="s">
        <v>151</v>
      </c>
      <c r="B9" s="291"/>
      <c r="C9" s="291"/>
      <c r="D9" s="291"/>
      <c r="E9" s="292"/>
      <c r="F9" s="74">
        <f t="shared" si="0"/>
        <v>0</v>
      </c>
      <c r="G9" s="75">
        <f t="shared" si="0"/>
        <v>0</v>
      </c>
      <c r="H9" s="75">
        <f t="shared" si="0"/>
        <v>0</v>
      </c>
      <c r="I9" s="229">
        <f t="shared" si="0"/>
        <v>0</v>
      </c>
      <c r="J9" s="67" t="e">
        <f t="shared" si="1"/>
        <v>#DIV/0!</v>
      </c>
      <c r="K9" s="68" t="e">
        <f t="shared" si="2"/>
        <v>#DIV/0!</v>
      </c>
      <c r="L9" s="68" t="e">
        <f t="shared" si="3"/>
        <v>#DIV/0!</v>
      </c>
      <c r="M9" s="69" t="e">
        <f t="shared" si="4"/>
        <v>#DIV/0!</v>
      </c>
      <c r="N9" s="67" t="e">
        <f t="shared" si="5"/>
        <v>#DIV/0!</v>
      </c>
      <c r="O9" s="68" t="e">
        <f t="shared" si="6"/>
        <v>#DIV/0!</v>
      </c>
      <c r="P9" s="68" t="e">
        <f t="shared" si="7"/>
        <v>#DIV/0!</v>
      </c>
      <c r="Q9" s="69" t="e">
        <f t="shared" si="8"/>
        <v>#DIV/0!</v>
      </c>
      <c r="R9" s="67">
        <f t="shared" si="9"/>
        <v>0</v>
      </c>
      <c r="S9" s="68" t="e">
        <f t="shared" si="10"/>
        <v>#DIV/0!</v>
      </c>
      <c r="T9" s="68">
        <f t="shared" si="11"/>
        <v>0</v>
      </c>
      <c r="U9" s="68" t="e">
        <f t="shared" si="12"/>
        <v>#DIV/0!</v>
      </c>
      <c r="V9" s="68">
        <f t="shared" si="13"/>
        <v>0</v>
      </c>
      <c r="W9" s="69" t="e">
        <f t="shared" si="14"/>
        <v>#DIV/0!</v>
      </c>
    </row>
    <row r="10" spans="1:23">
      <c r="A10" s="281" t="s">
        <v>41</v>
      </c>
      <c r="B10" s="291"/>
      <c r="C10" s="291"/>
      <c r="D10" s="291"/>
      <c r="E10" s="292"/>
      <c r="F10" s="74">
        <f>B10/10000</f>
        <v>0</v>
      </c>
      <c r="G10" s="75">
        <f t="shared" si="0"/>
        <v>0</v>
      </c>
      <c r="H10" s="75">
        <f t="shared" si="0"/>
        <v>0</v>
      </c>
      <c r="I10" s="229">
        <f t="shared" si="0"/>
        <v>0</v>
      </c>
      <c r="J10" s="67" t="e">
        <f t="shared" si="1"/>
        <v>#DIV/0!</v>
      </c>
      <c r="K10" s="68" t="e">
        <f t="shared" si="2"/>
        <v>#DIV/0!</v>
      </c>
      <c r="L10" s="68" t="e">
        <f t="shared" si="3"/>
        <v>#DIV/0!</v>
      </c>
      <c r="M10" s="69" t="e">
        <f t="shared" si="4"/>
        <v>#DIV/0!</v>
      </c>
      <c r="N10" s="67" t="e">
        <f t="shared" si="5"/>
        <v>#DIV/0!</v>
      </c>
      <c r="O10" s="68" t="e">
        <f t="shared" si="6"/>
        <v>#DIV/0!</v>
      </c>
      <c r="P10" s="68" t="e">
        <f t="shared" si="7"/>
        <v>#DIV/0!</v>
      </c>
      <c r="Q10" s="69" t="e">
        <f t="shared" si="8"/>
        <v>#DIV/0!</v>
      </c>
      <c r="R10" s="67">
        <f t="shared" si="9"/>
        <v>0</v>
      </c>
      <c r="S10" s="68" t="e">
        <f t="shared" si="10"/>
        <v>#DIV/0!</v>
      </c>
      <c r="T10" s="68">
        <f t="shared" si="11"/>
        <v>0</v>
      </c>
      <c r="U10" s="68" t="e">
        <f t="shared" si="12"/>
        <v>#DIV/0!</v>
      </c>
      <c r="V10" s="68">
        <f t="shared" si="13"/>
        <v>0</v>
      </c>
      <c r="W10" s="69" t="e">
        <f t="shared" si="14"/>
        <v>#DIV/0!</v>
      </c>
    </row>
    <row r="11" spans="1:23">
      <c r="A11" s="281" t="s">
        <v>40</v>
      </c>
      <c r="B11" s="291"/>
      <c r="C11" s="291"/>
      <c r="D11" s="291"/>
      <c r="E11" s="292"/>
      <c r="F11" s="74">
        <f t="shared" si="0"/>
        <v>0</v>
      </c>
      <c r="G11" s="75">
        <f t="shared" si="0"/>
        <v>0</v>
      </c>
      <c r="H11" s="75">
        <f t="shared" si="0"/>
        <v>0</v>
      </c>
      <c r="I11" s="229">
        <f t="shared" si="0"/>
        <v>0</v>
      </c>
      <c r="J11" s="67" t="e">
        <f t="shared" si="1"/>
        <v>#DIV/0!</v>
      </c>
      <c r="K11" s="68" t="e">
        <f t="shared" si="2"/>
        <v>#DIV/0!</v>
      </c>
      <c r="L11" s="68" t="e">
        <f t="shared" si="3"/>
        <v>#DIV/0!</v>
      </c>
      <c r="M11" s="69" t="e">
        <f t="shared" si="4"/>
        <v>#DIV/0!</v>
      </c>
      <c r="N11" s="67" t="e">
        <f t="shared" si="5"/>
        <v>#DIV/0!</v>
      </c>
      <c r="O11" s="68" t="e">
        <f t="shared" si="6"/>
        <v>#DIV/0!</v>
      </c>
      <c r="P11" s="68" t="e">
        <f t="shared" si="7"/>
        <v>#DIV/0!</v>
      </c>
      <c r="Q11" s="69" t="e">
        <f t="shared" si="8"/>
        <v>#DIV/0!</v>
      </c>
      <c r="R11" s="67">
        <f t="shared" si="9"/>
        <v>0</v>
      </c>
      <c r="S11" s="68" t="e">
        <f t="shared" si="10"/>
        <v>#DIV/0!</v>
      </c>
      <c r="T11" s="68">
        <f t="shared" si="11"/>
        <v>0</v>
      </c>
      <c r="U11" s="68" t="e">
        <f t="shared" si="12"/>
        <v>#DIV/0!</v>
      </c>
      <c r="V11" s="68">
        <f t="shared" si="13"/>
        <v>0</v>
      </c>
      <c r="W11" s="69" t="e">
        <f t="shared" si="14"/>
        <v>#DIV/0!</v>
      </c>
    </row>
    <row r="12" spans="1:23">
      <c r="A12" s="283" t="s">
        <v>152</v>
      </c>
      <c r="B12" s="140"/>
      <c r="C12" s="140"/>
      <c r="D12" s="140"/>
      <c r="E12" s="230"/>
      <c r="F12" s="139">
        <f t="shared" si="0"/>
        <v>0</v>
      </c>
      <c r="G12" s="140">
        <f t="shared" si="0"/>
        <v>0</v>
      </c>
      <c r="H12" s="140">
        <f t="shared" si="0"/>
        <v>0</v>
      </c>
      <c r="I12" s="230">
        <f t="shared" si="0"/>
        <v>0</v>
      </c>
      <c r="J12" s="141" t="e">
        <f t="shared" si="1"/>
        <v>#DIV/0!</v>
      </c>
      <c r="K12" s="142" t="e">
        <f t="shared" si="2"/>
        <v>#DIV/0!</v>
      </c>
      <c r="L12" s="142" t="e">
        <f t="shared" si="3"/>
        <v>#DIV/0!</v>
      </c>
      <c r="M12" s="143" t="e">
        <f t="shared" si="4"/>
        <v>#DIV/0!</v>
      </c>
      <c r="N12" s="141" t="e">
        <f t="shared" si="5"/>
        <v>#DIV/0!</v>
      </c>
      <c r="O12" s="142" t="e">
        <f t="shared" si="6"/>
        <v>#DIV/0!</v>
      </c>
      <c r="P12" s="142" t="e">
        <f t="shared" si="7"/>
        <v>#DIV/0!</v>
      </c>
      <c r="Q12" s="143" t="e">
        <f t="shared" si="8"/>
        <v>#DIV/0!</v>
      </c>
      <c r="R12" s="141">
        <f t="shared" si="9"/>
        <v>0</v>
      </c>
      <c r="S12" s="142" t="e">
        <f t="shared" si="10"/>
        <v>#DIV/0!</v>
      </c>
      <c r="T12" s="142">
        <f t="shared" si="11"/>
        <v>0</v>
      </c>
      <c r="U12" s="142" t="e">
        <f t="shared" si="12"/>
        <v>#DIV/0!</v>
      </c>
      <c r="V12" s="142">
        <f t="shared" si="13"/>
        <v>0</v>
      </c>
      <c r="W12" s="143" t="e">
        <f t="shared" si="14"/>
        <v>#DIV/0!</v>
      </c>
    </row>
    <row r="13" spans="1:23">
      <c r="A13" s="283" t="s">
        <v>1629</v>
      </c>
      <c r="B13" s="140"/>
      <c r="C13" s="140"/>
      <c r="D13" s="140"/>
      <c r="E13" s="230"/>
      <c r="F13" s="139">
        <f t="shared" si="0"/>
        <v>0</v>
      </c>
      <c r="G13" s="140">
        <f t="shared" si="0"/>
        <v>0</v>
      </c>
      <c r="H13" s="140">
        <f t="shared" si="0"/>
        <v>0</v>
      </c>
      <c r="I13" s="230">
        <f t="shared" si="0"/>
        <v>0</v>
      </c>
      <c r="J13" s="141" t="e">
        <f t="shared" si="1"/>
        <v>#DIV/0!</v>
      </c>
      <c r="K13" s="142" t="e">
        <f t="shared" si="2"/>
        <v>#DIV/0!</v>
      </c>
      <c r="L13" s="142" t="e">
        <f t="shared" si="3"/>
        <v>#DIV/0!</v>
      </c>
      <c r="M13" s="143" t="e">
        <f t="shared" si="4"/>
        <v>#DIV/0!</v>
      </c>
      <c r="N13" s="141" t="e">
        <f t="shared" si="5"/>
        <v>#DIV/0!</v>
      </c>
      <c r="O13" s="142" t="e">
        <f t="shared" si="6"/>
        <v>#DIV/0!</v>
      </c>
      <c r="P13" s="142" t="e">
        <f t="shared" si="7"/>
        <v>#DIV/0!</v>
      </c>
      <c r="Q13" s="143" t="e">
        <f t="shared" si="8"/>
        <v>#DIV/0!</v>
      </c>
      <c r="R13" s="141">
        <f t="shared" si="9"/>
        <v>0</v>
      </c>
      <c r="S13" s="142" t="e">
        <f t="shared" si="10"/>
        <v>#DIV/0!</v>
      </c>
      <c r="T13" s="142">
        <f t="shared" si="11"/>
        <v>0</v>
      </c>
      <c r="U13" s="142" t="e">
        <f t="shared" si="12"/>
        <v>#DIV/0!</v>
      </c>
      <c r="V13" s="142">
        <f t="shared" si="13"/>
        <v>0</v>
      </c>
      <c r="W13" s="143" t="e">
        <f t="shared" si="14"/>
        <v>#DIV/0!</v>
      </c>
    </row>
    <row r="14" spans="1:23">
      <c r="A14" s="283" t="s">
        <v>1630</v>
      </c>
      <c r="B14" s="140"/>
      <c r="C14" s="140"/>
      <c r="D14" s="140"/>
      <c r="E14" s="230"/>
      <c r="F14" s="139">
        <f t="shared" si="0"/>
        <v>0</v>
      </c>
      <c r="G14" s="140">
        <f t="shared" si="0"/>
        <v>0</v>
      </c>
      <c r="H14" s="140">
        <f t="shared" si="0"/>
        <v>0</v>
      </c>
      <c r="I14" s="230">
        <f t="shared" si="0"/>
        <v>0</v>
      </c>
      <c r="J14" s="141" t="e">
        <f t="shared" si="1"/>
        <v>#DIV/0!</v>
      </c>
      <c r="K14" s="142" t="e">
        <f t="shared" si="2"/>
        <v>#DIV/0!</v>
      </c>
      <c r="L14" s="142" t="e">
        <f t="shared" si="3"/>
        <v>#DIV/0!</v>
      </c>
      <c r="M14" s="143" t="e">
        <f t="shared" si="4"/>
        <v>#DIV/0!</v>
      </c>
      <c r="N14" s="141" t="e">
        <f t="shared" si="5"/>
        <v>#DIV/0!</v>
      </c>
      <c r="O14" s="142" t="e">
        <f t="shared" si="6"/>
        <v>#DIV/0!</v>
      </c>
      <c r="P14" s="142" t="e">
        <f t="shared" si="7"/>
        <v>#DIV/0!</v>
      </c>
      <c r="Q14" s="143" t="e">
        <f t="shared" si="8"/>
        <v>#DIV/0!</v>
      </c>
      <c r="R14" s="141">
        <f t="shared" si="9"/>
        <v>0</v>
      </c>
      <c r="S14" s="142" t="e">
        <f t="shared" si="10"/>
        <v>#DIV/0!</v>
      </c>
      <c r="T14" s="142">
        <f t="shared" si="11"/>
        <v>0</v>
      </c>
      <c r="U14" s="142" t="e">
        <f t="shared" si="12"/>
        <v>#DIV/0!</v>
      </c>
      <c r="V14" s="142">
        <f t="shared" si="13"/>
        <v>0</v>
      </c>
      <c r="W14" s="143" t="e">
        <f t="shared" si="14"/>
        <v>#DIV/0!</v>
      </c>
    </row>
    <row r="15" spans="1:23">
      <c r="A15" s="281" t="s">
        <v>42</v>
      </c>
      <c r="B15" s="291"/>
      <c r="C15" s="291"/>
      <c r="D15" s="291"/>
      <c r="E15" s="292"/>
      <c r="F15" s="74">
        <f t="shared" si="0"/>
        <v>0</v>
      </c>
      <c r="G15" s="75">
        <f t="shared" si="0"/>
        <v>0</v>
      </c>
      <c r="H15" s="75">
        <f t="shared" si="0"/>
        <v>0</v>
      </c>
      <c r="I15" s="229">
        <f t="shared" si="0"/>
        <v>0</v>
      </c>
      <c r="J15" s="67" t="e">
        <f t="shared" si="1"/>
        <v>#DIV/0!</v>
      </c>
      <c r="K15" s="68" t="e">
        <f t="shared" si="2"/>
        <v>#DIV/0!</v>
      </c>
      <c r="L15" s="68" t="e">
        <f t="shared" si="3"/>
        <v>#DIV/0!</v>
      </c>
      <c r="M15" s="69" t="e">
        <f t="shared" si="4"/>
        <v>#DIV/0!</v>
      </c>
      <c r="N15" s="67" t="e">
        <f t="shared" si="5"/>
        <v>#DIV/0!</v>
      </c>
      <c r="O15" s="68" t="e">
        <f t="shared" si="6"/>
        <v>#DIV/0!</v>
      </c>
      <c r="P15" s="68" t="e">
        <f t="shared" si="7"/>
        <v>#DIV/0!</v>
      </c>
      <c r="Q15" s="69" t="e">
        <f t="shared" si="8"/>
        <v>#DIV/0!</v>
      </c>
      <c r="R15" s="67">
        <f t="shared" si="9"/>
        <v>0</v>
      </c>
      <c r="S15" s="68" t="e">
        <f t="shared" si="10"/>
        <v>#DIV/0!</v>
      </c>
      <c r="T15" s="68">
        <f t="shared" si="11"/>
        <v>0</v>
      </c>
      <c r="U15" s="68" t="e">
        <f t="shared" si="12"/>
        <v>#DIV/0!</v>
      </c>
      <c r="V15" s="68">
        <f t="shared" si="13"/>
        <v>0</v>
      </c>
      <c r="W15" s="69" t="e">
        <f t="shared" si="14"/>
        <v>#DIV/0!</v>
      </c>
    </row>
    <row r="16" spans="1:23">
      <c r="A16" s="282" t="s">
        <v>153</v>
      </c>
      <c r="B16" s="291"/>
      <c r="C16" s="291"/>
      <c r="D16" s="291"/>
      <c r="E16" s="292"/>
      <c r="F16" s="74">
        <f t="shared" si="0"/>
        <v>0</v>
      </c>
      <c r="G16" s="75">
        <f t="shared" si="0"/>
        <v>0</v>
      </c>
      <c r="H16" s="75">
        <f t="shared" si="0"/>
        <v>0</v>
      </c>
      <c r="I16" s="229">
        <f t="shared" si="0"/>
        <v>0</v>
      </c>
      <c r="J16" s="67" t="e">
        <f t="shared" si="1"/>
        <v>#DIV/0!</v>
      </c>
      <c r="K16" s="68" t="e">
        <f t="shared" si="2"/>
        <v>#DIV/0!</v>
      </c>
      <c r="L16" s="68" t="e">
        <f t="shared" si="3"/>
        <v>#DIV/0!</v>
      </c>
      <c r="M16" s="69" t="e">
        <f t="shared" si="4"/>
        <v>#DIV/0!</v>
      </c>
      <c r="N16" s="67" t="e">
        <f t="shared" si="5"/>
        <v>#DIV/0!</v>
      </c>
      <c r="O16" s="68" t="e">
        <f t="shared" si="6"/>
        <v>#DIV/0!</v>
      </c>
      <c r="P16" s="68" t="e">
        <f t="shared" si="7"/>
        <v>#DIV/0!</v>
      </c>
      <c r="Q16" s="69" t="e">
        <f t="shared" si="8"/>
        <v>#DIV/0!</v>
      </c>
      <c r="R16" s="67">
        <f t="shared" si="9"/>
        <v>0</v>
      </c>
      <c r="S16" s="68" t="e">
        <f t="shared" si="10"/>
        <v>#DIV/0!</v>
      </c>
      <c r="T16" s="68">
        <f t="shared" si="11"/>
        <v>0</v>
      </c>
      <c r="U16" s="68" t="e">
        <f t="shared" si="12"/>
        <v>#DIV/0!</v>
      </c>
      <c r="V16" s="68">
        <f t="shared" si="13"/>
        <v>0</v>
      </c>
      <c r="W16" s="69" t="e">
        <f t="shared" si="14"/>
        <v>#DIV/0!</v>
      </c>
    </row>
    <row r="17" spans="1:23">
      <c r="A17" s="281" t="s">
        <v>154</v>
      </c>
      <c r="B17" s="291"/>
      <c r="C17" s="291"/>
      <c r="D17" s="291"/>
      <c r="E17" s="292"/>
      <c r="F17" s="74">
        <f t="shared" si="0"/>
        <v>0</v>
      </c>
      <c r="G17" s="75">
        <f t="shared" si="0"/>
        <v>0</v>
      </c>
      <c r="H17" s="75">
        <f t="shared" si="0"/>
        <v>0</v>
      </c>
      <c r="I17" s="229">
        <f t="shared" si="0"/>
        <v>0</v>
      </c>
      <c r="J17" s="67" t="e">
        <f t="shared" si="1"/>
        <v>#DIV/0!</v>
      </c>
      <c r="K17" s="68" t="e">
        <f t="shared" si="2"/>
        <v>#DIV/0!</v>
      </c>
      <c r="L17" s="68" t="e">
        <f t="shared" si="3"/>
        <v>#DIV/0!</v>
      </c>
      <c r="M17" s="69" t="e">
        <f t="shared" si="4"/>
        <v>#DIV/0!</v>
      </c>
      <c r="N17" s="67" t="e">
        <f t="shared" si="5"/>
        <v>#DIV/0!</v>
      </c>
      <c r="O17" s="68" t="e">
        <f t="shared" si="6"/>
        <v>#DIV/0!</v>
      </c>
      <c r="P17" s="68" t="e">
        <f t="shared" si="7"/>
        <v>#DIV/0!</v>
      </c>
      <c r="Q17" s="69" t="e">
        <f t="shared" si="8"/>
        <v>#DIV/0!</v>
      </c>
      <c r="R17" s="67">
        <f t="shared" si="9"/>
        <v>0</v>
      </c>
      <c r="S17" s="68" t="e">
        <f t="shared" si="10"/>
        <v>#DIV/0!</v>
      </c>
      <c r="T17" s="68">
        <f t="shared" si="11"/>
        <v>0</v>
      </c>
      <c r="U17" s="68" t="e">
        <f t="shared" si="12"/>
        <v>#DIV/0!</v>
      </c>
      <c r="V17" s="68">
        <f t="shared" si="13"/>
        <v>0</v>
      </c>
      <c r="W17" s="69" t="e">
        <f t="shared" si="14"/>
        <v>#DIV/0!</v>
      </c>
    </row>
    <row r="18" spans="1:23">
      <c r="A18" s="281" t="s">
        <v>43</v>
      </c>
      <c r="B18" s="291"/>
      <c r="C18" s="291"/>
      <c r="D18" s="291"/>
      <c r="E18" s="292"/>
      <c r="F18" s="74">
        <f t="shared" si="0"/>
        <v>0</v>
      </c>
      <c r="G18" s="75">
        <f t="shared" si="0"/>
        <v>0</v>
      </c>
      <c r="H18" s="75">
        <f t="shared" si="0"/>
        <v>0</v>
      </c>
      <c r="I18" s="229">
        <f t="shared" si="0"/>
        <v>0</v>
      </c>
      <c r="J18" s="67" t="e">
        <f t="shared" si="1"/>
        <v>#DIV/0!</v>
      </c>
      <c r="K18" s="68" t="e">
        <f t="shared" si="2"/>
        <v>#DIV/0!</v>
      </c>
      <c r="L18" s="68" t="e">
        <f t="shared" si="3"/>
        <v>#DIV/0!</v>
      </c>
      <c r="M18" s="69" t="e">
        <f t="shared" si="4"/>
        <v>#DIV/0!</v>
      </c>
      <c r="N18" s="67" t="e">
        <f t="shared" si="5"/>
        <v>#DIV/0!</v>
      </c>
      <c r="O18" s="68" t="e">
        <f t="shared" si="6"/>
        <v>#DIV/0!</v>
      </c>
      <c r="P18" s="68" t="e">
        <f t="shared" si="7"/>
        <v>#DIV/0!</v>
      </c>
      <c r="Q18" s="69" t="e">
        <f t="shared" si="8"/>
        <v>#DIV/0!</v>
      </c>
      <c r="R18" s="67">
        <f t="shared" si="9"/>
        <v>0</v>
      </c>
      <c r="S18" s="68" t="e">
        <f t="shared" si="10"/>
        <v>#DIV/0!</v>
      </c>
      <c r="T18" s="68">
        <f t="shared" si="11"/>
        <v>0</v>
      </c>
      <c r="U18" s="68" t="e">
        <f t="shared" si="12"/>
        <v>#DIV/0!</v>
      </c>
      <c r="V18" s="68">
        <f t="shared" si="13"/>
        <v>0</v>
      </c>
      <c r="W18" s="69" t="e">
        <f t="shared" si="14"/>
        <v>#DIV/0!</v>
      </c>
    </row>
    <row r="19" spans="1:23" s="12" customFormat="1">
      <c r="A19" s="284" t="s">
        <v>44</v>
      </c>
      <c r="B19" s="293"/>
      <c r="C19" s="293"/>
      <c r="D19" s="293"/>
      <c r="E19" s="294"/>
      <c r="F19" s="79">
        <f t="shared" si="0"/>
        <v>0</v>
      </c>
      <c r="G19" s="80">
        <f t="shared" si="0"/>
        <v>0</v>
      </c>
      <c r="H19" s="80">
        <f t="shared" si="0"/>
        <v>0</v>
      </c>
      <c r="I19" s="231">
        <f t="shared" si="0"/>
        <v>0</v>
      </c>
      <c r="J19" s="81" t="e">
        <f t="shared" si="1"/>
        <v>#DIV/0!</v>
      </c>
      <c r="K19" s="82" t="e">
        <f t="shared" si="2"/>
        <v>#DIV/0!</v>
      </c>
      <c r="L19" s="82" t="e">
        <f t="shared" si="3"/>
        <v>#DIV/0!</v>
      </c>
      <c r="M19" s="83" t="e">
        <f t="shared" si="4"/>
        <v>#DIV/0!</v>
      </c>
      <c r="N19" s="81" t="e">
        <f t="shared" si="5"/>
        <v>#DIV/0!</v>
      </c>
      <c r="O19" s="82" t="e">
        <f t="shared" si="6"/>
        <v>#DIV/0!</v>
      </c>
      <c r="P19" s="82" t="e">
        <f t="shared" si="7"/>
        <v>#DIV/0!</v>
      </c>
      <c r="Q19" s="83" t="e">
        <f t="shared" si="8"/>
        <v>#DIV/0!</v>
      </c>
      <c r="R19" s="81">
        <f t="shared" si="9"/>
        <v>0</v>
      </c>
      <c r="S19" s="82" t="e">
        <f t="shared" si="10"/>
        <v>#DIV/0!</v>
      </c>
      <c r="T19" s="82">
        <f t="shared" si="11"/>
        <v>0</v>
      </c>
      <c r="U19" s="82" t="e">
        <f t="shared" si="12"/>
        <v>#DIV/0!</v>
      </c>
      <c r="V19" s="82">
        <f t="shared" si="13"/>
        <v>0</v>
      </c>
      <c r="W19" s="83" t="e">
        <f t="shared" si="14"/>
        <v>#DIV/0!</v>
      </c>
    </row>
    <row r="20" spans="1:23">
      <c r="A20" s="280" t="s">
        <v>1615</v>
      </c>
      <c r="B20" s="75"/>
      <c r="C20" s="75"/>
      <c r="D20" s="75"/>
      <c r="E20" s="229"/>
      <c r="F20" s="74"/>
      <c r="G20" s="75"/>
      <c r="H20" s="75"/>
      <c r="I20" s="229"/>
      <c r="J20" s="67"/>
      <c r="K20" s="68"/>
      <c r="L20" s="68"/>
      <c r="M20" s="69"/>
      <c r="N20" s="67"/>
      <c r="O20" s="68"/>
      <c r="P20" s="68"/>
      <c r="Q20" s="69"/>
      <c r="R20" s="67"/>
      <c r="S20" s="68"/>
      <c r="T20" s="68"/>
      <c r="U20" s="68"/>
      <c r="V20" s="68"/>
      <c r="W20" s="69"/>
    </row>
    <row r="21" spans="1:23">
      <c r="A21" s="281" t="s">
        <v>45</v>
      </c>
      <c r="B21" s="291"/>
      <c r="C21" s="291"/>
      <c r="D21" s="291"/>
      <c r="E21" s="292"/>
      <c r="F21" s="74">
        <f t="shared" si="0"/>
        <v>0</v>
      </c>
      <c r="G21" s="75">
        <f t="shared" si="0"/>
        <v>0</v>
      </c>
      <c r="H21" s="75">
        <f t="shared" si="0"/>
        <v>0</v>
      </c>
      <c r="I21" s="229">
        <f t="shared" si="0"/>
        <v>0</v>
      </c>
      <c r="J21" s="67" t="e">
        <f>F21/$F$36*100</f>
        <v>#DIV/0!</v>
      </c>
      <c r="K21" s="68" t="e">
        <f>G21/$G$36*100</f>
        <v>#DIV/0!</v>
      </c>
      <c r="L21" s="68" t="e">
        <f>H21/$H$36*100</f>
        <v>#DIV/0!</v>
      </c>
      <c r="M21" s="69" t="e">
        <f>I21/$I$36*100</f>
        <v>#DIV/0!</v>
      </c>
      <c r="N21" s="67" t="e">
        <f t="shared" ref="N21:N37" si="15">F21/$F$37*100</f>
        <v>#DIV/0!</v>
      </c>
      <c r="O21" s="68" t="e">
        <f t="shared" ref="O21:O37" si="16">G21/$G$37*100</f>
        <v>#DIV/0!</v>
      </c>
      <c r="P21" s="68" t="e">
        <f t="shared" ref="P21:P37" si="17">H21/$H$37*100</f>
        <v>#DIV/0!</v>
      </c>
      <c r="Q21" s="69" t="e">
        <f t="shared" ref="Q21:Q37" si="18">I21/$I$37*100</f>
        <v>#DIV/0!</v>
      </c>
      <c r="R21" s="67">
        <f t="shared" si="9"/>
        <v>0</v>
      </c>
      <c r="S21" s="68" t="e">
        <f t="shared" si="10"/>
        <v>#DIV/0!</v>
      </c>
      <c r="T21" s="68">
        <f t="shared" si="11"/>
        <v>0</v>
      </c>
      <c r="U21" s="68" t="e">
        <f t="shared" si="12"/>
        <v>#DIV/0!</v>
      </c>
      <c r="V21" s="68">
        <f t="shared" si="13"/>
        <v>0</v>
      </c>
      <c r="W21" s="69" t="e">
        <f t="shared" si="14"/>
        <v>#DIV/0!</v>
      </c>
    </row>
    <row r="22" spans="1:23">
      <c r="A22" s="281" t="s">
        <v>155</v>
      </c>
      <c r="B22" s="291"/>
      <c r="C22" s="291"/>
      <c r="D22" s="291"/>
      <c r="E22" s="292"/>
      <c r="F22" s="74">
        <f t="shared" si="0"/>
        <v>0</v>
      </c>
      <c r="G22" s="75">
        <f t="shared" si="0"/>
        <v>0</v>
      </c>
      <c r="H22" s="75">
        <f t="shared" si="0"/>
        <v>0</v>
      </c>
      <c r="I22" s="229">
        <f t="shared" si="0"/>
        <v>0</v>
      </c>
      <c r="J22" s="67" t="e">
        <f t="shared" ref="J22:J36" si="19">F22/$F$36*100</f>
        <v>#DIV/0!</v>
      </c>
      <c r="K22" s="68" t="e">
        <f t="shared" ref="K22:K36" si="20">G22/$G$36*100</f>
        <v>#DIV/0!</v>
      </c>
      <c r="L22" s="68" t="e">
        <f t="shared" ref="L22:L36" si="21">H22/$H$36*100</f>
        <v>#DIV/0!</v>
      </c>
      <c r="M22" s="69" t="e">
        <f t="shared" ref="M22:M36" si="22">I22/$I$36*100</f>
        <v>#DIV/0!</v>
      </c>
      <c r="N22" s="67" t="e">
        <f t="shared" si="15"/>
        <v>#DIV/0!</v>
      </c>
      <c r="O22" s="68" t="e">
        <f t="shared" si="16"/>
        <v>#DIV/0!</v>
      </c>
      <c r="P22" s="68" t="e">
        <f t="shared" si="17"/>
        <v>#DIV/0!</v>
      </c>
      <c r="Q22" s="69" t="e">
        <f t="shared" si="18"/>
        <v>#DIV/0!</v>
      </c>
      <c r="R22" s="67">
        <f t="shared" si="9"/>
        <v>0</v>
      </c>
      <c r="S22" s="68" t="e">
        <f t="shared" si="10"/>
        <v>#DIV/0!</v>
      </c>
      <c r="T22" s="68">
        <f t="shared" si="11"/>
        <v>0</v>
      </c>
      <c r="U22" s="68" t="e">
        <f t="shared" si="12"/>
        <v>#DIV/0!</v>
      </c>
      <c r="V22" s="68">
        <f t="shared" si="13"/>
        <v>0</v>
      </c>
      <c r="W22" s="69" t="e">
        <f t="shared" si="14"/>
        <v>#DIV/0!</v>
      </c>
    </row>
    <row r="23" spans="1:23">
      <c r="A23" s="281" t="s">
        <v>156</v>
      </c>
      <c r="B23" s="291"/>
      <c r="C23" s="291"/>
      <c r="D23" s="291"/>
      <c r="E23" s="292"/>
      <c r="F23" s="74">
        <f t="shared" si="0"/>
        <v>0</v>
      </c>
      <c r="G23" s="75">
        <f t="shared" si="0"/>
        <v>0</v>
      </c>
      <c r="H23" s="75">
        <f t="shared" si="0"/>
        <v>0</v>
      </c>
      <c r="I23" s="229">
        <f t="shared" si="0"/>
        <v>0</v>
      </c>
      <c r="J23" s="67" t="e">
        <f t="shared" si="19"/>
        <v>#DIV/0!</v>
      </c>
      <c r="K23" s="68" t="e">
        <f t="shared" si="20"/>
        <v>#DIV/0!</v>
      </c>
      <c r="L23" s="68" t="e">
        <f t="shared" si="21"/>
        <v>#DIV/0!</v>
      </c>
      <c r="M23" s="69" t="e">
        <f t="shared" si="22"/>
        <v>#DIV/0!</v>
      </c>
      <c r="N23" s="67" t="e">
        <f t="shared" si="15"/>
        <v>#DIV/0!</v>
      </c>
      <c r="O23" s="68" t="e">
        <f t="shared" si="16"/>
        <v>#DIV/0!</v>
      </c>
      <c r="P23" s="68" t="e">
        <f t="shared" si="17"/>
        <v>#DIV/0!</v>
      </c>
      <c r="Q23" s="69" t="e">
        <f t="shared" si="18"/>
        <v>#DIV/0!</v>
      </c>
      <c r="R23" s="67">
        <f t="shared" si="9"/>
        <v>0</v>
      </c>
      <c r="S23" s="68" t="e">
        <f t="shared" si="10"/>
        <v>#DIV/0!</v>
      </c>
      <c r="T23" s="68">
        <f t="shared" si="11"/>
        <v>0</v>
      </c>
      <c r="U23" s="68" t="e">
        <f t="shared" si="12"/>
        <v>#DIV/0!</v>
      </c>
      <c r="V23" s="68">
        <f t="shared" si="13"/>
        <v>0</v>
      </c>
      <c r="W23" s="69" t="e">
        <f t="shared" si="14"/>
        <v>#DIV/0!</v>
      </c>
    </row>
    <row r="24" spans="1:23">
      <c r="A24" s="281" t="s">
        <v>46</v>
      </c>
      <c r="B24" s="291"/>
      <c r="C24" s="291"/>
      <c r="D24" s="291"/>
      <c r="E24" s="292"/>
      <c r="F24" s="74">
        <f t="shared" si="0"/>
        <v>0</v>
      </c>
      <c r="G24" s="75">
        <f t="shared" si="0"/>
        <v>0</v>
      </c>
      <c r="H24" s="75">
        <f t="shared" si="0"/>
        <v>0</v>
      </c>
      <c r="I24" s="229">
        <f t="shared" si="0"/>
        <v>0</v>
      </c>
      <c r="J24" s="67" t="e">
        <f t="shared" si="19"/>
        <v>#DIV/0!</v>
      </c>
      <c r="K24" s="68" t="e">
        <f t="shared" si="20"/>
        <v>#DIV/0!</v>
      </c>
      <c r="L24" s="68" t="e">
        <f t="shared" si="21"/>
        <v>#DIV/0!</v>
      </c>
      <c r="M24" s="69" t="e">
        <f t="shared" si="22"/>
        <v>#DIV/0!</v>
      </c>
      <c r="N24" s="67" t="e">
        <f t="shared" si="15"/>
        <v>#DIV/0!</v>
      </c>
      <c r="O24" s="68" t="e">
        <f t="shared" si="16"/>
        <v>#DIV/0!</v>
      </c>
      <c r="P24" s="68" t="e">
        <f t="shared" si="17"/>
        <v>#DIV/0!</v>
      </c>
      <c r="Q24" s="69" t="e">
        <f t="shared" si="18"/>
        <v>#DIV/0!</v>
      </c>
      <c r="R24" s="67">
        <f t="shared" si="9"/>
        <v>0</v>
      </c>
      <c r="S24" s="68" t="e">
        <f t="shared" si="10"/>
        <v>#DIV/0!</v>
      </c>
      <c r="T24" s="68">
        <f t="shared" si="11"/>
        <v>0</v>
      </c>
      <c r="U24" s="68" t="e">
        <f t="shared" si="12"/>
        <v>#DIV/0!</v>
      </c>
      <c r="V24" s="68">
        <f t="shared" si="13"/>
        <v>0</v>
      </c>
      <c r="W24" s="69" t="e">
        <f t="shared" si="14"/>
        <v>#DIV/0!</v>
      </c>
    </row>
    <row r="25" spans="1:23">
      <c r="A25" s="281" t="s">
        <v>47</v>
      </c>
      <c r="B25" s="291"/>
      <c r="C25" s="291"/>
      <c r="D25" s="291"/>
      <c r="E25" s="292"/>
      <c r="F25" s="74">
        <f t="shared" si="0"/>
        <v>0</v>
      </c>
      <c r="G25" s="75">
        <f t="shared" si="0"/>
        <v>0</v>
      </c>
      <c r="H25" s="75">
        <f t="shared" si="0"/>
        <v>0</v>
      </c>
      <c r="I25" s="229">
        <f t="shared" si="0"/>
        <v>0</v>
      </c>
      <c r="J25" s="67" t="e">
        <f t="shared" si="19"/>
        <v>#DIV/0!</v>
      </c>
      <c r="K25" s="68" t="e">
        <f t="shared" si="20"/>
        <v>#DIV/0!</v>
      </c>
      <c r="L25" s="68" t="e">
        <f t="shared" si="21"/>
        <v>#DIV/0!</v>
      </c>
      <c r="M25" s="69" t="e">
        <f t="shared" si="22"/>
        <v>#DIV/0!</v>
      </c>
      <c r="N25" s="67" t="e">
        <f t="shared" si="15"/>
        <v>#DIV/0!</v>
      </c>
      <c r="O25" s="68" t="e">
        <f t="shared" si="16"/>
        <v>#DIV/0!</v>
      </c>
      <c r="P25" s="68" t="e">
        <f t="shared" si="17"/>
        <v>#DIV/0!</v>
      </c>
      <c r="Q25" s="69" t="e">
        <f t="shared" si="18"/>
        <v>#DIV/0!</v>
      </c>
      <c r="R25" s="67">
        <f t="shared" si="9"/>
        <v>0</v>
      </c>
      <c r="S25" s="68" t="e">
        <f t="shared" si="10"/>
        <v>#DIV/0!</v>
      </c>
      <c r="T25" s="68">
        <f t="shared" si="11"/>
        <v>0</v>
      </c>
      <c r="U25" s="68" t="e">
        <f t="shared" si="12"/>
        <v>#DIV/0!</v>
      </c>
      <c r="V25" s="68">
        <f t="shared" si="13"/>
        <v>0</v>
      </c>
      <c r="W25" s="69" t="e">
        <f t="shared" si="14"/>
        <v>#DIV/0!</v>
      </c>
    </row>
    <row r="26" spans="1:23">
      <c r="A26" s="281" t="s">
        <v>48</v>
      </c>
      <c r="B26" s="291"/>
      <c r="C26" s="291"/>
      <c r="D26" s="291"/>
      <c r="E26" s="292"/>
      <c r="F26" s="74">
        <f t="shared" si="0"/>
        <v>0</v>
      </c>
      <c r="G26" s="75">
        <f t="shared" si="0"/>
        <v>0</v>
      </c>
      <c r="H26" s="75">
        <f t="shared" si="0"/>
        <v>0</v>
      </c>
      <c r="I26" s="229">
        <f t="shared" si="0"/>
        <v>0</v>
      </c>
      <c r="J26" s="67" t="e">
        <f t="shared" si="19"/>
        <v>#DIV/0!</v>
      </c>
      <c r="K26" s="68" t="e">
        <f t="shared" si="20"/>
        <v>#DIV/0!</v>
      </c>
      <c r="L26" s="68" t="e">
        <f t="shared" si="21"/>
        <v>#DIV/0!</v>
      </c>
      <c r="M26" s="69" t="e">
        <f t="shared" si="22"/>
        <v>#DIV/0!</v>
      </c>
      <c r="N26" s="67" t="e">
        <f t="shared" si="15"/>
        <v>#DIV/0!</v>
      </c>
      <c r="O26" s="68" t="e">
        <f t="shared" si="16"/>
        <v>#DIV/0!</v>
      </c>
      <c r="P26" s="68" t="e">
        <f t="shared" si="17"/>
        <v>#DIV/0!</v>
      </c>
      <c r="Q26" s="69" t="e">
        <f t="shared" si="18"/>
        <v>#DIV/0!</v>
      </c>
      <c r="R26" s="67">
        <f t="shared" si="9"/>
        <v>0</v>
      </c>
      <c r="S26" s="68" t="e">
        <f t="shared" si="10"/>
        <v>#DIV/0!</v>
      </c>
      <c r="T26" s="68">
        <f t="shared" si="11"/>
        <v>0</v>
      </c>
      <c r="U26" s="68" t="e">
        <f t="shared" si="12"/>
        <v>#DIV/0!</v>
      </c>
      <c r="V26" s="68">
        <f t="shared" si="13"/>
        <v>0</v>
      </c>
      <c r="W26" s="69" t="e">
        <f t="shared" si="14"/>
        <v>#DIV/0!</v>
      </c>
    </row>
    <row r="27" spans="1:23">
      <c r="A27" s="281" t="s">
        <v>49</v>
      </c>
      <c r="B27" s="291"/>
      <c r="C27" s="291"/>
      <c r="D27" s="291"/>
      <c r="E27" s="292"/>
      <c r="F27" s="74">
        <f t="shared" si="0"/>
        <v>0</v>
      </c>
      <c r="G27" s="75">
        <f t="shared" si="0"/>
        <v>0</v>
      </c>
      <c r="H27" s="75">
        <f t="shared" si="0"/>
        <v>0</v>
      </c>
      <c r="I27" s="229">
        <f t="shared" si="0"/>
        <v>0</v>
      </c>
      <c r="J27" s="67" t="e">
        <f t="shared" si="19"/>
        <v>#DIV/0!</v>
      </c>
      <c r="K27" s="68" t="e">
        <f t="shared" si="20"/>
        <v>#DIV/0!</v>
      </c>
      <c r="L27" s="68" t="e">
        <f t="shared" si="21"/>
        <v>#DIV/0!</v>
      </c>
      <c r="M27" s="69" t="e">
        <f t="shared" si="22"/>
        <v>#DIV/0!</v>
      </c>
      <c r="N27" s="67" t="e">
        <f t="shared" si="15"/>
        <v>#DIV/0!</v>
      </c>
      <c r="O27" s="68" t="e">
        <f t="shared" si="16"/>
        <v>#DIV/0!</v>
      </c>
      <c r="P27" s="68" t="e">
        <f t="shared" si="17"/>
        <v>#DIV/0!</v>
      </c>
      <c r="Q27" s="69" t="e">
        <f t="shared" si="18"/>
        <v>#DIV/0!</v>
      </c>
      <c r="R27" s="67">
        <f t="shared" si="9"/>
        <v>0</v>
      </c>
      <c r="S27" s="68" t="e">
        <f t="shared" si="10"/>
        <v>#DIV/0!</v>
      </c>
      <c r="T27" s="68">
        <f t="shared" si="11"/>
        <v>0</v>
      </c>
      <c r="U27" s="68" t="e">
        <f t="shared" si="12"/>
        <v>#DIV/0!</v>
      </c>
      <c r="V27" s="68">
        <f t="shared" si="13"/>
        <v>0</v>
      </c>
      <c r="W27" s="69" t="e">
        <f t="shared" si="14"/>
        <v>#DIV/0!</v>
      </c>
    </row>
    <row r="28" spans="1:23">
      <c r="A28" s="281" t="s">
        <v>157</v>
      </c>
      <c r="B28" s="291"/>
      <c r="C28" s="291"/>
      <c r="D28" s="291"/>
      <c r="E28" s="292"/>
      <c r="F28" s="74">
        <f t="shared" si="0"/>
        <v>0</v>
      </c>
      <c r="G28" s="75">
        <f t="shared" si="0"/>
        <v>0</v>
      </c>
      <c r="H28" s="75">
        <f t="shared" si="0"/>
        <v>0</v>
      </c>
      <c r="I28" s="229">
        <f t="shared" si="0"/>
        <v>0</v>
      </c>
      <c r="J28" s="67" t="e">
        <f t="shared" si="19"/>
        <v>#DIV/0!</v>
      </c>
      <c r="K28" s="68" t="e">
        <f t="shared" si="20"/>
        <v>#DIV/0!</v>
      </c>
      <c r="L28" s="68" t="e">
        <f t="shared" si="21"/>
        <v>#DIV/0!</v>
      </c>
      <c r="M28" s="69" t="e">
        <f t="shared" si="22"/>
        <v>#DIV/0!</v>
      </c>
      <c r="N28" s="67" t="e">
        <f t="shared" si="15"/>
        <v>#DIV/0!</v>
      </c>
      <c r="O28" s="68" t="e">
        <f t="shared" si="16"/>
        <v>#DIV/0!</v>
      </c>
      <c r="P28" s="68" t="e">
        <f t="shared" si="17"/>
        <v>#DIV/0!</v>
      </c>
      <c r="Q28" s="69" t="e">
        <f t="shared" si="18"/>
        <v>#DIV/0!</v>
      </c>
      <c r="R28" s="67">
        <f t="shared" si="9"/>
        <v>0</v>
      </c>
      <c r="S28" s="68" t="e">
        <f t="shared" si="10"/>
        <v>#DIV/0!</v>
      </c>
      <c r="T28" s="68">
        <f t="shared" si="11"/>
        <v>0</v>
      </c>
      <c r="U28" s="68" t="e">
        <f t="shared" si="12"/>
        <v>#DIV/0!</v>
      </c>
      <c r="V28" s="68">
        <f t="shared" si="13"/>
        <v>0</v>
      </c>
      <c r="W28" s="69" t="e">
        <f t="shared" si="14"/>
        <v>#DIV/0!</v>
      </c>
    </row>
    <row r="29" spans="1:23">
      <c r="A29" s="281" t="s">
        <v>158</v>
      </c>
      <c r="B29" s="291"/>
      <c r="C29" s="291"/>
      <c r="D29" s="291"/>
      <c r="E29" s="292"/>
      <c r="F29" s="74">
        <f t="shared" si="0"/>
        <v>0</v>
      </c>
      <c r="G29" s="75">
        <f t="shared" si="0"/>
        <v>0</v>
      </c>
      <c r="H29" s="75">
        <f t="shared" si="0"/>
        <v>0</v>
      </c>
      <c r="I29" s="229">
        <f t="shared" si="0"/>
        <v>0</v>
      </c>
      <c r="J29" s="67" t="e">
        <f t="shared" si="19"/>
        <v>#DIV/0!</v>
      </c>
      <c r="K29" s="68" t="e">
        <f t="shared" si="20"/>
        <v>#DIV/0!</v>
      </c>
      <c r="L29" s="68" t="e">
        <f t="shared" si="21"/>
        <v>#DIV/0!</v>
      </c>
      <c r="M29" s="69" t="e">
        <f t="shared" si="22"/>
        <v>#DIV/0!</v>
      </c>
      <c r="N29" s="67" t="e">
        <f t="shared" si="15"/>
        <v>#DIV/0!</v>
      </c>
      <c r="O29" s="68" t="e">
        <f t="shared" si="16"/>
        <v>#DIV/0!</v>
      </c>
      <c r="P29" s="68" t="e">
        <f t="shared" si="17"/>
        <v>#DIV/0!</v>
      </c>
      <c r="Q29" s="69" t="e">
        <f t="shared" si="18"/>
        <v>#DIV/0!</v>
      </c>
      <c r="R29" s="67">
        <f t="shared" si="9"/>
        <v>0</v>
      </c>
      <c r="S29" s="68" t="e">
        <f t="shared" si="10"/>
        <v>#DIV/0!</v>
      </c>
      <c r="T29" s="68">
        <f t="shared" si="11"/>
        <v>0</v>
      </c>
      <c r="U29" s="68" t="e">
        <f t="shared" si="12"/>
        <v>#DIV/0!</v>
      </c>
      <c r="V29" s="68">
        <f t="shared" si="13"/>
        <v>0</v>
      </c>
      <c r="W29" s="69" t="e">
        <f t="shared" si="14"/>
        <v>#DIV/0!</v>
      </c>
    </row>
    <row r="30" spans="1:23">
      <c r="A30" s="281" t="s">
        <v>50</v>
      </c>
      <c r="B30" s="291"/>
      <c r="C30" s="291"/>
      <c r="D30" s="291"/>
      <c r="E30" s="292"/>
      <c r="F30" s="74">
        <f t="shared" si="0"/>
        <v>0</v>
      </c>
      <c r="G30" s="75">
        <f t="shared" si="0"/>
        <v>0</v>
      </c>
      <c r="H30" s="75">
        <f t="shared" si="0"/>
        <v>0</v>
      </c>
      <c r="I30" s="229">
        <f t="shared" si="0"/>
        <v>0</v>
      </c>
      <c r="J30" s="67" t="e">
        <f t="shared" si="19"/>
        <v>#DIV/0!</v>
      </c>
      <c r="K30" s="68" t="e">
        <f t="shared" si="20"/>
        <v>#DIV/0!</v>
      </c>
      <c r="L30" s="68" t="e">
        <f t="shared" si="21"/>
        <v>#DIV/0!</v>
      </c>
      <c r="M30" s="69" t="e">
        <f t="shared" si="22"/>
        <v>#DIV/0!</v>
      </c>
      <c r="N30" s="67" t="e">
        <f t="shared" si="15"/>
        <v>#DIV/0!</v>
      </c>
      <c r="O30" s="68" t="e">
        <f t="shared" si="16"/>
        <v>#DIV/0!</v>
      </c>
      <c r="P30" s="68" t="e">
        <f t="shared" si="17"/>
        <v>#DIV/0!</v>
      </c>
      <c r="Q30" s="69" t="e">
        <f t="shared" si="18"/>
        <v>#DIV/0!</v>
      </c>
      <c r="R30" s="67">
        <f t="shared" si="9"/>
        <v>0</v>
      </c>
      <c r="S30" s="68" t="e">
        <f t="shared" si="10"/>
        <v>#DIV/0!</v>
      </c>
      <c r="T30" s="68">
        <f t="shared" si="11"/>
        <v>0</v>
      </c>
      <c r="U30" s="68" t="e">
        <f t="shared" si="12"/>
        <v>#DIV/0!</v>
      </c>
      <c r="V30" s="68">
        <f t="shared" si="13"/>
        <v>0</v>
      </c>
      <c r="W30" s="69" t="e">
        <f t="shared" si="14"/>
        <v>#DIV/0!</v>
      </c>
    </row>
    <row r="31" spans="1:23">
      <c r="A31" s="281" t="s">
        <v>159</v>
      </c>
      <c r="B31" s="291"/>
      <c r="C31" s="291"/>
      <c r="D31" s="291"/>
      <c r="E31" s="292"/>
      <c r="F31" s="74">
        <f t="shared" si="0"/>
        <v>0</v>
      </c>
      <c r="G31" s="75">
        <f t="shared" si="0"/>
        <v>0</v>
      </c>
      <c r="H31" s="75">
        <f t="shared" si="0"/>
        <v>0</v>
      </c>
      <c r="I31" s="229">
        <f t="shared" si="0"/>
        <v>0</v>
      </c>
      <c r="J31" s="67" t="e">
        <f t="shared" si="19"/>
        <v>#DIV/0!</v>
      </c>
      <c r="K31" s="68" t="e">
        <f t="shared" si="20"/>
        <v>#DIV/0!</v>
      </c>
      <c r="L31" s="68" t="e">
        <f t="shared" si="21"/>
        <v>#DIV/0!</v>
      </c>
      <c r="M31" s="69" t="e">
        <f t="shared" si="22"/>
        <v>#DIV/0!</v>
      </c>
      <c r="N31" s="67" t="e">
        <f t="shared" si="15"/>
        <v>#DIV/0!</v>
      </c>
      <c r="O31" s="68" t="e">
        <f t="shared" si="16"/>
        <v>#DIV/0!</v>
      </c>
      <c r="P31" s="68" t="e">
        <f t="shared" si="17"/>
        <v>#DIV/0!</v>
      </c>
      <c r="Q31" s="69" t="e">
        <f t="shared" si="18"/>
        <v>#DIV/0!</v>
      </c>
      <c r="R31" s="67">
        <f t="shared" si="9"/>
        <v>0</v>
      </c>
      <c r="S31" s="68" t="e">
        <f t="shared" si="10"/>
        <v>#DIV/0!</v>
      </c>
      <c r="T31" s="68">
        <f t="shared" si="11"/>
        <v>0</v>
      </c>
      <c r="U31" s="68" t="e">
        <f t="shared" si="12"/>
        <v>#DIV/0!</v>
      </c>
      <c r="V31" s="68">
        <f t="shared" si="13"/>
        <v>0</v>
      </c>
      <c r="W31" s="69" t="e">
        <f t="shared" si="14"/>
        <v>#DIV/0!</v>
      </c>
    </row>
    <row r="32" spans="1:23">
      <c r="A32" s="281" t="s">
        <v>160</v>
      </c>
      <c r="B32" s="291"/>
      <c r="C32" s="291"/>
      <c r="D32" s="291"/>
      <c r="E32" s="292"/>
      <c r="F32" s="74">
        <f t="shared" si="0"/>
        <v>0</v>
      </c>
      <c r="G32" s="75">
        <f t="shared" si="0"/>
        <v>0</v>
      </c>
      <c r="H32" s="75">
        <f t="shared" si="0"/>
        <v>0</v>
      </c>
      <c r="I32" s="229">
        <f t="shared" si="0"/>
        <v>0</v>
      </c>
      <c r="J32" s="67" t="e">
        <f t="shared" si="19"/>
        <v>#DIV/0!</v>
      </c>
      <c r="K32" s="68" t="e">
        <f t="shared" si="20"/>
        <v>#DIV/0!</v>
      </c>
      <c r="L32" s="68" t="e">
        <f t="shared" si="21"/>
        <v>#DIV/0!</v>
      </c>
      <c r="M32" s="69" t="e">
        <f t="shared" si="22"/>
        <v>#DIV/0!</v>
      </c>
      <c r="N32" s="67" t="e">
        <f t="shared" si="15"/>
        <v>#DIV/0!</v>
      </c>
      <c r="O32" s="68" t="e">
        <f t="shared" si="16"/>
        <v>#DIV/0!</v>
      </c>
      <c r="P32" s="68" t="e">
        <f t="shared" si="17"/>
        <v>#DIV/0!</v>
      </c>
      <c r="Q32" s="69" t="e">
        <f t="shared" si="18"/>
        <v>#DIV/0!</v>
      </c>
      <c r="R32" s="67">
        <f t="shared" si="9"/>
        <v>0</v>
      </c>
      <c r="S32" s="68" t="e">
        <f t="shared" si="10"/>
        <v>#DIV/0!</v>
      </c>
      <c r="T32" s="68">
        <f t="shared" si="11"/>
        <v>0</v>
      </c>
      <c r="U32" s="68" t="e">
        <f t="shared" si="12"/>
        <v>#DIV/0!</v>
      </c>
      <c r="V32" s="68">
        <f t="shared" si="13"/>
        <v>0</v>
      </c>
      <c r="W32" s="69" t="e">
        <f t="shared" si="14"/>
        <v>#DIV/0!</v>
      </c>
    </row>
    <row r="33" spans="1:23">
      <c r="A33" s="281" t="s">
        <v>51</v>
      </c>
      <c r="B33" s="291"/>
      <c r="C33" s="291"/>
      <c r="D33" s="291"/>
      <c r="E33" s="292"/>
      <c r="F33" s="74">
        <f t="shared" si="0"/>
        <v>0</v>
      </c>
      <c r="G33" s="75">
        <f t="shared" si="0"/>
        <v>0</v>
      </c>
      <c r="H33" s="75">
        <f t="shared" si="0"/>
        <v>0</v>
      </c>
      <c r="I33" s="229">
        <f t="shared" si="0"/>
        <v>0</v>
      </c>
      <c r="J33" s="67" t="e">
        <f t="shared" si="19"/>
        <v>#DIV/0!</v>
      </c>
      <c r="K33" s="68" t="e">
        <f t="shared" si="20"/>
        <v>#DIV/0!</v>
      </c>
      <c r="L33" s="68" t="e">
        <f t="shared" si="21"/>
        <v>#DIV/0!</v>
      </c>
      <c r="M33" s="69" t="e">
        <f t="shared" si="22"/>
        <v>#DIV/0!</v>
      </c>
      <c r="N33" s="67" t="e">
        <f t="shared" si="15"/>
        <v>#DIV/0!</v>
      </c>
      <c r="O33" s="68" t="e">
        <f t="shared" si="16"/>
        <v>#DIV/0!</v>
      </c>
      <c r="P33" s="68" t="e">
        <f t="shared" si="17"/>
        <v>#DIV/0!</v>
      </c>
      <c r="Q33" s="69" t="e">
        <f t="shared" si="18"/>
        <v>#DIV/0!</v>
      </c>
      <c r="R33" s="67">
        <f t="shared" si="9"/>
        <v>0</v>
      </c>
      <c r="S33" s="68" t="e">
        <f t="shared" si="10"/>
        <v>#DIV/0!</v>
      </c>
      <c r="T33" s="68">
        <f t="shared" si="11"/>
        <v>0</v>
      </c>
      <c r="U33" s="68" t="e">
        <f t="shared" si="12"/>
        <v>#DIV/0!</v>
      </c>
      <c r="V33" s="68">
        <f t="shared" si="13"/>
        <v>0</v>
      </c>
      <c r="W33" s="69" t="e">
        <f t="shared" si="14"/>
        <v>#DIV/0!</v>
      </c>
    </row>
    <row r="34" spans="1:23">
      <c r="A34" s="281" t="s">
        <v>52</v>
      </c>
      <c r="B34" s="291"/>
      <c r="C34" s="291"/>
      <c r="D34" s="291"/>
      <c r="E34" s="292"/>
      <c r="F34" s="74">
        <f t="shared" si="0"/>
        <v>0</v>
      </c>
      <c r="G34" s="75">
        <f t="shared" si="0"/>
        <v>0</v>
      </c>
      <c r="H34" s="75">
        <f t="shared" si="0"/>
        <v>0</v>
      </c>
      <c r="I34" s="229">
        <f t="shared" si="0"/>
        <v>0</v>
      </c>
      <c r="J34" s="67" t="e">
        <f t="shared" si="19"/>
        <v>#DIV/0!</v>
      </c>
      <c r="K34" s="68" t="e">
        <f t="shared" si="20"/>
        <v>#DIV/0!</v>
      </c>
      <c r="L34" s="68" t="e">
        <f t="shared" si="21"/>
        <v>#DIV/0!</v>
      </c>
      <c r="M34" s="69" t="e">
        <f t="shared" si="22"/>
        <v>#DIV/0!</v>
      </c>
      <c r="N34" s="67" t="e">
        <f t="shared" si="15"/>
        <v>#DIV/0!</v>
      </c>
      <c r="O34" s="68" t="e">
        <f t="shared" si="16"/>
        <v>#DIV/0!</v>
      </c>
      <c r="P34" s="68" t="e">
        <f t="shared" si="17"/>
        <v>#DIV/0!</v>
      </c>
      <c r="Q34" s="69" t="e">
        <f t="shared" si="18"/>
        <v>#DIV/0!</v>
      </c>
      <c r="R34" s="67">
        <f t="shared" si="9"/>
        <v>0</v>
      </c>
      <c r="S34" s="68" t="e">
        <f t="shared" si="10"/>
        <v>#DIV/0!</v>
      </c>
      <c r="T34" s="68">
        <f t="shared" si="11"/>
        <v>0</v>
      </c>
      <c r="U34" s="68" t="e">
        <f t="shared" si="12"/>
        <v>#DIV/0!</v>
      </c>
      <c r="V34" s="68">
        <f t="shared" si="13"/>
        <v>0</v>
      </c>
      <c r="W34" s="69" t="e">
        <f t="shared" si="14"/>
        <v>#DIV/0!</v>
      </c>
    </row>
    <row r="35" spans="1:23">
      <c r="A35" s="281" t="s">
        <v>161</v>
      </c>
      <c r="B35" s="291"/>
      <c r="C35" s="291"/>
      <c r="D35" s="291"/>
      <c r="E35" s="292"/>
      <c r="F35" s="74">
        <f t="shared" si="0"/>
        <v>0</v>
      </c>
      <c r="G35" s="75">
        <f t="shared" si="0"/>
        <v>0</v>
      </c>
      <c r="H35" s="75">
        <f t="shared" si="0"/>
        <v>0</v>
      </c>
      <c r="I35" s="229">
        <f t="shared" si="0"/>
        <v>0</v>
      </c>
      <c r="J35" s="67" t="e">
        <f t="shared" si="19"/>
        <v>#DIV/0!</v>
      </c>
      <c r="K35" s="68" t="e">
        <f t="shared" si="20"/>
        <v>#DIV/0!</v>
      </c>
      <c r="L35" s="68" t="e">
        <f t="shared" si="21"/>
        <v>#DIV/0!</v>
      </c>
      <c r="M35" s="69" t="e">
        <f t="shared" si="22"/>
        <v>#DIV/0!</v>
      </c>
      <c r="N35" s="67" t="e">
        <f t="shared" si="15"/>
        <v>#DIV/0!</v>
      </c>
      <c r="O35" s="68" t="e">
        <f t="shared" si="16"/>
        <v>#DIV/0!</v>
      </c>
      <c r="P35" s="68" t="e">
        <f t="shared" si="17"/>
        <v>#DIV/0!</v>
      </c>
      <c r="Q35" s="69" t="e">
        <f t="shared" si="18"/>
        <v>#DIV/0!</v>
      </c>
      <c r="R35" s="67">
        <f t="shared" si="9"/>
        <v>0</v>
      </c>
      <c r="S35" s="68" t="e">
        <f t="shared" si="10"/>
        <v>#DIV/0!</v>
      </c>
      <c r="T35" s="68">
        <f t="shared" si="11"/>
        <v>0</v>
      </c>
      <c r="U35" s="68" t="e">
        <f t="shared" si="12"/>
        <v>#DIV/0!</v>
      </c>
      <c r="V35" s="68">
        <f t="shared" si="13"/>
        <v>0</v>
      </c>
      <c r="W35" s="69" t="e">
        <f t="shared" si="14"/>
        <v>#DIV/0!</v>
      </c>
    </row>
    <row r="36" spans="1:23" s="12" customFormat="1">
      <c r="A36" s="284" t="s">
        <v>53</v>
      </c>
      <c r="B36" s="293"/>
      <c r="C36" s="293"/>
      <c r="D36" s="293"/>
      <c r="E36" s="294"/>
      <c r="F36" s="79">
        <f t="shared" ref="F36:I65" si="23">B36/10000</f>
        <v>0</v>
      </c>
      <c r="G36" s="80">
        <f t="shared" si="23"/>
        <v>0</v>
      </c>
      <c r="H36" s="80">
        <f t="shared" si="23"/>
        <v>0</v>
      </c>
      <c r="I36" s="231">
        <f t="shared" si="23"/>
        <v>0</v>
      </c>
      <c r="J36" s="81" t="e">
        <f t="shared" si="19"/>
        <v>#DIV/0!</v>
      </c>
      <c r="K36" s="82" t="e">
        <f t="shared" si="20"/>
        <v>#DIV/0!</v>
      </c>
      <c r="L36" s="82" t="e">
        <f t="shared" si="21"/>
        <v>#DIV/0!</v>
      </c>
      <c r="M36" s="83" t="e">
        <f t="shared" si="22"/>
        <v>#DIV/0!</v>
      </c>
      <c r="N36" s="81" t="e">
        <f t="shared" si="15"/>
        <v>#DIV/0!</v>
      </c>
      <c r="O36" s="82" t="e">
        <f t="shared" si="16"/>
        <v>#DIV/0!</v>
      </c>
      <c r="P36" s="82" t="e">
        <f t="shared" si="17"/>
        <v>#DIV/0!</v>
      </c>
      <c r="Q36" s="83" t="e">
        <f t="shared" si="18"/>
        <v>#DIV/0!</v>
      </c>
      <c r="R36" s="81">
        <f t="shared" si="9"/>
        <v>0</v>
      </c>
      <c r="S36" s="82" t="e">
        <f t="shared" si="10"/>
        <v>#DIV/0!</v>
      </c>
      <c r="T36" s="82">
        <f t="shared" si="11"/>
        <v>0</v>
      </c>
      <c r="U36" s="82" t="e">
        <f t="shared" si="12"/>
        <v>#DIV/0!</v>
      </c>
      <c r="V36" s="82">
        <f t="shared" si="13"/>
        <v>0</v>
      </c>
      <c r="W36" s="83" t="e">
        <f t="shared" si="14"/>
        <v>#DIV/0!</v>
      </c>
    </row>
    <row r="37" spans="1:23" s="12" customFormat="1">
      <c r="A37" s="285" t="s">
        <v>54</v>
      </c>
      <c r="B37" s="293"/>
      <c r="C37" s="293"/>
      <c r="D37" s="293"/>
      <c r="E37" s="294"/>
      <c r="F37" s="79">
        <f t="shared" si="23"/>
        <v>0</v>
      </c>
      <c r="G37" s="80">
        <f t="shared" si="23"/>
        <v>0</v>
      </c>
      <c r="H37" s="80">
        <f t="shared" si="23"/>
        <v>0</v>
      </c>
      <c r="I37" s="231">
        <f t="shared" si="23"/>
        <v>0</v>
      </c>
      <c r="J37" s="81"/>
      <c r="K37" s="82"/>
      <c r="L37" s="82"/>
      <c r="M37" s="83"/>
      <c r="N37" s="81" t="e">
        <f t="shared" si="15"/>
        <v>#DIV/0!</v>
      </c>
      <c r="O37" s="82" t="e">
        <f t="shared" si="16"/>
        <v>#DIV/0!</v>
      </c>
      <c r="P37" s="82" t="e">
        <f t="shared" si="17"/>
        <v>#DIV/0!</v>
      </c>
      <c r="Q37" s="83" t="e">
        <f t="shared" si="18"/>
        <v>#DIV/0!</v>
      </c>
      <c r="R37" s="81">
        <f t="shared" si="9"/>
        <v>0</v>
      </c>
      <c r="S37" s="82" t="e">
        <f t="shared" si="10"/>
        <v>#DIV/0!</v>
      </c>
      <c r="T37" s="82">
        <f t="shared" si="11"/>
        <v>0</v>
      </c>
      <c r="U37" s="82" t="e">
        <f t="shared" si="12"/>
        <v>#DIV/0!</v>
      </c>
      <c r="V37" s="82">
        <f t="shared" si="13"/>
        <v>0</v>
      </c>
      <c r="W37" s="83" t="e">
        <f t="shared" si="14"/>
        <v>#DIV/0!</v>
      </c>
    </row>
    <row r="38" spans="1:23">
      <c r="A38" s="280" t="s">
        <v>1616</v>
      </c>
      <c r="B38" s="75"/>
      <c r="C38" s="75"/>
      <c r="D38" s="75"/>
      <c r="E38" s="229"/>
      <c r="F38" s="74"/>
      <c r="G38" s="75"/>
      <c r="H38" s="75"/>
      <c r="I38" s="229"/>
      <c r="J38" s="67"/>
      <c r="K38" s="68"/>
      <c r="L38" s="68"/>
      <c r="M38" s="69"/>
      <c r="N38" s="67"/>
      <c r="O38" s="68"/>
      <c r="P38" s="68"/>
      <c r="Q38" s="69"/>
      <c r="R38" s="67"/>
      <c r="S38" s="68"/>
      <c r="T38" s="68"/>
      <c r="U38" s="68"/>
      <c r="V38" s="68"/>
      <c r="W38" s="69"/>
    </row>
    <row r="39" spans="1:23">
      <c r="A39" s="281" t="s">
        <v>55</v>
      </c>
      <c r="B39" s="291"/>
      <c r="C39" s="291"/>
      <c r="D39" s="291"/>
      <c r="E39" s="292"/>
      <c r="F39" s="74">
        <f t="shared" si="23"/>
        <v>0</v>
      </c>
      <c r="G39" s="75">
        <f t="shared" si="23"/>
        <v>0</v>
      </c>
      <c r="H39" s="75">
        <f t="shared" si="23"/>
        <v>0</v>
      </c>
      <c r="I39" s="229">
        <f t="shared" si="23"/>
        <v>0</v>
      </c>
      <c r="J39" s="67" t="e">
        <f>F39/$F$54*100</f>
        <v>#DIV/0!</v>
      </c>
      <c r="K39" s="68" t="e">
        <f>G39/$G$54*100</f>
        <v>#DIV/0!</v>
      </c>
      <c r="L39" s="68" t="e">
        <f>H39/$H$54*100</f>
        <v>#DIV/0!</v>
      </c>
      <c r="M39" s="69" t="e">
        <f>I39/$I$54*100</f>
        <v>#DIV/0!</v>
      </c>
      <c r="N39" s="67" t="e">
        <f>F39/$F$68*100</f>
        <v>#DIV/0!</v>
      </c>
      <c r="O39" s="68" t="e">
        <f>G39/$G$68*100</f>
        <v>#DIV/0!</v>
      </c>
      <c r="P39" s="68" t="e">
        <f>H39/$H$68*100</f>
        <v>#DIV/0!</v>
      </c>
      <c r="Q39" s="69" t="e">
        <f>I39/$I$68*100</f>
        <v>#DIV/0!</v>
      </c>
      <c r="R39" s="67">
        <f t="shared" si="9"/>
        <v>0</v>
      </c>
      <c r="S39" s="68" t="e">
        <f t="shared" si="10"/>
        <v>#DIV/0!</v>
      </c>
      <c r="T39" s="68">
        <f t="shared" si="11"/>
        <v>0</v>
      </c>
      <c r="U39" s="68" t="e">
        <f t="shared" si="12"/>
        <v>#DIV/0!</v>
      </c>
      <c r="V39" s="68">
        <f t="shared" si="13"/>
        <v>0</v>
      </c>
      <c r="W39" s="69" t="e">
        <f t="shared" si="14"/>
        <v>#DIV/0!</v>
      </c>
    </row>
    <row r="40" spans="1:23" ht="24">
      <c r="A40" s="282" t="s">
        <v>9</v>
      </c>
      <c r="B40" s="291"/>
      <c r="C40" s="291"/>
      <c r="D40" s="291"/>
      <c r="E40" s="292"/>
      <c r="F40" s="74">
        <f t="shared" si="23"/>
        <v>0</v>
      </c>
      <c r="G40" s="75">
        <f t="shared" si="23"/>
        <v>0</v>
      </c>
      <c r="H40" s="75">
        <f t="shared" si="23"/>
        <v>0</v>
      </c>
      <c r="I40" s="229">
        <f t="shared" si="23"/>
        <v>0</v>
      </c>
      <c r="J40" s="67" t="e">
        <f t="shared" ref="J40:J54" si="24">F40/$F$54*100</f>
        <v>#DIV/0!</v>
      </c>
      <c r="K40" s="68" t="e">
        <f t="shared" ref="K40:K54" si="25">G40/$G$54*100</f>
        <v>#DIV/0!</v>
      </c>
      <c r="L40" s="68" t="e">
        <f t="shared" ref="L40:L54" si="26">H40/$H$54*100</f>
        <v>#DIV/0!</v>
      </c>
      <c r="M40" s="69" t="e">
        <f t="shared" ref="M40:M54" si="27">I40/$I$54*100</f>
        <v>#DIV/0!</v>
      </c>
      <c r="N40" s="67" t="e">
        <f t="shared" ref="N40:N54" si="28">F40/$F$68*100</f>
        <v>#DIV/0!</v>
      </c>
      <c r="O40" s="68" t="e">
        <f t="shared" ref="O40:O54" si="29">G40/$G$68*100</f>
        <v>#DIV/0!</v>
      </c>
      <c r="P40" s="68" t="e">
        <f t="shared" ref="P40:P54" si="30">H40/$H$68*100</f>
        <v>#DIV/0!</v>
      </c>
      <c r="Q40" s="69" t="e">
        <f t="shared" ref="Q40:Q54" si="31">I40/$I$68*100</f>
        <v>#DIV/0!</v>
      </c>
      <c r="R40" s="67">
        <f t="shared" si="9"/>
        <v>0</v>
      </c>
      <c r="S40" s="68" t="e">
        <f t="shared" si="10"/>
        <v>#DIV/0!</v>
      </c>
      <c r="T40" s="68">
        <f t="shared" si="11"/>
        <v>0</v>
      </c>
      <c r="U40" s="68" t="e">
        <f t="shared" si="12"/>
        <v>#DIV/0!</v>
      </c>
      <c r="V40" s="68">
        <f t="shared" si="13"/>
        <v>0</v>
      </c>
      <c r="W40" s="69" t="e">
        <f t="shared" si="14"/>
        <v>#DIV/0!</v>
      </c>
    </row>
    <row r="41" spans="1:23">
      <c r="A41" s="282" t="s">
        <v>10</v>
      </c>
      <c r="B41" s="291"/>
      <c r="C41" s="291"/>
      <c r="D41" s="291"/>
      <c r="E41" s="292"/>
      <c r="F41" s="74">
        <f t="shared" si="23"/>
        <v>0</v>
      </c>
      <c r="G41" s="75">
        <f t="shared" si="23"/>
        <v>0</v>
      </c>
      <c r="H41" s="75">
        <f t="shared" si="23"/>
        <v>0</v>
      </c>
      <c r="I41" s="229">
        <f t="shared" si="23"/>
        <v>0</v>
      </c>
      <c r="J41" s="67" t="e">
        <f t="shared" si="24"/>
        <v>#DIV/0!</v>
      </c>
      <c r="K41" s="68" t="e">
        <f t="shared" si="25"/>
        <v>#DIV/0!</v>
      </c>
      <c r="L41" s="68" t="e">
        <f t="shared" si="26"/>
        <v>#DIV/0!</v>
      </c>
      <c r="M41" s="69" t="e">
        <f t="shared" si="27"/>
        <v>#DIV/0!</v>
      </c>
      <c r="N41" s="67" t="e">
        <f t="shared" si="28"/>
        <v>#DIV/0!</v>
      </c>
      <c r="O41" s="68" t="e">
        <f t="shared" si="29"/>
        <v>#DIV/0!</v>
      </c>
      <c r="P41" s="68" t="e">
        <f t="shared" si="30"/>
        <v>#DIV/0!</v>
      </c>
      <c r="Q41" s="69" t="e">
        <f t="shared" si="31"/>
        <v>#DIV/0!</v>
      </c>
      <c r="R41" s="67">
        <f t="shared" si="9"/>
        <v>0</v>
      </c>
      <c r="S41" s="68" t="e">
        <f t="shared" si="10"/>
        <v>#DIV/0!</v>
      </c>
      <c r="T41" s="68">
        <f t="shared" si="11"/>
        <v>0</v>
      </c>
      <c r="U41" s="68" t="e">
        <f t="shared" si="12"/>
        <v>#DIV/0!</v>
      </c>
      <c r="V41" s="68">
        <f t="shared" si="13"/>
        <v>0</v>
      </c>
      <c r="W41" s="69" t="e">
        <f t="shared" si="14"/>
        <v>#DIV/0!</v>
      </c>
    </row>
    <row r="42" spans="1:23">
      <c r="A42" s="281" t="s">
        <v>162</v>
      </c>
      <c r="B42" s="291"/>
      <c r="C42" s="291"/>
      <c r="D42" s="291"/>
      <c r="E42" s="292"/>
      <c r="F42" s="74">
        <f t="shared" si="23"/>
        <v>0</v>
      </c>
      <c r="G42" s="75">
        <f t="shared" si="23"/>
        <v>0</v>
      </c>
      <c r="H42" s="75">
        <f t="shared" si="23"/>
        <v>0</v>
      </c>
      <c r="I42" s="229">
        <f t="shared" si="23"/>
        <v>0</v>
      </c>
      <c r="J42" s="67" t="e">
        <f t="shared" si="24"/>
        <v>#DIV/0!</v>
      </c>
      <c r="K42" s="68" t="e">
        <f t="shared" si="25"/>
        <v>#DIV/0!</v>
      </c>
      <c r="L42" s="68" t="e">
        <f t="shared" si="26"/>
        <v>#DIV/0!</v>
      </c>
      <c r="M42" s="69" t="e">
        <f t="shared" si="27"/>
        <v>#DIV/0!</v>
      </c>
      <c r="N42" s="67" t="e">
        <f t="shared" si="28"/>
        <v>#DIV/0!</v>
      </c>
      <c r="O42" s="68" t="e">
        <f t="shared" si="29"/>
        <v>#DIV/0!</v>
      </c>
      <c r="P42" s="68" t="e">
        <f t="shared" si="30"/>
        <v>#DIV/0!</v>
      </c>
      <c r="Q42" s="69" t="e">
        <f t="shared" si="31"/>
        <v>#DIV/0!</v>
      </c>
      <c r="R42" s="67">
        <f t="shared" si="9"/>
        <v>0</v>
      </c>
      <c r="S42" s="68" t="e">
        <f t="shared" si="10"/>
        <v>#DIV/0!</v>
      </c>
      <c r="T42" s="68">
        <f t="shared" si="11"/>
        <v>0</v>
      </c>
      <c r="U42" s="68" t="e">
        <f t="shared" si="12"/>
        <v>#DIV/0!</v>
      </c>
      <c r="V42" s="68">
        <f t="shared" si="13"/>
        <v>0</v>
      </c>
      <c r="W42" s="69" t="e">
        <f t="shared" si="14"/>
        <v>#DIV/0!</v>
      </c>
    </row>
    <row r="43" spans="1:23">
      <c r="A43" s="281" t="s">
        <v>163</v>
      </c>
      <c r="B43" s="291"/>
      <c r="C43" s="291"/>
      <c r="D43" s="291"/>
      <c r="E43" s="292"/>
      <c r="F43" s="74">
        <f t="shared" si="23"/>
        <v>0</v>
      </c>
      <c r="G43" s="75">
        <f t="shared" si="23"/>
        <v>0</v>
      </c>
      <c r="H43" s="75">
        <f t="shared" si="23"/>
        <v>0</v>
      </c>
      <c r="I43" s="229">
        <f t="shared" si="23"/>
        <v>0</v>
      </c>
      <c r="J43" s="67" t="e">
        <f t="shared" si="24"/>
        <v>#DIV/0!</v>
      </c>
      <c r="K43" s="68" t="e">
        <f t="shared" si="25"/>
        <v>#DIV/0!</v>
      </c>
      <c r="L43" s="68" t="e">
        <f t="shared" si="26"/>
        <v>#DIV/0!</v>
      </c>
      <c r="M43" s="69" t="e">
        <f t="shared" si="27"/>
        <v>#DIV/0!</v>
      </c>
      <c r="N43" s="67" t="e">
        <f t="shared" si="28"/>
        <v>#DIV/0!</v>
      </c>
      <c r="O43" s="68" t="e">
        <f t="shared" si="29"/>
        <v>#DIV/0!</v>
      </c>
      <c r="P43" s="68" t="e">
        <f t="shared" si="30"/>
        <v>#DIV/0!</v>
      </c>
      <c r="Q43" s="69" t="e">
        <f t="shared" si="31"/>
        <v>#DIV/0!</v>
      </c>
      <c r="R43" s="67">
        <f t="shared" si="9"/>
        <v>0</v>
      </c>
      <c r="S43" s="68" t="e">
        <f t="shared" si="10"/>
        <v>#DIV/0!</v>
      </c>
      <c r="T43" s="68">
        <f t="shared" si="11"/>
        <v>0</v>
      </c>
      <c r="U43" s="68" t="e">
        <f t="shared" si="12"/>
        <v>#DIV/0!</v>
      </c>
      <c r="V43" s="68">
        <f t="shared" si="13"/>
        <v>0</v>
      </c>
      <c r="W43" s="69" t="e">
        <f t="shared" si="14"/>
        <v>#DIV/0!</v>
      </c>
    </row>
    <row r="44" spans="1:23">
      <c r="A44" s="281" t="s">
        <v>56</v>
      </c>
      <c r="B44" s="291"/>
      <c r="C44" s="291"/>
      <c r="D44" s="291"/>
      <c r="E44" s="292"/>
      <c r="F44" s="74">
        <f t="shared" si="23"/>
        <v>0</v>
      </c>
      <c r="G44" s="75">
        <f t="shared" si="23"/>
        <v>0</v>
      </c>
      <c r="H44" s="75">
        <f t="shared" si="23"/>
        <v>0</v>
      </c>
      <c r="I44" s="229">
        <f t="shared" si="23"/>
        <v>0</v>
      </c>
      <c r="J44" s="67" t="e">
        <f t="shared" si="24"/>
        <v>#DIV/0!</v>
      </c>
      <c r="K44" s="68" t="e">
        <f t="shared" si="25"/>
        <v>#DIV/0!</v>
      </c>
      <c r="L44" s="68" t="e">
        <f t="shared" si="26"/>
        <v>#DIV/0!</v>
      </c>
      <c r="M44" s="69" t="e">
        <f t="shared" si="27"/>
        <v>#DIV/0!</v>
      </c>
      <c r="N44" s="67" t="e">
        <f t="shared" si="28"/>
        <v>#DIV/0!</v>
      </c>
      <c r="O44" s="68" t="e">
        <f t="shared" si="29"/>
        <v>#DIV/0!</v>
      </c>
      <c r="P44" s="68" t="e">
        <f t="shared" si="30"/>
        <v>#DIV/0!</v>
      </c>
      <c r="Q44" s="69" t="e">
        <f t="shared" si="31"/>
        <v>#DIV/0!</v>
      </c>
      <c r="R44" s="67">
        <f t="shared" si="9"/>
        <v>0</v>
      </c>
      <c r="S44" s="68" t="e">
        <f t="shared" si="10"/>
        <v>#DIV/0!</v>
      </c>
      <c r="T44" s="68">
        <f t="shared" si="11"/>
        <v>0</v>
      </c>
      <c r="U44" s="68" t="e">
        <f t="shared" si="12"/>
        <v>#DIV/0!</v>
      </c>
      <c r="V44" s="68">
        <f t="shared" si="13"/>
        <v>0</v>
      </c>
      <c r="W44" s="69" t="e">
        <f t="shared" si="14"/>
        <v>#DIV/0!</v>
      </c>
    </row>
    <row r="45" spans="1:23">
      <c r="A45" s="281" t="s">
        <v>57</v>
      </c>
      <c r="B45" s="291"/>
      <c r="C45" s="291"/>
      <c r="D45" s="291"/>
      <c r="E45" s="292"/>
      <c r="F45" s="74">
        <f t="shared" si="23"/>
        <v>0</v>
      </c>
      <c r="G45" s="75">
        <f t="shared" si="23"/>
        <v>0</v>
      </c>
      <c r="H45" s="75">
        <f t="shared" si="23"/>
        <v>0</v>
      </c>
      <c r="I45" s="229">
        <f t="shared" si="23"/>
        <v>0</v>
      </c>
      <c r="J45" s="67" t="e">
        <f t="shared" si="24"/>
        <v>#DIV/0!</v>
      </c>
      <c r="K45" s="68" t="e">
        <f t="shared" si="25"/>
        <v>#DIV/0!</v>
      </c>
      <c r="L45" s="68" t="e">
        <f t="shared" si="26"/>
        <v>#DIV/0!</v>
      </c>
      <c r="M45" s="69" t="e">
        <f t="shared" si="27"/>
        <v>#DIV/0!</v>
      </c>
      <c r="N45" s="67" t="e">
        <f t="shared" si="28"/>
        <v>#DIV/0!</v>
      </c>
      <c r="O45" s="68" t="e">
        <f t="shared" si="29"/>
        <v>#DIV/0!</v>
      </c>
      <c r="P45" s="68" t="e">
        <f t="shared" si="30"/>
        <v>#DIV/0!</v>
      </c>
      <c r="Q45" s="69" t="e">
        <f t="shared" si="31"/>
        <v>#DIV/0!</v>
      </c>
      <c r="R45" s="67">
        <f t="shared" si="9"/>
        <v>0</v>
      </c>
      <c r="S45" s="68" t="e">
        <f t="shared" si="10"/>
        <v>#DIV/0!</v>
      </c>
      <c r="T45" s="68">
        <f t="shared" si="11"/>
        <v>0</v>
      </c>
      <c r="U45" s="68" t="e">
        <f t="shared" si="12"/>
        <v>#DIV/0!</v>
      </c>
      <c r="V45" s="68">
        <f t="shared" si="13"/>
        <v>0</v>
      </c>
      <c r="W45" s="69" t="e">
        <f t="shared" si="14"/>
        <v>#DIV/0!</v>
      </c>
    </row>
    <row r="46" spans="1:23">
      <c r="A46" s="281" t="s">
        <v>58</v>
      </c>
      <c r="B46" s="291"/>
      <c r="C46" s="291"/>
      <c r="D46" s="291"/>
      <c r="E46" s="292"/>
      <c r="F46" s="74">
        <f t="shared" si="23"/>
        <v>0</v>
      </c>
      <c r="G46" s="75">
        <f t="shared" si="23"/>
        <v>0</v>
      </c>
      <c r="H46" s="75">
        <f t="shared" si="23"/>
        <v>0</v>
      </c>
      <c r="I46" s="229">
        <f t="shared" si="23"/>
        <v>0</v>
      </c>
      <c r="J46" s="67" t="e">
        <f t="shared" si="24"/>
        <v>#DIV/0!</v>
      </c>
      <c r="K46" s="68" t="e">
        <f t="shared" si="25"/>
        <v>#DIV/0!</v>
      </c>
      <c r="L46" s="68" t="e">
        <f t="shared" si="26"/>
        <v>#DIV/0!</v>
      </c>
      <c r="M46" s="69" t="e">
        <f t="shared" si="27"/>
        <v>#DIV/0!</v>
      </c>
      <c r="N46" s="67" t="e">
        <f t="shared" si="28"/>
        <v>#DIV/0!</v>
      </c>
      <c r="O46" s="68" t="e">
        <f t="shared" si="29"/>
        <v>#DIV/0!</v>
      </c>
      <c r="P46" s="68" t="e">
        <f t="shared" si="30"/>
        <v>#DIV/0!</v>
      </c>
      <c r="Q46" s="69" t="e">
        <f t="shared" si="31"/>
        <v>#DIV/0!</v>
      </c>
      <c r="R46" s="67">
        <f t="shared" si="9"/>
        <v>0</v>
      </c>
      <c r="S46" s="68" t="e">
        <f t="shared" si="10"/>
        <v>#DIV/0!</v>
      </c>
      <c r="T46" s="68">
        <f t="shared" si="11"/>
        <v>0</v>
      </c>
      <c r="U46" s="68" t="e">
        <f t="shared" si="12"/>
        <v>#DIV/0!</v>
      </c>
      <c r="V46" s="68">
        <f t="shared" si="13"/>
        <v>0</v>
      </c>
      <c r="W46" s="69" t="e">
        <f t="shared" si="14"/>
        <v>#DIV/0!</v>
      </c>
    </row>
    <row r="47" spans="1:23">
      <c r="A47" s="281" t="s">
        <v>59</v>
      </c>
      <c r="B47" s="291"/>
      <c r="C47" s="291"/>
      <c r="D47" s="291"/>
      <c r="E47" s="292"/>
      <c r="F47" s="74">
        <f t="shared" si="23"/>
        <v>0</v>
      </c>
      <c r="G47" s="75">
        <f t="shared" si="23"/>
        <v>0</v>
      </c>
      <c r="H47" s="75">
        <f t="shared" si="23"/>
        <v>0</v>
      </c>
      <c r="I47" s="229">
        <f t="shared" si="23"/>
        <v>0</v>
      </c>
      <c r="J47" s="67" t="e">
        <f t="shared" si="24"/>
        <v>#DIV/0!</v>
      </c>
      <c r="K47" s="68" t="e">
        <f t="shared" si="25"/>
        <v>#DIV/0!</v>
      </c>
      <c r="L47" s="68" t="e">
        <f t="shared" si="26"/>
        <v>#DIV/0!</v>
      </c>
      <c r="M47" s="69" t="e">
        <f t="shared" si="27"/>
        <v>#DIV/0!</v>
      </c>
      <c r="N47" s="67" t="e">
        <f t="shared" si="28"/>
        <v>#DIV/0!</v>
      </c>
      <c r="O47" s="68" t="e">
        <f t="shared" si="29"/>
        <v>#DIV/0!</v>
      </c>
      <c r="P47" s="68" t="e">
        <f t="shared" si="30"/>
        <v>#DIV/0!</v>
      </c>
      <c r="Q47" s="69" t="e">
        <f t="shared" si="31"/>
        <v>#DIV/0!</v>
      </c>
      <c r="R47" s="67">
        <f t="shared" si="9"/>
        <v>0</v>
      </c>
      <c r="S47" s="68" t="e">
        <f t="shared" si="10"/>
        <v>#DIV/0!</v>
      </c>
      <c r="T47" s="68">
        <f t="shared" si="11"/>
        <v>0</v>
      </c>
      <c r="U47" s="68" t="e">
        <f t="shared" si="12"/>
        <v>#DIV/0!</v>
      </c>
      <c r="V47" s="68">
        <f t="shared" si="13"/>
        <v>0</v>
      </c>
      <c r="W47" s="69" t="e">
        <f t="shared" si="14"/>
        <v>#DIV/0!</v>
      </c>
    </row>
    <row r="48" spans="1:23">
      <c r="A48" s="283" t="s">
        <v>164</v>
      </c>
      <c r="B48" s="140"/>
      <c r="C48" s="140"/>
      <c r="D48" s="140"/>
      <c r="E48" s="230"/>
      <c r="F48" s="139">
        <f t="shared" si="23"/>
        <v>0</v>
      </c>
      <c r="G48" s="140">
        <f t="shared" si="23"/>
        <v>0</v>
      </c>
      <c r="H48" s="140">
        <f t="shared" si="23"/>
        <v>0</v>
      </c>
      <c r="I48" s="230">
        <f t="shared" si="23"/>
        <v>0</v>
      </c>
      <c r="J48" s="141" t="e">
        <f t="shared" si="24"/>
        <v>#DIV/0!</v>
      </c>
      <c r="K48" s="142" t="e">
        <f t="shared" si="25"/>
        <v>#DIV/0!</v>
      </c>
      <c r="L48" s="142" t="e">
        <f t="shared" si="26"/>
        <v>#DIV/0!</v>
      </c>
      <c r="M48" s="143" t="e">
        <f t="shared" si="27"/>
        <v>#DIV/0!</v>
      </c>
      <c r="N48" s="141" t="e">
        <f t="shared" si="28"/>
        <v>#DIV/0!</v>
      </c>
      <c r="O48" s="142" t="e">
        <f t="shared" si="29"/>
        <v>#DIV/0!</v>
      </c>
      <c r="P48" s="142" t="e">
        <f t="shared" si="30"/>
        <v>#DIV/0!</v>
      </c>
      <c r="Q48" s="143" t="e">
        <f t="shared" si="31"/>
        <v>#DIV/0!</v>
      </c>
      <c r="R48" s="141">
        <f t="shared" si="9"/>
        <v>0</v>
      </c>
      <c r="S48" s="142" t="e">
        <f t="shared" si="10"/>
        <v>#DIV/0!</v>
      </c>
      <c r="T48" s="142">
        <f t="shared" si="11"/>
        <v>0</v>
      </c>
      <c r="U48" s="142" t="e">
        <f t="shared" si="12"/>
        <v>#DIV/0!</v>
      </c>
      <c r="V48" s="142">
        <f t="shared" si="13"/>
        <v>0</v>
      </c>
      <c r="W48" s="143" t="e">
        <f t="shared" si="14"/>
        <v>#DIV/0!</v>
      </c>
    </row>
    <row r="49" spans="1:23">
      <c r="A49" s="283" t="s">
        <v>1631</v>
      </c>
      <c r="B49" s="140"/>
      <c r="C49" s="140"/>
      <c r="D49" s="140"/>
      <c r="E49" s="230"/>
      <c r="F49" s="139">
        <f t="shared" si="23"/>
        <v>0</v>
      </c>
      <c r="G49" s="140">
        <f t="shared" si="23"/>
        <v>0</v>
      </c>
      <c r="H49" s="140">
        <f t="shared" si="23"/>
        <v>0</v>
      </c>
      <c r="I49" s="230">
        <f t="shared" si="23"/>
        <v>0</v>
      </c>
      <c r="J49" s="141" t="e">
        <f t="shared" si="24"/>
        <v>#DIV/0!</v>
      </c>
      <c r="K49" s="142" t="e">
        <f t="shared" si="25"/>
        <v>#DIV/0!</v>
      </c>
      <c r="L49" s="142" t="e">
        <f t="shared" si="26"/>
        <v>#DIV/0!</v>
      </c>
      <c r="M49" s="143" t="e">
        <f t="shared" si="27"/>
        <v>#DIV/0!</v>
      </c>
      <c r="N49" s="141" t="e">
        <f t="shared" si="28"/>
        <v>#DIV/0!</v>
      </c>
      <c r="O49" s="142" t="e">
        <f t="shared" si="29"/>
        <v>#DIV/0!</v>
      </c>
      <c r="P49" s="142" t="e">
        <f t="shared" si="30"/>
        <v>#DIV/0!</v>
      </c>
      <c r="Q49" s="143" t="e">
        <f t="shared" si="31"/>
        <v>#DIV/0!</v>
      </c>
      <c r="R49" s="141">
        <f t="shared" si="9"/>
        <v>0</v>
      </c>
      <c r="S49" s="142" t="e">
        <f t="shared" si="10"/>
        <v>#DIV/0!</v>
      </c>
      <c r="T49" s="142">
        <f t="shared" si="11"/>
        <v>0</v>
      </c>
      <c r="U49" s="142" t="e">
        <f t="shared" si="12"/>
        <v>#DIV/0!</v>
      </c>
      <c r="V49" s="142">
        <f t="shared" si="13"/>
        <v>0</v>
      </c>
      <c r="W49" s="143" t="e">
        <f t="shared" si="14"/>
        <v>#DIV/0!</v>
      </c>
    </row>
    <row r="50" spans="1:23">
      <c r="A50" s="283" t="s">
        <v>1632</v>
      </c>
      <c r="B50" s="140"/>
      <c r="C50" s="140"/>
      <c r="D50" s="140"/>
      <c r="E50" s="230"/>
      <c r="F50" s="139">
        <f t="shared" si="23"/>
        <v>0</v>
      </c>
      <c r="G50" s="140">
        <f t="shared" si="23"/>
        <v>0</v>
      </c>
      <c r="H50" s="140">
        <f t="shared" si="23"/>
        <v>0</v>
      </c>
      <c r="I50" s="230">
        <f t="shared" si="23"/>
        <v>0</v>
      </c>
      <c r="J50" s="141" t="e">
        <f t="shared" si="24"/>
        <v>#DIV/0!</v>
      </c>
      <c r="K50" s="142" t="e">
        <f t="shared" si="25"/>
        <v>#DIV/0!</v>
      </c>
      <c r="L50" s="142" t="e">
        <f t="shared" si="26"/>
        <v>#DIV/0!</v>
      </c>
      <c r="M50" s="143" t="e">
        <f t="shared" si="27"/>
        <v>#DIV/0!</v>
      </c>
      <c r="N50" s="141" t="e">
        <f t="shared" si="28"/>
        <v>#DIV/0!</v>
      </c>
      <c r="O50" s="142" t="e">
        <f t="shared" si="29"/>
        <v>#DIV/0!</v>
      </c>
      <c r="P50" s="142" t="e">
        <f t="shared" si="30"/>
        <v>#DIV/0!</v>
      </c>
      <c r="Q50" s="143" t="e">
        <f t="shared" si="31"/>
        <v>#DIV/0!</v>
      </c>
      <c r="R50" s="141">
        <f t="shared" si="9"/>
        <v>0</v>
      </c>
      <c r="S50" s="142" t="e">
        <f t="shared" si="10"/>
        <v>#DIV/0!</v>
      </c>
      <c r="T50" s="142">
        <f t="shared" si="11"/>
        <v>0</v>
      </c>
      <c r="U50" s="142" t="e">
        <f t="shared" si="12"/>
        <v>#DIV/0!</v>
      </c>
      <c r="V50" s="142">
        <f t="shared" si="13"/>
        <v>0</v>
      </c>
      <c r="W50" s="143" t="e">
        <f t="shared" si="14"/>
        <v>#DIV/0!</v>
      </c>
    </row>
    <row r="51" spans="1:23">
      <c r="A51" s="281" t="s">
        <v>165</v>
      </c>
      <c r="B51" s="291"/>
      <c r="C51" s="291"/>
      <c r="D51" s="291"/>
      <c r="E51" s="292"/>
      <c r="F51" s="74">
        <f t="shared" si="23"/>
        <v>0</v>
      </c>
      <c r="G51" s="75">
        <f t="shared" si="23"/>
        <v>0</v>
      </c>
      <c r="H51" s="75">
        <f t="shared" si="23"/>
        <v>0</v>
      </c>
      <c r="I51" s="229">
        <f t="shared" si="23"/>
        <v>0</v>
      </c>
      <c r="J51" s="67" t="e">
        <f t="shared" si="24"/>
        <v>#DIV/0!</v>
      </c>
      <c r="K51" s="68" t="e">
        <f t="shared" si="25"/>
        <v>#DIV/0!</v>
      </c>
      <c r="L51" s="68" t="e">
        <f t="shared" si="26"/>
        <v>#DIV/0!</v>
      </c>
      <c r="M51" s="69" t="e">
        <f t="shared" si="27"/>
        <v>#DIV/0!</v>
      </c>
      <c r="N51" s="67" t="e">
        <f t="shared" si="28"/>
        <v>#DIV/0!</v>
      </c>
      <c r="O51" s="68" t="e">
        <f t="shared" si="29"/>
        <v>#DIV/0!</v>
      </c>
      <c r="P51" s="68" t="e">
        <f t="shared" si="30"/>
        <v>#DIV/0!</v>
      </c>
      <c r="Q51" s="69" t="e">
        <f t="shared" si="31"/>
        <v>#DIV/0!</v>
      </c>
      <c r="R51" s="67">
        <f t="shared" si="9"/>
        <v>0</v>
      </c>
      <c r="S51" s="68" t="e">
        <f t="shared" si="10"/>
        <v>#DIV/0!</v>
      </c>
      <c r="T51" s="68">
        <f t="shared" si="11"/>
        <v>0</v>
      </c>
      <c r="U51" s="68" t="e">
        <f t="shared" si="12"/>
        <v>#DIV/0!</v>
      </c>
      <c r="V51" s="68">
        <f t="shared" si="13"/>
        <v>0</v>
      </c>
      <c r="W51" s="69" t="e">
        <f t="shared" si="14"/>
        <v>#DIV/0!</v>
      </c>
    </row>
    <row r="52" spans="1:23">
      <c r="A52" s="281" t="s">
        <v>60</v>
      </c>
      <c r="B52" s="291"/>
      <c r="C52" s="291"/>
      <c r="D52" s="291"/>
      <c r="E52" s="292"/>
      <c r="F52" s="74">
        <f t="shared" si="23"/>
        <v>0</v>
      </c>
      <c r="G52" s="75">
        <f t="shared" si="23"/>
        <v>0</v>
      </c>
      <c r="H52" s="75">
        <f t="shared" si="23"/>
        <v>0</v>
      </c>
      <c r="I52" s="229">
        <f t="shared" si="23"/>
        <v>0</v>
      </c>
      <c r="J52" s="67" t="e">
        <f t="shared" si="24"/>
        <v>#DIV/0!</v>
      </c>
      <c r="K52" s="68" t="e">
        <f t="shared" si="25"/>
        <v>#DIV/0!</v>
      </c>
      <c r="L52" s="68" t="e">
        <f t="shared" si="26"/>
        <v>#DIV/0!</v>
      </c>
      <c r="M52" s="69" t="e">
        <f t="shared" si="27"/>
        <v>#DIV/0!</v>
      </c>
      <c r="N52" s="67" t="e">
        <f t="shared" si="28"/>
        <v>#DIV/0!</v>
      </c>
      <c r="O52" s="68" t="e">
        <f t="shared" si="29"/>
        <v>#DIV/0!</v>
      </c>
      <c r="P52" s="68" t="e">
        <f t="shared" si="30"/>
        <v>#DIV/0!</v>
      </c>
      <c r="Q52" s="69" t="e">
        <f t="shared" si="31"/>
        <v>#DIV/0!</v>
      </c>
      <c r="R52" s="67">
        <f t="shared" si="9"/>
        <v>0</v>
      </c>
      <c r="S52" s="68" t="e">
        <f t="shared" si="10"/>
        <v>#DIV/0!</v>
      </c>
      <c r="T52" s="68">
        <f t="shared" si="11"/>
        <v>0</v>
      </c>
      <c r="U52" s="68" t="e">
        <f t="shared" si="12"/>
        <v>#DIV/0!</v>
      </c>
      <c r="V52" s="68">
        <f t="shared" si="13"/>
        <v>0</v>
      </c>
      <c r="W52" s="69" t="e">
        <f t="shared" si="14"/>
        <v>#DIV/0!</v>
      </c>
    </row>
    <row r="53" spans="1:23">
      <c r="A53" s="281" t="s">
        <v>166</v>
      </c>
      <c r="B53" s="291"/>
      <c r="C53" s="291"/>
      <c r="D53" s="291"/>
      <c r="E53" s="292"/>
      <c r="F53" s="74">
        <f t="shared" si="23"/>
        <v>0</v>
      </c>
      <c r="G53" s="75">
        <f t="shared" si="23"/>
        <v>0</v>
      </c>
      <c r="H53" s="75">
        <f t="shared" si="23"/>
        <v>0</v>
      </c>
      <c r="I53" s="229">
        <f t="shared" si="23"/>
        <v>0</v>
      </c>
      <c r="J53" s="67" t="e">
        <f t="shared" si="24"/>
        <v>#DIV/0!</v>
      </c>
      <c r="K53" s="68" t="e">
        <f t="shared" si="25"/>
        <v>#DIV/0!</v>
      </c>
      <c r="L53" s="68" t="e">
        <f t="shared" si="26"/>
        <v>#DIV/0!</v>
      </c>
      <c r="M53" s="69" t="e">
        <f t="shared" si="27"/>
        <v>#DIV/0!</v>
      </c>
      <c r="N53" s="67" t="e">
        <f t="shared" si="28"/>
        <v>#DIV/0!</v>
      </c>
      <c r="O53" s="68" t="e">
        <f t="shared" si="29"/>
        <v>#DIV/0!</v>
      </c>
      <c r="P53" s="68" t="e">
        <f t="shared" si="30"/>
        <v>#DIV/0!</v>
      </c>
      <c r="Q53" s="69" t="e">
        <f t="shared" si="31"/>
        <v>#DIV/0!</v>
      </c>
      <c r="R53" s="67">
        <f t="shared" si="9"/>
        <v>0</v>
      </c>
      <c r="S53" s="68" t="e">
        <f t="shared" si="10"/>
        <v>#DIV/0!</v>
      </c>
      <c r="T53" s="68">
        <f t="shared" si="11"/>
        <v>0</v>
      </c>
      <c r="U53" s="68" t="e">
        <f t="shared" si="12"/>
        <v>#DIV/0!</v>
      </c>
      <c r="V53" s="68">
        <f t="shared" si="13"/>
        <v>0</v>
      </c>
      <c r="W53" s="69" t="e">
        <f t="shared" si="14"/>
        <v>#DIV/0!</v>
      </c>
    </row>
    <row r="54" spans="1:23" s="12" customFormat="1">
      <c r="A54" s="284" t="s">
        <v>61</v>
      </c>
      <c r="B54" s="293"/>
      <c r="C54" s="293"/>
      <c r="D54" s="293"/>
      <c r="E54" s="294"/>
      <c r="F54" s="79">
        <f t="shared" si="23"/>
        <v>0</v>
      </c>
      <c r="G54" s="80">
        <f t="shared" si="23"/>
        <v>0</v>
      </c>
      <c r="H54" s="80">
        <f t="shared" si="23"/>
        <v>0</v>
      </c>
      <c r="I54" s="231">
        <f t="shared" si="23"/>
        <v>0</v>
      </c>
      <c r="J54" s="81" t="e">
        <f t="shared" si="24"/>
        <v>#DIV/0!</v>
      </c>
      <c r="K54" s="82" t="e">
        <f t="shared" si="25"/>
        <v>#DIV/0!</v>
      </c>
      <c r="L54" s="82" t="e">
        <f t="shared" si="26"/>
        <v>#DIV/0!</v>
      </c>
      <c r="M54" s="83" t="e">
        <f t="shared" si="27"/>
        <v>#DIV/0!</v>
      </c>
      <c r="N54" s="81" t="e">
        <f t="shared" si="28"/>
        <v>#DIV/0!</v>
      </c>
      <c r="O54" s="82" t="e">
        <f t="shared" si="29"/>
        <v>#DIV/0!</v>
      </c>
      <c r="P54" s="82" t="e">
        <f t="shared" si="30"/>
        <v>#DIV/0!</v>
      </c>
      <c r="Q54" s="83" t="e">
        <f t="shared" si="31"/>
        <v>#DIV/0!</v>
      </c>
      <c r="R54" s="81">
        <f t="shared" si="9"/>
        <v>0</v>
      </c>
      <c r="S54" s="82" t="e">
        <f t="shared" si="10"/>
        <v>#DIV/0!</v>
      </c>
      <c r="T54" s="82">
        <f t="shared" si="11"/>
        <v>0</v>
      </c>
      <c r="U54" s="82" t="e">
        <f t="shared" si="12"/>
        <v>#DIV/0!</v>
      </c>
      <c r="V54" s="82">
        <f t="shared" si="13"/>
        <v>0</v>
      </c>
      <c r="W54" s="83" t="e">
        <f t="shared" si="14"/>
        <v>#DIV/0!</v>
      </c>
    </row>
    <row r="55" spans="1:23">
      <c r="A55" s="280" t="s">
        <v>1617</v>
      </c>
      <c r="B55" s="75"/>
      <c r="C55" s="75"/>
      <c r="D55" s="75"/>
      <c r="E55" s="229"/>
      <c r="F55" s="74"/>
      <c r="G55" s="75"/>
      <c r="H55" s="75"/>
      <c r="I55" s="229"/>
      <c r="J55" s="67"/>
      <c r="K55" s="68"/>
      <c r="L55" s="68"/>
      <c r="M55" s="69"/>
      <c r="N55" s="67"/>
      <c r="O55" s="68"/>
      <c r="P55" s="68"/>
      <c r="Q55" s="69"/>
      <c r="R55" s="67"/>
      <c r="S55" s="68"/>
      <c r="T55" s="68"/>
      <c r="U55" s="68"/>
      <c r="V55" s="68"/>
      <c r="W55" s="69"/>
    </row>
    <row r="56" spans="1:23">
      <c r="A56" s="281" t="s">
        <v>62</v>
      </c>
      <c r="B56" s="291"/>
      <c r="C56" s="291"/>
      <c r="D56" s="291"/>
      <c r="E56" s="292"/>
      <c r="F56" s="74">
        <f t="shared" si="23"/>
        <v>0</v>
      </c>
      <c r="G56" s="75">
        <f t="shared" si="23"/>
        <v>0</v>
      </c>
      <c r="H56" s="75">
        <f t="shared" si="23"/>
        <v>0</v>
      </c>
      <c r="I56" s="229">
        <f t="shared" si="23"/>
        <v>0</v>
      </c>
      <c r="J56" s="67" t="e">
        <f>F56/$F$67*100</f>
        <v>#DIV/0!</v>
      </c>
      <c r="K56" s="68" t="e">
        <f>G56/$G$67*100</f>
        <v>#DIV/0!</v>
      </c>
      <c r="L56" s="68" t="e">
        <f>H56/$H$67*100</f>
        <v>#DIV/0!</v>
      </c>
      <c r="M56" s="69" t="e">
        <f>I56/$I$67*100</f>
        <v>#DIV/0!</v>
      </c>
      <c r="N56" s="67" t="e">
        <f t="shared" ref="N56:N68" si="32">F56/$F$68*100</f>
        <v>#DIV/0!</v>
      </c>
      <c r="O56" s="68" t="e">
        <f t="shared" ref="O56:O68" si="33">G56/$G$68*100</f>
        <v>#DIV/0!</v>
      </c>
      <c r="P56" s="68" t="e">
        <f t="shared" ref="P56:P68" si="34">H56/$H$68*100</f>
        <v>#DIV/0!</v>
      </c>
      <c r="Q56" s="69" t="e">
        <f t="shared" ref="Q56:Q68" si="35">I56/$I$68*100</f>
        <v>#DIV/0!</v>
      </c>
      <c r="R56" s="67">
        <f t="shared" si="9"/>
        <v>0</v>
      </c>
      <c r="S56" s="68" t="e">
        <f t="shared" si="10"/>
        <v>#DIV/0!</v>
      </c>
      <c r="T56" s="68">
        <f t="shared" si="11"/>
        <v>0</v>
      </c>
      <c r="U56" s="68" t="e">
        <f t="shared" si="12"/>
        <v>#DIV/0!</v>
      </c>
      <c r="V56" s="68">
        <f t="shared" si="13"/>
        <v>0</v>
      </c>
      <c r="W56" s="69" t="e">
        <f t="shared" si="14"/>
        <v>#DIV/0!</v>
      </c>
    </row>
    <row r="57" spans="1:23">
      <c r="A57" s="281" t="s">
        <v>63</v>
      </c>
      <c r="B57" s="291"/>
      <c r="C57" s="291"/>
      <c r="D57" s="291"/>
      <c r="E57" s="292"/>
      <c r="F57" s="74">
        <f t="shared" si="23"/>
        <v>0</v>
      </c>
      <c r="G57" s="75">
        <f t="shared" si="23"/>
        <v>0</v>
      </c>
      <c r="H57" s="75">
        <f t="shared" si="23"/>
        <v>0</v>
      </c>
      <c r="I57" s="229">
        <f t="shared" si="23"/>
        <v>0</v>
      </c>
      <c r="J57" s="67" t="e">
        <f t="shared" ref="J57:J67" si="36">F57/$F$67*100</f>
        <v>#DIV/0!</v>
      </c>
      <c r="K57" s="68" t="e">
        <f t="shared" ref="K57:K67" si="37">G57/$G$67*100</f>
        <v>#DIV/0!</v>
      </c>
      <c r="L57" s="68" t="e">
        <f t="shared" ref="L57:L67" si="38">H57/$H$67*100</f>
        <v>#DIV/0!</v>
      </c>
      <c r="M57" s="69" t="e">
        <f t="shared" ref="M57:M67" si="39">I57/$I$67*100</f>
        <v>#DIV/0!</v>
      </c>
      <c r="N57" s="67" t="e">
        <f t="shared" si="32"/>
        <v>#DIV/0!</v>
      </c>
      <c r="O57" s="68" t="e">
        <f t="shared" si="33"/>
        <v>#DIV/0!</v>
      </c>
      <c r="P57" s="68" t="e">
        <f t="shared" si="34"/>
        <v>#DIV/0!</v>
      </c>
      <c r="Q57" s="69" t="e">
        <f t="shared" si="35"/>
        <v>#DIV/0!</v>
      </c>
      <c r="R57" s="67">
        <f t="shared" si="9"/>
        <v>0</v>
      </c>
      <c r="S57" s="68" t="e">
        <f t="shared" si="10"/>
        <v>#DIV/0!</v>
      </c>
      <c r="T57" s="68">
        <f t="shared" si="11"/>
        <v>0</v>
      </c>
      <c r="U57" s="68" t="e">
        <f t="shared" si="12"/>
        <v>#DIV/0!</v>
      </c>
      <c r="V57" s="68">
        <f t="shared" si="13"/>
        <v>0</v>
      </c>
      <c r="W57" s="69" t="e">
        <f t="shared" si="14"/>
        <v>#DIV/0!</v>
      </c>
    </row>
    <row r="58" spans="1:23">
      <c r="A58" s="281" t="s">
        <v>1613</v>
      </c>
      <c r="B58" s="291"/>
      <c r="C58" s="291"/>
      <c r="D58" s="291"/>
      <c r="E58" s="292"/>
      <c r="F58" s="74">
        <f t="shared" si="23"/>
        <v>0</v>
      </c>
      <c r="G58" s="75">
        <f t="shared" si="23"/>
        <v>0</v>
      </c>
      <c r="H58" s="75">
        <f t="shared" si="23"/>
        <v>0</v>
      </c>
      <c r="I58" s="229">
        <f t="shared" si="23"/>
        <v>0</v>
      </c>
      <c r="J58" s="67" t="e">
        <f t="shared" si="36"/>
        <v>#DIV/0!</v>
      </c>
      <c r="K58" s="68" t="e">
        <f t="shared" si="37"/>
        <v>#DIV/0!</v>
      </c>
      <c r="L58" s="68" t="e">
        <f t="shared" si="38"/>
        <v>#DIV/0!</v>
      </c>
      <c r="M58" s="69" t="e">
        <f t="shared" si="39"/>
        <v>#DIV/0!</v>
      </c>
      <c r="N58" s="67" t="e">
        <f t="shared" si="32"/>
        <v>#DIV/0!</v>
      </c>
      <c r="O58" s="68" t="e">
        <f t="shared" si="33"/>
        <v>#DIV/0!</v>
      </c>
      <c r="P58" s="68" t="e">
        <f t="shared" si="34"/>
        <v>#DIV/0!</v>
      </c>
      <c r="Q58" s="69" t="e">
        <f t="shared" si="35"/>
        <v>#DIV/0!</v>
      </c>
      <c r="R58" s="67">
        <f t="shared" si="9"/>
        <v>0</v>
      </c>
      <c r="S58" s="68" t="e">
        <f t="shared" si="10"/>
        <v>#DIV/0!</v>
      </c>
      <c r="T58" s="68">
        <f t="shared" si="11"/>
        <v>0</v>
      </c>
      <c r="U58" s="68" t="e">
        <f t="shared" si="12"/>
        <v>#DIV/0!</v>
      </c>
      <c r="V58" s="68">
        <f t="shared" si="13"/>
        <v>0</v>
      </c>
      <c r="W58" s="69" t="e">
        <f t="shared" si="14"/>
        <v>#DIV/0!</v>
      </c>
    </row>
    <row r="59" spans="1:23">
      <c r="A59" s="281" t="s">
        <v>1633</v>
      </c>
      <c r="B59" s="291"/>
      <c r="C59" s="291"/>
      <c r="D59" s="291"/>
      <c r="E59" s="292"/>
      <c r="F59" s="74">
        <f t="shared" si="23"/>
        <v>0</v>
      </c>
      <c r="G59" s="75">
        <f t="shared" si="23"/>
        <v>0</v>
      </c>
      <c r="H59" s="75">
        <f t="shared" si="23"/>
        <v>0</v>
      </c>
      <c r="I59" s="229">
        <f t="shared" si="23"/>
        <v>0</v>
      </c>
      <c r="J59" s="67" t="e">
        <f t="shared" si="36"/>
        <v>#DIV/0!</v>
      </c>
      <c r="K59" s="68" t="e">
        <f t="shared" si="37"/>
        <v>#DIV/0!</v>
      </c>
      <c r="L59" s="68" t="e">
        <f t="shared" si="38"/>
        <v>#DIV/0!</v>
      </c>
      <c r="M59" s="69" t="e">
        <f t="shared" si="39"/>
        <v>#DIV/0!</v>
      </c>
      <c r="N59" s="67" t="e">
        <f t="shared" si="32"/>
        <v>#DIV/0!</v>
      </c>
      <c r="O59" s="68" t="e">
        <f t="shared" si="33"/>
        <v>#DIV/0!</v>
      </c>
      <c r="P59" s="68" t="e">
        <f t="shared" si="34"/>
        <v>#DIV/0!</v>
      </c>
      <c r="Q59" s="69" t="e">
        <f t="shared" si="35"/>
        <v>#DIV/0!</v>
      </c>
      <c r="R59" s="67">
        <f t="shared" si="9"/>
        <v>0</v>
      </c>
      <c r="S59" s="68" t="e">
        <f t="shared" si="10"/>
        <v>#DIV/0!</v>
      </c>
      <c r="T59" s="68">
        <f t="shared" si="11"/>
        <v>0</v>
      </c>
      <c r="U59" s="68" t="e">
        <f t="shared" si="12"/>
        <v>#DIV/0!</v>
      </c>
      <c r="V59" s="68">
        <f t="shared" si="13"/>
        <v>0</v>
      </c>
      <c r="W59" s="69" t="e">
        <f t="shared" si="14"/>
        <v>#DIV/0!</v>
      </c>
    </row>
    <row r="60" spans="1:23">
      <c r="A60" s="281" t="s">
        <v>64</v>
      </c>
      <c r="B60" s="291"/>
      <c r="C60" s="291"/>
      <c r="D60" s="291"/>
      <c r="E60" s="292"/>
      <c r="F60" s="74">
        <f t="shared" si="23"/>
        <v>0</v>
      </c>
      <c r="G60" s="75">
        <f t="shared" si="23"/>
        <v>0</v>
      </c>
      <c r="H60" s="75">
        <f t="shared" si="23"/>
        <v>0</v>
      </c>
      <c r="I60" s="229">
        <f t="shared" si="23"/>
        <v>0</v>
      </c>
      <c r="J60" s="67" t="e">
        <f t="shared" si="36"/>
        <v>#DIV/0!</v>
      </c>
      <c r="K60" s="68" t="e">
        <f t="shared" si="37"/>
        <v>#DIV/0!</v>
      </c>
      <c r="L60" s="68" t="e">
        <f t="shared" si="38"/>
        <v>#DIV/0!</v>
      </c>
      <c r="M60" s="69" t="e">
        <f t="shared" si="39"/>
        <v>#DIV/0!</v>
      </c>
      <c r="N60" s="67" t="e">
        <f t="shared" si="32"/>
        <v>#DIV/0!</v>
      </c>
      <c r="O60" s="68" t="e">
        <f t="shared" si="33"/>
        <v>#DIV/0!</v>
      </c>
      <c r="P60" s="68" t="e">
        <f t="shared" si="34"/>
        <v>#DIV/0!</v>
      </c>
      <c r="Q60" s="69" t="e">
        <f t="shared" si="35"/>
        <v>#DIV/0!</v>
      </c>
      <c r="R60" s="67">
        <f t="shared" si="9"/>
        <v>0</v>
      </c>
      <c r="S60" s="68" t="e">
        <f t="shared" si="10"/>
        <v>#DIV/0!</v>
      </c>
      <c r="T60" s="68">
        <f t="shared" si="11"/>
        <v>0</v>
      </c>
      <c r="U60" s="68" t="e">
        <f t="shared" si="12"/>
        <v>#DIV/0!</v>
      </c>
      <c r="V60" s="68">
        <f t="shared" si="13"/>
        <v>0</v>
      </c>
      <c r="W60" s="69" t="e">
        <f t="shared" si="14"/>
        <v>#DIV/0!</v>
      </c>
    </row>
    <row r="61" spans="1:23">
      <c r="A61" s="281" t="s">
        <v>169</v>
      </c>
      <c r="B61" s="291"/>
      <c r="C61" s="291"/>
      <c r="D61" s="291"/>
      <c r="E61" s="292"/>
      <c r="F61" s="74">
        <f t="shared" si="23"/>
        <v>0</v>
      </c>
      <c r="G61" s="75">
        <f t="shared" si="23"/>
        <v>0</v>
      </c>
      <c r="H61" s="75">
        <f t="shared" si="23"/>
        <v>0</v>
      </c>
      <c r="I61" s="229">
        <f t="shared" si="23"/>
        <v>0</v>
      </c>
      <c r="J61" s="67" t="e">
        <f t="shared" si="36"/>
        <v>#DIV/0!</v>
      </c>
      <c r="K61" s="68" t="e">
        <f t="shared" si="37"/>
        <v>#DIV/0!</v>
      </c>
      <c r="L61" s="68" t="e">
        <f t="shared" si="38"/>
        <v>#DIV/0!</v>
      </c>
      <c r="M61" s="69" t="e">
        <f t="shared" si="39"/>
        <v>#DIV/0!</v>
      </c>
      <c r="N61" s="67" t="e">
        <f t="shared" si="32"/>
        <v>#DIV/0!</v>
      </c>
      <c r="O61" s="68" t="e">
        <f t="shared" si="33"/>
        <v>#DIV/0!</v>
      </c>
      <c r="P61" s="68" t="e">
        <f t="shared" si="34"/>
        <v>#DIV/0!</v>
      </c>
      <c r="Q61" s="69" t="e">
        <f t="shared" si="35"/>
        <v>#DIV/0!</v>
      </c>
      <c r="R61" s="67">
        <f t="shared" si="9"/>
        <v>0</v>
      </c>
      <c r="S61" s="68" t="e">
        <f t="shared" si="10"/>
        <v>#DIV/0!</v>
      </c>
      <c r="T61" s="68">
        <f t="shared" si="11"/>
        <v>0</v>
      </c>
      <c r="U61" s="68" t="e">
        <f t="shared" si="12"/>
        <v>#DIV/0!</v>
      </c>
      <c r="V61" s="68">
        <f t="shared" si="13"/>
        <v>0</v>
      </c>
      <c r="W61" s="69" t="e">
        <f t="shared" si="14"/>
        <v>#DIV/0!</v>
      </c>
    </row>
    <row r="62" spans="1:23">
      <c r="A62" s="281" t="s">
        <v>1635</v>
      </c>
      <c r="B62" s="291"/>
      <c r="C62" s="291"/>
      <c r="D62" s="291"/>
      <c r="E62" s="292"/>
      <c r="F62" s="74">
        <f t="shared" si="23"/>
        <v>0</v>
      </c>
      <c r="G62" s="75">
        <f t="shared" si="23"/>
        <v>0</v>
      </c>
      <c r="H62" s="75">
        <f t="shared" si="23"/>
        <v>0</v>
      </c>
      <c r="I62" s="229">
        <f t="shared" si="23"/>
        <v>0</v>
      </c>
      <c r="J62" s="67" t="e">
        <f t="shared" si="36"/>
        <v>#DIV/0!</v>
      </c>
      <c r="K62" s="68" t="e">
        <f t="shared" si="37"/>
        <v>#DIV/0!</v>
      </c>
      <c r="L62" s="68" t="e">
        <f t="shared" si="38"/>
        <v>#DIV/0!</v>
      </c>
      <c r="M62" s="69" t="e">
        <f t="shared" si="39"/>
        <v>#DIV/0!</v>
      </c>
      <c r="N62" s="67" t="e">
        <f t="shared" si="32"/>
        <v>#DIV/0!</v>
      </c>
      <c r="O62" s="68" t="e">
        <f t="shared" si="33"/>
        <v>#DIV/0!</v>
      </c>
      <c r="P62" s="68" t="e">
        <f t="shared" si="34"/>
        <v>#DIV/0!</v>
      </c>
      <c r="Q62" s="69" t="e">
        <f t="shared" si="35"/>
        <v>#DIV/0!</v>
      </c>
      <c r="R62" s="67">
        <f t="shared" si="9"/>
        <v>0</v>
      </c>
      <c r="S62" s="68" t="e">
        <f t="shared" si="10"/>
        <v>#DIV/0!</v>
      </c>
      <c r="T62" s="68">
        <f t="shared" si="11"/>
        <v>0</v>
      </c>
      <c r="U62" s="68" t="e">
        <f t="shared" si="12"/>
        <v>#DIV/0!</v>
      </c>
      <c r="V62" s="68">
        <f t="shared" si="13"/>
        <v>0</v>
      </c>
      <c r="W62" s="69" t="e">
        <f t="shared" si="14"/>
        <v>#DIV/0!</v>
      </c>
    </row>
    <row r="63" spans="1:23">
      <c r="A63" s="281" t="s">
        <v>170</v>
      </c>
      <c r="B63" s="291"/>
      <c r="C63" s="291"/>
      <c r="D63" s="291"/>
      <c r="E63" s="292"/>
      <c r="F63" s="74">
        <f t="shared" si="23"/>
        <v>0</v>
      </c>
      <c r="G63" s="75">
        <f t="shared" si="23"/>
        <v>0</v>
      </c>
      <c r="H63" s="75">
        <f t="shared" si="23"/>
        <v>0</v>
      </c>
      <c r="I63" s="229">
        <f t="shared" si="23"/>
        <v>0</v>
      </c>
      <c r="J63" s="67" t="e">
        <f t="shared" si="36"/>
        <v>#DIV/0!</v>
      </c>
      <c r="K63" s="68" t="e">
        <f t="shared" si="37"/>
        <v>#DIV/0!</v>
      </c>
      <c r="L63" s="68" t="e">
        <f t="shared" si="38"/>
        <v>#DIV/0!</v>
      </c>
      <c r="M63" s="69" t="e">
        <f t="shared" si="39"/>
        <v>#DIV/0!</v>
      </c>
      <c r="N63" s="67" t="e">
        <f t="shared" si="32"/>
        <v>#DIV/0!</v>
      </c>
      <c r="O63" s="68" t="e">
        <f t="shared" si="33"/>
        <v>#DIV/0!</v>
      </c>
      <c r="P63" s="68" t="e">
        <f t="shared" si="34"/>
        <v>#DIV/0!</v>
      </c>
      <c r="Q63" s="69" t="e">
        <f t="shared" si="35"/>
        <v>#DIV/0!</v>
      </c>
      <c r="R63" s="67">
        <f t="shared" si="9"/>
        <v>0</v>
      </c>
      <c r="S63" s="68" t="e">
        <f t="shared" si="10"/>
        <v>#DIV/0!</v>
      </c>
      <c r="T63" s="68">
        <f t="shared" si="11"/>
        <v>0</v>
      </c>
      <c r="U63" s="68" t="e">
        <f t="shared" si="12"/>
        <v>#DIV/0!</v>
      </c>
      <c r="V63" s="68">
        <f t="shared" si="13"/>
        <v>0</v>
      </c>
      <c r="W63" s="69" t="e">
        <f t="shared" si="14"/>
        <v>#DIV/0!</v>
      </c>
    </row>
    <row r="64" spans="1:23">
      <c r="A64" s="281" t="s">
        <v>171</v>
      </c>
      <c r="B64" s="291"/>
      <c r="C64" s="291"/>
      <c r="D64" s="291"/>
      <c r="E64" s="292"/>
      <c r="F64" s="74">
        <f t="shared" si="23"/>
        <v>0</v>
      </c>
      <c r="G64" s="75">
        <f t="shared" si="23"/>
        <v>0</v>
      </c>
      <c r="H64" s="75">
        <f t="shared" si="23"/>
        <v>0</v>
      </c>
      <c r="I64" s="229">
        <f t="shared" si="23"/>
        <v>0</v>
      </c>
      <c r="J64" s="67" t="e">
        <f t="shared" si="36"/>
        <v>#DIV/0!</v>
      </c>
      <c r="K64" s="68" t="e">
        <f t="shared" si="37"/>
        <v>#DIV/0!</v>
      </c>
      <c r="L64" s="68" t="e">
        <f t="shared" si="38"/>
        <v>#DIV/0!</v>
      </c>
      <c r="M64" s="69" t="e">
        <f t="shared" si="39"/>
        <v>#DIV/0!</v>
      </c>
      <c r="N64" s="67" t="e">
        <f t="shared" si="32"/>
        <v>#DIV/0!</v>
      </c>
      <c r="O64" s="68" t="e">
        <f t="shared" si="33"/>
        <v>#DIV/0!</v>
      </c>
      <c r="P64" s="68" t="e">
        <f t="shared" si="34"/>
        <v>#DIV/0!</v>
      </c>
      <c r="Q64" s="69" t="e">
        <f t="shared" si="35"/>
        <v>#DIV/0!</v>
      </c>
      <c r="R64" s="67">
        <f t="shared" si="9"/>
        <v>0</v>
      </c>
      <c r="S64" s="68" t="e">
        <f t="shared" si="10"/>
        <v>#DIV/0!</v>
      </c>
      <c r="T64" s="68">
        <f t="shared" si="11"/>
        <v>0</v>
      </c>
      <c r="U64" s="68" t="e">
        <f t="shared" si="12"/>
        <v>#DIV/0!</v>
      </c>
      <c r="V64" s="68">
        <f t="shared" si="13"/>
        <v>0</v>
      </c>
      <c r="W64" s="69" t="e">
        <f t="shared" si="14"/>
        <v>#DIV/0!</v>
      </c>
    </row>
    <row r="65" spans="1:23">
      <c r="A65" s="281" t="s">
        <v>172</v>
      </c>
      <c r="B65" s="291"/>
      <c r="C65" s="291"/>
      <c r="D65" s="291"/>
      <c r="E65" s="292"/>
      <c r="F65" s="74">
        <f t="shared" si="23"/>
        <v>0</v>
      </c>
      <c r="G65" s="75">
        <f t="shared" si="23"/>
        <v>0</v>
      </c>
      <c r="H65" s="75">
        <f t="shared" si="23"/>
        <v>0</v>
      </c>
      <c r="I65" s="229">
        <f t="shared" si="23"/>
        <v>0</v>
      </c>
      <c r="J65" s="67" t="e">
        <f t="shared" si="36"/>
        <v>#DIV/0!</v>
      </c>
      <c r="K65" s="68" t="e">
        <f t="shared" si="37"/>
        <v>#DIV/0!</v>
      </c>
      <c r="L65" s="68" t="e">
        <f t="shared" si="38"/>
        <v>#DIV/0!</v>
      </c>
      <c r="M65" s="69" t="e">
        <f t="shared" si="39"/>
        <v>#DIV/0!</v>
      </c>
      <c r="N65" s="67" t="e">
        <f t="shared" si="32"/>
        <v>#DIV/0!</v>
      </c>
      <c r="O65" s="68" t="e">
        <f t="shared" si="33"/>
        <v>#DIV/0!</v>
      </c>
      <c r="P65" s="68" t="e">
        <f t="shared" si="34"/>
        <v>#DIV/0!</v>
      </c>
      <c r="Q65" s="69" t="e">
        <f t="shared" si="35"/>
        <v>#DIV/0!</v>
      </c>
      <c r="R65" s="67">
        <f t="shared" si="9"/>
        <v>0</v>
      </c>
      <c r="S65" s="68" t="e">
        <f t="shared" si="10"/>
        <v>#DIV/0!</v>
      </c>
      <c r="T65" s="68">
        <f t="shared" si="11"/>
        <v>0</v>
      </c>
      <c r="U65" s="68" t="e">
        <f t="shared" si="12"/>
        <v>#DIV/0!</v>
      </c>
      <c r="V65" s="68">
        <f t="shared" si="13"/>
        <v>0</v>
      </c>
      <c r="W65" s="69" t="e">
        <f t="shared" si="14"/>
        <v>#DIV/0!</v>
      </c>
    </row>
    <row r="66" spans="1:23">
      <c r="A66" s="281" t="s">
        <v>173</v>
      </c>
      <c r="B66" s="291"/>
      <c r="C66" s="291"/>
      <c r="D66" s="291"/>
      <c r="E66" s="292"/>
      <c r="F66" s="74">
        <f t="shared" ref="F66:I83" si="40">B66/10000</f>
        <v>0</v>
      </c>
      <c r="G66" s="75">
        <f t="shared" si="40"/>
        <v>0</v>
      </c>
      <c r="H66" s="75">
        <f t="shared" si="40"/>
        <v>0</v>
      </c>
      <c r="I66" s="229">
        <f t="shared" si="40"/>
        <v>0</v>
      </c>
      <c r="J66" s="67" t="e">
        <f t="shared" si="36"/>
        <v>#DIV/0!</v>
      </c>
      <c r="K66" s="68" t="e">
        <f t="shared" si="37"/>
        <v>#DIV/0!</v>
      </c>
      <c r="L66" s="68" t="e">
        <f t="shared" si="38"/>
        <v>#DIV/0!</v>
      </c>
      <c r="M66" s="69" t="e">
        <f t="shared" si="39"/>
        <v>#DIV/0!</v>
      </c>
      <c r="N66" s="67" t="e">
        <f t="shared" si="32"/>
        <v>#DIV/0!</v>
      </c>
      <c r="O66" s="68" t="e">
        <f t="shared" si="33"/>
        <v>#DIV/0!</v>
      </c>
      <c r="P66" s="68" t="e">
        <f t="shared" si="34"/>
        <v>#DIV/0!</v>
      </c>
      <c r="Q66" s="69" t="e">
        <f t="shared" si="35"/>
        <v>#DIV/0!</v>
      </c>
      <c r="R66" s="67">
        <f t="shared" si="9"/>
        <v>0</v>
      </c>
      <c r="S66" s="68" t="e">
        <f t="shared" si="10"/>
        <v>#DIV/0!</v>
      </c>
      <c r="T66" s="68">
        <f t="shared" si="11"/>
        <v>0</v>
      </c>
      <c r="U66" s="68" t="e">
        <f t="shared" si="12"/>
        <v>#DIV/0!</v>
      </c>
      <c r="V66" s="68">
        <f t="shared" si="13"/>
        <v>0</v>
      </c>
      <c r="W66" s="69" t="e">
        <f t="shared" si="14"/>
        <v>#DIV/0!</v>
      </c>
    </row>
    <row r="67" spans="1:23" s="12" customFormat="1">
      <c r="A67" s="284" t="s">
        <v>65</v>
      </c>
      <c r="B67" s="293"/>
      <c r="C67" s="293"/>
      <c r="D67" s="293"/>
      <c r="E67" s="294"/>
      <c r="F67" s="79">
        <f t="shared" si="40"/>
        <v>0</v>
      </c>
      <c r="G67" s="80">
        <f t="shared" si="40"/>
        <v>0</v>
      </c>
      <c r="H67" s="80">
        <f t="shared" si="40"/>
        <v>0</v>
      </c>
      <c r="I67" s="231">
        <f t="shared" si="40"/>
        <v>0</v>
      </c>
      <c r="J67" s="81" t="e">
        <f t="shared" si="36"/>
        <v>#DIV/0!</v>
      </c>
      <c r="K67" s="82" t="e">
        <f t="shared" si="37"/>
        <v>#DIV/0!</v>
      </c>
      <c r="L67" s="82" t="e">
        <f t="shared" si="38"/>
        <v>#DIV/0!</v>
      </c>
      <c r="M67" s="83" t="e">
        <f t="shared" si="39"/>
        <v>#DIV/0!</v>
      </c>
      <c r="N67" s="81" t="e">
        <f t="shared" si="32"/>
        <v>#DIV/0!</v>
      </c>
      <c r="O67" s="82" t="e">
        <f t="shared" si="33"/>
        <v>#DIV/0!</v>
      </c>
      <c r="P67" s="82" t="e">
        <f t="shared" si="34"/>
        <v>#DIV/0!</v>
      </c>
      <c r="Q67" s="83" t="e">
        <f t="shared" si="35"/>
        <v>#DIV/0!</v>
      </c>
      <c r="R67" s="81">
        <f t="shared" si="9"/>
        <v>0</v>
      </c>
      <c r="S67" s="82" t="e">
        <f t="shared" si="10"/>
        <v>#DIV/0!</v>
      </c>
      <c r="T67" s="82">
        <f t="shared" si="11"/>
        <v>0</v>
      </c>
      <c r="U67" s="82" t="e">
        <f t="shared" si="12"/>
        <v>#DIV/0!</v>
      </c>
      <c r="V67" s="82">
        <f t="shared" si="13"/>
        <v>0</v>
      </c>
      <c r="W67" s="83" t="e">
        <f t="shared" si="14"/>
        <v>#DIV/0!</v>
      </c>
    </row>
    <row r="68" spans="1:23" s="12" customFormat="1">
      <c r="A68" s="284" t="s">
        <v>66</v>
      </c>
      <c r="B68" s="293"/>
      <c r="C68" s="293"/>
      <c r="D68" s="293"/>
      <c r="E68" s="294"/>
      <c r="F68" s="79">
        <f t="shared" si="40"/>
        <v>0</v>
      </c>
      <c r="G68" s="80">
        <f t="shared" si="40"/>
        <v>0</v>
      </c>
      <c r="H68" s="80">
        <f t="shared" si="40"/>
        <v>0</v>
      </c>
      <c r="I68" s="231">
        <f t="shared" si="40"/>
        <v>0</v>
      </c>
      <c r="J68" s="87"/>
      <c r="K68" s="88"/>
      <c r="L68" s="88"/>
      <c r="M68" s="89"/>
      <c r="N68" s="81" t="e">
        <f t="shared" si="32"/>
        <v>#DIV/0!</v>
      </c>
      <c r="O68" s="82" t="e">
        <f t="shared" si="33"/>
        <v>#DIV/0!</v>
      </c>
      <c r="P68" s="82" t="e">
        <f t="shared" si="34"/>
        <v>#DIV/0!</v>
      </c>
      <c r="Q68" s="83" t="e">
        <f t="shared" si="35"/>
        <v>#DIV/0!</v>
      </c>
      <c r="R68" s="81">
        <f t="shared" si="9"/>
        <v>0</v>
      </c>
      <c r="S68" s="82" t="e">
        <f t="shared" si="10"/>
        <v>#DIV/0!</v>
      </c>
      <c r="T68" s="82">
        <f t="shared" si="11"/>
        <v>0</v>
      </c>
      <c r="U68" s="82" t="e">
        <f t="shared" si="12"/>
        <v>#DIV/0!</v>
      </c>
      <c r="V68" s="82">
        <f t="shared" si="13"/>
        <v>0</v>
      </c>
      <c r="W68" s="83" t="e">
        <f t="shared" si="14"/>
        <v>#DIV/0!</v>
      </c>
    </row>
    <row r="69" spans="1:23">
      <c r="A69" s="280" t="s">
        <v>1618</v>
      </c>
      <c r="B69" s="75"/>
      <c r="C69" s="75"/>
      <c r="D69" s="75"/>
      <c r="E69" s="229"/>
      <c r="F69" s="74"/>
      <c r="G69" s="75"/>
      <c r="H69" s="75"/>
      <c r="I69" s="229"/>
      <c r="J69" s="90"/>
      <c r="K69" s="91"/>
      <c r="L69" s="91"/>
      <c r="M69" s="92"/>
      <c r="N69" s="67"/>
      <c r="O69" s="68"/>
      <c r="P69" s="68"/>
      <c r="Q69" s="69"/>
      <c r="R69" s="67"/>
      <c r="S69" s="68"/>
      <c r="T69" s="68"/>
      <c r="U69" s="68"/>
      <c r="V69" s="68"/>
      <c r="W69" s="69"/>
    </row>
    <row r="70" spans="1:23">
      <c r="A70" s="281" t="s">
        <v>174</v>
      </c>
      <c r="B70" s="291"/>
      <c r="C70" s="291"/>
      <c r="D70" s="291"/>
      <c r="E70" s="292"/>
      <c r="F70" s="74">
        <f t="shared" si="40"/>
        <v>0</v>
      </c>
      <c r="G70" s="75">
        <f t="shared" si="40"/>
        <v>0</v>
      </c>
      <c r="H70" s="75">
        <f t="shared" si="40"/>
        <v>0</v>
      </c>
      <c r="I70" s="229">
        <f t="shared" si="40"/>
        <v>0</v>
      </c>
      <c r="J70" s="90"/>
      <c r="K70" s="91"/>
      <c r="L70" s="91"/>
      <c r="M70" s="92"/>
      <c r="N70" s="67" t="e">
        <f>F70/$F$82*100</f>
        <v>#DIV/0!</v>
      </c>
      <c r="O70" s="68" t="e">
        <f>G70/$G$82*100</f>
        <v>#DIV/0!</v>
      </c>
      <c r="P70" s="68" t="e">
        <f>H70/$H$82*100</f>
        <v>#DIV/0!</v>
      </c>
      <c r="Q70" s="69" t="e">
        <f>I70/$I$82*100</f>
        <v>#DIV/0!</v>
      </c>
      <c r="R70" s="67">
        <f t="shared" ref="R70:R83" si="41">F70-G70</f>
        <v>0</v>
      </c>
      <c r="S70" s="68" t="e">
        <f t="shared" ref="S70:S83" si="42">R70/G70*100</f>
        <v>#DIV/0!</v>
      </c>
      <c r="T70" s="68">
        <f t="shared" ref="T70:T83" si="43">G70-H70</f>
        <v>0</v>
      </c>
      <c r="U70" s="68" t="e">
        <f t="shared" si="12"/>
        <v>#DIV/0!</v>
      </c>
      <c r="V70" s="68">
        <f t="shared" ref="V70:V83" si="44">H70-I70</f>
        <v>0</v>
      </c>
      <c r="W70" s="69" t="e">
        <f t="shared" si="14"/>
        <v>#DIV/0!</v>
      </c>
    </row>
    <row r="71" spans="1:23">
      <c r="A71" s="281" t="s">
        <v>175</v>
      </c>
      <c r="B71" s="291"/>
      <c r="C71" s="291"/>
      <c r="D71" s="291"/>
      <c r="E71" s="292"/>
      <c r="F71" s="74">
        <f t="shared" si="40"/>
        <v>0</v>
      </c>
      <c r="G71" s="75">
        <f t="shared" si="40"/>
        <v>0</v>
      </c>
      <c r="H71" s="75">
        <f t="shared" si="40"/>
        <v>0</v>
      </c>
      <c r="I71" s="229">
        <f t="shared" si="40"/>
        <v>0</v>
      </c>
      <c r="J71" s="90"/>
      <c r="K71" s="91"/>
      <c r="L71" s="91"/>
      <c r="M71" s="92"/>
      <c r="N71" s="67" t="e">
        <f t="shared" ref="N71:N82" si="45">F71/$F$82*100</f>
        <v>#DIV/0!</v>
      </c>
      <c r="O71" s="68" t="e">
        <f t="shared" ref="O71:O82" si="46">G71/$G$82*100</f>
        <v>#DIV/0!</v>
      </c>
      <c r="P71" s="68" t="e">
        <f t="shared" ref="P71:P82" si="47">H71/$H$82*100</f>
        <v>#DIV/0!</v>
      </c>
      <c r="Q71" s="69" t="e">
        <f t="shared" ref="Q71:Q82" si="48">I71/$I$82*100</f>
        <v>#DIV/0!</v>
      </c>
      <c r="R71" s="67">
        <f t="shared" si="41"/>
        <v>0</v>
      </c>
      <c r="S71" s="68" t="e">
        <f t="shared" si="42"/>
        <v>#DIV/0!</v>
      </c>
      <c r="T71" s="68">
        <f t="shared" si="43"/>
        <v>0</v>
      </c>
      <c r="U71" s="68" t="e">
        <f t="shared" si="12"/>
        <v>#DIV/0!</v>
      </c>
      <c r="V71" s="68">
        <f t="shared" si="44"/>
        <v>0</v>
      </c>
      <c r="W71" s="69" t="e">
        <f t="shared" si="14"/>
        <v>#DIV/0!</v>
      </c>
    </row>
    <row r="72" spans="1:23">
      <c r="A72" s="281" t="s">
        <v>167</v>
      </c>
      <c r="B72" s="291"/>
      <c r="C72" s="291"/>
      <c r="D72" s="291"/>
      <c r="E72" s="292"/>
      <c r="F72" s="74">
        <f t="shared" si="40"/>
        <v>0</v>
      </c>
      <c r="G72" s="75">
        <f t="shared" si="40"/>
        <v>0</v>
      </c>
      <c r="H72" s="75">
        <f t="shared" si="40"/>
        <v>0</v>
      </c>
      <c r="I72" s="229">
        <f t="shared" si="40"/>
        <v>0</v>
      </c>
      <c r="J72" s="90"/>
      <c r="K72" s="91"/>
      <c r="L72" s="91"/>
      <c r="M72" s="92"/>
      <c r="N72" s="67" t="e">
        <f t="shared" si="45"/>
        <v>#DIV/0!</v>
      </c>
      <c r="O72" s="68" t="e">
        <f t="shared" si="46"/>
        <v>#DIV/0!</v>
      </c>
      <c r="P72" s="68" t="e">
        <f t="shared" si="47"/>
        <v>#DIV/0!</v>
      </c>
      <c r="Q72" s="69" t="e">
        <f t="shared" si="48"/>
        <v>#DIV/0!</v>
      </c>
      <c r="R72" s="67">
        <f t="shared" si="41"/>
        <v>0</v>
      </c>
      <c r="S72" s="68" t="e">
        <f t="shared" si="42"/>
        <v>#DIV/0!</v>
      </c>
      <c r="T72" s="68">
        <f t="shared" si="43"/>
        <v>0</v>
      </c>
      <c r="U72" s="68" t="e">
        <f t="shared" si="12"/>
        <v>#DIV/0!</v>
      </c>
      <c r="V72" s="68">
        <f t="shared" si="44"/>
        <v>0</v>
      </c>
      <c r="W72" s="69" t="e">
        <f t="shared" si="14"/>
        <v>#DIV/0!</v>
      </c>
    </row>
    <row r="73" spans="1:23">
      <c r="A73" s="281" t="s">
        <v>1634</v>
      </c>
      <c r="B73" s="291"/>
      <c r="C73" s="291"/>
      <c r="D73" s="291"/>
      <c r="E73" s="292"/>
      <c r="F73" s="74">
        <f t="shared" si="40"/>
        <v>0</v>
      </c>
      <c r="G73" s="75">
        <f t="shared" si="40"/>
        <v>0</v>
      </c>
      <c r="H73" s="75">
        <f t="shared" si="40"/>
        <v>0</v>
      </c>
      <c r="I73" s="229">
        <f t="shared" si="40"/>
        <v>0</v>
      </c>
      <c r="J73" s="90"/>
      <c r="K73" s="91"/>
      <c r="L73" s="91"/>
      <c r="M73" s="92"/>
      <c r="N73" s="67" t="e">
        <f t="shared" si="45"/>
        <v>#DIV/0!</v>
      </c>
      <c r="O73" s="68" t="e">
        <f t="shared" si="46"/>
        <v>#DIV/0!</v>
      </c>
      <c r="P73" s="68" t="e">
        <f t="shared" si="47"/>
        <v>#DIV/0!</v>
      </c>
      <c r="Q73" s="69" t="e">
        <f t="shared" si="48"/>
        <v>#DIV/0!</v>
      </c>
      <c r="R73" s="67">
        <f t="shared" si="41"/>
        <v>0</v>
      </c>
      <c r="S73" s="68" t="e">
        <f t="shared" si="42"/>
        <v>#DIV/0!</v>
      </c>
      <c r="T73" s="68">
        <f t="shared" si="43"/>
        <v>0</v>
      </c>
      <c r="U73" s="68" t="e">
        <f t="shared" si="12"/>
        <v>#DIV/0!</v>
      </c>
      <c r="V73" s="68">
        <f t="shared" si="44"/>
        <v>0</v>
      </c>
      <c r="W73" s="69" t="e">
        <f t="shared" si="14"/>
        <v>#DIV/0!</v>
      </c>
    </row>
    <row r="74" spans="1:23">
      <c r="A74" s="281" t="s">
        <v>176</v>
      </c>
      <c r="B74" s="291"/>
      <c r="C74" s="291"/>
      <c r="D74" s="291"/>
      <c r="E74" s="292"/>
      <c r="F74" s="74">
        <f t="shared" si="40"/>
        <v>0</v>
      </c>
      <c r="G74" s="75">
        <f t="shared" si="40"/>
        <v>0</v>
      </c>
      <c r="H74" s="75">
        <f t="shared" si="40"/>
        <v>0</v>
      </c>
      <c r="I74" s="229">
        <f t="shared" si="40"/>
        <v>0</v>
      </c>
      <c r="J74" s="90"/>
      <c r="K74" s="91"/>
      <c r="L74" s="91"/>
      <c r="M74" s="92"/>
      <c r="N74" s="67" t="e">
        <f t="shared" si="45"/>
        <v>#DIV/0!</v>
      </c>
      <c r="O74" s="68" t="e">
        <f t="shared" si="46"/>
        <v>#DIV/0!</v>
      </c>
      <c r="P74" s="68" t="e">
        <f t="shared" si="47"/>
        <v>#DIV/0!</v>
      </c>
      <c r="Q74" s="69" t="e">
        <f t="shared" si="48"/>
        <v>#DIV/0!</v>
      </c>
      <c r="R74" s="67">
        <f t="shared" si="41"/>
        <v>0</v>
      </c>
      <c r="S74" s="68" t="e">
        <f t="shared" si="42"/>
        <v>#DIV/0!</v>
      </c>
      <c r="T74" s="68">
        <f t="shared" si="43"/>
        <v>0</v>
      </c>
      <c r="U74" s="68" t="e">
        <f t="shared" si="12"/>
        <v>#DIV/0!</v>
      </c>
      <c r="V74" s="68">
        <f t="shared" si="44"/>
        <v>0</v>
      </c>
      <c r="W74" s="69" t="e">
        <f t="shared" si="14"/>
        <v>#DIV/0!</v>
      </c>
    </row>
    <row r="75" spans="1:23">
      <c r="A75" s="281" t="s">
        <v>177</v>
      </c>
      <c r="B75" s="291"/>
      <c r="C75" s="291"/>
      <c r="D75" s="291"/>
      <c r="E75" s="292"/>
      <c r="F75" s="74">
        <f t="shared" si="40"/>
        <v>0</v>
      </c>
      <c r="G75" s="75">
        <f t="shared" si="40"/>
        <v>0</v>
      </c>
      <c r="H75" s="75">
        <f t="shared" si="40"/>
        <v>0</v>
      </c>
      <c r="I75" s="229">
        <f t="shared" si="40"/>
        <v>0</v>
      </c>
      <c r="J75" s="90"/>
      <c r="K75" s="91"/>
      <c r="L75" s="91"/>
      <c r="M75" s="92"/>
      <c r="N75" s="67" t="e">
        <f t="shared" si="45"/>
        <v>#DIV/0!</v>
      </c>
      <c r="O75" s="68" t="e">
        <f t="shared" si="46"/>
        <v>#DIV/0!</v>
      </c>
      <c r="P75" s="68" t="e">
        <f t="shared" si="47"/>
        <v>#DIV/0!</v>
      </c>
      <c r="Q75" s="69" t="e">
        <f t="shared" si="48"/>
        <v>#DIV/0!</v>
      </c>
      <c r="R75" s="67">
        <f t="shared" si="41"/>
        <v>0</v>
      </c>
      <c r="S75" s="68" t="e">
        <f t="shared" si="42"/>
        <v>#DIV/0!</v>
      </c>
      <c r="T75" s="68">
        <f t="shared" si="43"/>
        <v>0</v>
      </c>
      <c r="U75" s="68" t="e">
        <f t="shared" si="12"/>
        <v>#DIV/0!</v>
      </c>
      <c r="V75" s="68">
        <f t="shared" si="44"/>
        <v>0</v>
      </c>
      <c r="W75" s="69" t="e">
        <f t="shared" si="14"/>
        <v>#DIV/0!</v>
      </c>
    </row>
    <row r="76" spans="1:23">
      <c r="A76" s="281" t="s">
        <v>178</v>
      </c>
      <c r="B76" s="291"/>
      <c r="C76" s="291"/>
      <c r="D76" s="291"/>
      <c r="E76" s="292"/>
      <c r="F76" s="74">
        <f t="shared" si="40"/>
        <v>0</v>
      </c>
      <c r="G76" s="75">
        <f t="shared" si="40"/>
        <v>0</v>
      </c>
      <c r="H76" s="75">
        <f t="shared" si="40"/>
        <v>0</v>
      </c>
      <c r="I76" s="229">
        <f t="shared" si="40"/>
        <v>0</v>
      </c>
      <c r="J76" s="90"/>
      <c r="K76" s="91"/>
      <c r="L76" s="91"/>
      <c r="M76" s="92"/>
      <c r="N76" s="67" t="e">
        <f t="shared" si="45"/>
        <v>#DIV/0!</v>
      </c>
      <c r="O76" s="68" t="e">
        <f t="shared" si="46"/>
        <v>#DIV/0!</v>
      </c>
      <c r="P76" s="68" t="e">
        <f t="shared" si="47"/>
        <v>#DIV/0!</v>
      </c>
      <c r="Q76" s="69" t="e">
        <f t="shared" si="48"/>
        <v>#DIV/0!</v>
      </c>
      <c r="R76" s="67">
        <f t="shared" si="41"/>
        <v>0</v>
      </c>
      <c r="S76" s="68" t="e">
        <f t="shared" si="42"/>
        <v>#DIV/0!</v>
      </c>
      <c r="T76" s="68">
        <f t="shared" si="43"/>
        <v>0</v>
      </c>
      <c r="U76" s="68" t="e">
        <f t="shared" si="12"/>
        <v>#DIV/0!</v>
      </c>
      <c r="V76" s="68">
        <f t="shared" si="44"/>
        <v>0</v>
      </c>
      <c r="W76" s="69" t="e">
        <f t="shared" si="14"/>
        <v>#DIV/0!</v>
      </c>
    </row>
    <row r="77" spans="1:23">
      <c r="A77" s="281" t="s">
        <v>179</v>
      </c>
      <c r="B77" s="291"/>
      <c r="C77" s="291"/>
      <c r="D77" s="291"/>
      <c r="E77" s="292"/>
      <c r="F77" s="74">
        <f t="shared" si="40"/>
        <v>0</v>
      </c>
      <c r="G77" s="75">
        <f t="shared" si="40"/>
        <v>0</v>
      </c>
      <c r="H77" s="75">
        <f t="shared" si="40"/>
        <v>0</v>
      </c>
      <c r="I77" s="229">
        <f t="shared" si="40"/>
        <v>0</v>
      </c>
      <c r="J77" s="90"/>
      <c r="K77" s="91"/>
      <c r="L77" s="91"/>
      <c r="M77" s="92"/>
      <c r="N77" s="67" t="e">
        <f t="shared" si="45"/>
        <v>#DIV/0!</v>
      </c>
      <c r="O77" s="68" t="e">
        <f t="shared" si="46"/>
        <v>#DIV/0!</v>
      </c>
      <c r="P77" s="68" t="e">
        <f t="shared" si="47"/>
        <v>#DIV/0!</v>
      </c>
      <c r="Q77" s="69" t="e">
        <f t="shared" si="48"/>
        <v>#DIV/0!</v>
      </c>
      <c r="R77" s="67">
        <f t="shared" si="41"/>
        <v>0</v>
      </c>
      <c r="S77" s="68" t="e">
        <f t="shared" si="42"/>
        <v>#DIV/0!</v>
      </c>
      <c r="T77" s="68">
        <f t="shared" si="43"/>
        <v>0</v>
      </c>
      <c r="U77" s="68" t="e">
        <f t="shared" si="12"/>
        <v>#DIV/0!</v>
      </c>
      <c r="V77" s="68">
        <f t="shared" si="44"/>
        <v>0</v>
      </c>
      <c r="W77" s="69" t="e">
        <f t="shared" si="14"/>
        <v>#DIV/0!</v>
      </c>
    </row>
    <row r="78" spans="1:23">
      <c r="A78" s="281" t="s">
        <v>180</v>
      </c>
      <c r="B78" s="291"/>
      <c r="C78" s="291"/>
      <c r="D78" s="291"/>
      <c r="E78" s="292"/>
      <c r="F78" s="74">
        <f t="shared" si="40"/>
        <v>0</v>
      </c>
      <c r="G78" s="75">
        <f t="shared" si="40"/>
        <v>0</v>
      </c>
      <c r="H78" s="75">
        <f t="shared" si="40"/>
        <v>0</v>
      </c>
      <c r="I78" s="229">
        <f t="shared" si="40"/>
        <v>0</v>
      </c>
      <c r="J78" s="90"/>
      <c r="K78" s="91"/>
      <c r="L78" s="91"/>
      <c r="M78" s="92"/>
      <c r="N78" s="67" t="e">
        <f t="shared" si="45"/>
        <v>#DIV/0!</v>
      </c>
      <c r="O78" s="68" t="e">
        <f t="shared" si="46"/>
        <v>#DIV/0!</v>
      </c>
      <c r="P78" s="68" t="e">
        <f t="shared" si="47"/>
        <v>#DIV/0!</v>
      </c>
      <c r="Q78" s="69" t="e">
        <f t="shared" si="48"/>
        <v>#DIV/0!</v>
      </c>
      <c r="R78" s="67">
        <f t="shared" si="41"/>
        <v>0</v>
      </c>
      <c r="S78" s="68" t="e">
        <f t="shared" si="42"/>
        <v>#DIV/0!</v>
      </c>
      <c r="T78" s="68">
        <f t="shared" si="43"/>
        <v>0</v>
      </c>
      <c r="U78" s="68" t="e">
        <f t="shared" ref="U78:U83" si="49">T78/H78*100</f>
        <v>#DIV/0!</v>
      </c>
      <c r="V78" s="68">
        <f t="shared" si="44"/>
        <v>0</v>
      </c>
      <c r="W78" s="69" t="e">
        <f t="shared" ref="W78:W83" si="50">V78/I78*100</f>
        <v>#DIV/0!</v>
      </c>
    </row>
    <row r="79" spans="1:23">
      <c r="A79" s="281" t="s">
        <v>181</v>
      </c>
      <c r="B79" s="291"/>
      <c r="C79" s="291"/>
      <c r="D79" s="291"/>
      <c r="E79" s="292"/>
      <c r="F79" s="74">
        <f t="shared" si="40"/>
        <v>0</v>
      </c>
      <c r="G79" s="75">
        <f t="shared" si="40"/>
        <v>0</v>
      </c>
      <c r="H79" s="75">
        <f t="shared" si="40"/>
        <v>0</v>
      </c>
      <c r="I79" s="229">
        <f t="shared" si="40"/>
        <v>0</v>
      </c>
      <c r="J79" s="90"/>
      <c r="K79" s="91"/>
      <c r="L79" s="91"/>
      <c r="M79" s="92"/>
      <c r="N79" s="67" t="e">
        <f t="shared" si="45"/>
        <v>#DIV/0!</v>
      </c>
      <c r="O79" s="68" t="e">
        <f t="shared" si="46"/>
        <v>#DIV/0!</v>
      </c>
      <c r="P79" s="68" t="e">
        <f t="shared" si="47"/>
        <v>#DIV/0!</v>
      </c>
      <c r="Q79" s="69" t="e">
        <f t="shared" si="48"/>
        <v>#DIV/0!</v>
      </c>
      <c r="R79" s="67">
        <f t="shared" si="41"/>
        <v>0</v>
      </c>
      <c r="S79" s="68" t="e">
        <f t="shared" si="42"/>
        <v>#DIV/0!</v>
      </c>
      <c r="T79" s="68">
        <f t="shared" si="43"/>
        <v>0</v>
      </c>
      <c r="U79" s="68" t="e">
        <f t="shared" si="49"/>
        <v>#DIV/0!</v>
      </c>
      <c r="V79" s="68">
        <f t="shared" si="44"/>
        <v>0</v>
      </c>
      <c r="W79" s="69" t="e">
        <f t="shared" si="50"/>
        <v>#DIV/0!</v>
      </c>
    </row>
    <row r="80" spans="1:23" s="12" customFormat="1">
      <c r="A80" s="284" t="s">
        <v>182</v>
      </c>
      <c r="B80" s="293"/>
      <c r="C80" s="293"/>
      <c r="D80" s="293"/>
      <c r="E80" s="294"/>
      <c r="F80" s="79">
        <f t="shared" si="40"/>
        <v>0</v>
      </c>
      <c r="G80" s="80">
        <f t="shared" si="40"/>
        <v>0</v>
      </c>
      <c r="H80" s="80">
        <f t="shared" si="40"/>
        <v>0</v>
      </c>
      <c r="I80" s="231">
        <f t="shared" si="40"/>
        <v>0</v>
      </c>
      <c r="J80" s="87"/>
      <c r="K80" s="88"/>
      <c r="L80" s="88"/>
      <c r="M80" s="89"/>
      <c r="N80" s="81" t="e">
        <f t="shared" si="45"/>
        <v>#DIV/0!</v>
      </c>
      <c r="O80" s="82" t="e">
        <f t="shared" si="46"/>
        <v>#DIV/0!</v>
      </c>
      <c r="P80" s="82" t="e">
        <f t="shared" si="47"/>
        <v>#DIV/0!</v>
      </c>
      <c r="Q80" s="83" t="e">
        <f t="shared" si="48"/>
        <v>#DIV/0!</v>
      </c>
      <c r="R80" s="81">
        <f t="shared" si="41"/>
        <v>0</v>
      </c>
      <c r="S80" s="82" t="e">
        <f t="shared" si="42"/>
        <v>#DIV/0!</v>
      </c>
      <c r="T80" s="82">
        <f t="shared" si="43"/>
        <v>0</v>
      </c>
      <c r="U80" s="82" t="e">
        <f t="shared" si="49"/>
        <v>#DIV/0!</v>
      </c>
      <c r="V80" s="82">
        <f t="shared" si="44"/>
        <v>0</v>
      </c>
      <c r="W80" s="83" t="e">
        <f t="shared" si="50"/>
        <v>#DIV/0!</v>
      </c>
    </row>
    <row r="81" spans="1:23">
      <c r="A81" s="281" t="s">
        <v>183</v>
      </c>
      <c r="B81" s="291"/>
      <c r="C81" s="291"/>
      <c r="D81" s="291"/>
      <c r="E81" s="292"/>
      <c r="F81" s="74">
        <f t="shared" si="40"/>
        <v>0</v>
      </c>
      <c r="G81" s="75">
        <f t="shared" si="40"/>
        <v>0</v>
      </c>
      <c r="H81" s="75">
        <f t="shared" si="40"/>
        <v>0</v>
      </c>
      <c r="I81" s="229">
        <f t="shared" si="40"/>
        <v>0</v>
      </c>
      <c r="J81" s="90"/>
      <c r="K81" s="91"/>
      <c r="L81" s="91"/>
      <c r="M81" s="92"/>
      <c r="N81" s="67" t="e">
        <f t="shared" si="45"/>
        <v>#DIV/0!</v>
      </c>
      <c r="O81" s="68" t="e">
        <f t="shared" si="46"/>
        <v>#DIV/0!</v>
      </c>
      <c r="P81" s="68" t="e">
        <f t="shared" si="47"/>
        <v>#DIV/0!</v>
      </c>
      <c r="Q81" s="69" t="e">
        <f t="shared" si="48"/>
        <v>#DIV/0!</v>
      </c>
      <c r="R81" s="67">
        <f t="shared" si="41"/>
        <v>0</v>
      </c>
      <c r="S81" s="68" t="e">
        <f t="shared" si="42"/>
        <v>#DIV/0!</v>
      </c>
      <c r="T81" s="68">
        <f t="shared" si="43"/>
        <v>0</v>
      </c>
      <c r="U81" s="68" t="e">
        <f t="shared" si="49"/>
        <v>#DIV/0!</v>
      </c>
      <c r="V81" s="68">
        <f t="shared" si="44"/>
        <v>0</v>
      </c>
      <c r="W81" s="69" t="e">
        <f t="shared" si="50"/>
        <v>#DIV/0!</v>
      </c>
    </row>
    <row r="82" spans="1:23" s="12" customFormat="1">
      <c r="A82" s="286" t="s">
        <v>184</v>
      </c>
      <c r="B82" s="293"/>
      <c r="C82" s="293"/>
      <c r="D82" s="293"/>
      <c r="E82" s="294"/>
      <c r="F82" s="94">
        <f t="shared" si="40"/>
        <v>0</v>
      </c>
      <c r="G82" s="95">
        <f t="shared" si="40"/>
        <v>0</v>
      </c>
      <c r="H82" s="95">
        <f t="shared" si="40"/>
        <v>0</v>
      </c>
      <c r="I82" s="231">
        <f t="shared" si="40"/>
        <v>0</v>
      </c>
      <c r="J82" s="87"/>
      <c r="K82" s="88"/>
      <c r="L82" s="88"/>
      <c r="M82" s="89"/>
      <c r="N82" s="81" t="e">
        <f t="shared" si="45"/>
        <v>#DIV/0!</v>
      </c>
      <c r="O82" s="82" t="e">
        <f t="shared" si="46"/>
        <v>#DIV/0!</v>
      </c>
      <c r="P82" s="82" t="e">
        <f t="shared" si="47"/>
        <v>#DIV/0!</v>
      </c>
      <c r="Q82" s="83" t="e">
        <f t="shared" si="48"/>
        <v>#DIV/0!</v>
      </c>
      <c r="R82" s="81">
        <f t="shared" si="41"/>
        <v>0</v>
      </c>
      <c r="S82" s="82" t="e">
        <f t="shared" si="42"/>
        <v>#DIV/0!</v>
      </c>
      <c r="T82" s="82">
        <f t="shared" si="43"/>
        <v>0</v>
      </c>
      <c r="U82" s="82" t="e">
        <f t="shared" si="49"/>
        <v>#DIV/0!</v>
      </c>
      <c r="V82" s="82">
        <f t="shared" si="44"/>
        <v>0</v>
      </c>
      <c r="W82" s="83" t="e">
        <f t="shared" si="50"/>
        <v>#DIV/0!</v>
      </c>
    </row>
    <row r="83" spans="1:23" s="12" customFormat="1" ht="16.5" thickBot="1">
      <c r="A83" s="287" t="s">
        <v>185</v>
      </c>
      <c r="B83" s="295"/>
      <c r="C83" s="295"/>
      <c r="D83" s="295"/>
      <c r="E83" s="296"/>
      <c r="F83" s="99">
        <f t="shared" si="40"/>
        <v>0</v>
      </c>
      <c r="G83" s="100">
        <f t="shared" si="40"/>
        <v>0</v>
      </c>
      <c r="H83" s="100">
        <f t="shared" si="40"/>
        <v>0</v>
      </c>
      <c r="I83" s="232">
        <f t="shared" si="40"/>
        <v>0</v>
      </c>
      <c r="J83" s="130"/>
      <c r="K83" s="131"/>
      <c r="L83" s="131"/>
      <c r="M83" s="132"/>
      <c r="N83" s="130"/>
      <c r="O83" s="131"/>
      <c r="P83" s="131"/>
      <c r="Q83" s="132"/>
      <c r="R83" s="133">
        <f t="shared" si="41"/>
        <v>0</v>
      </c>
      <c r="S83" s="134" t="e">
        <f t="shared" si="42"/>
        <v>#DIV/0!</v>
      </c>
      <c r="T83" s="134">
        <f t="shared" si="43"/>
        <v>0</v>
      </c>
      <c r="U83" s="134" t="e">
        <f t="shared" si="49"/>
        <v>#DIV/0!</v>
      </c>
      <c r="V83" s="134">
        <f t="shared" si="44"/>
        <v>0</v>
      </c>
      <c r="W83" s="135" t="e">
        <f t="shared" si="50"/>
        <v>#DIV/0!</v>
      </c>
    </row>
    <row r="84" spans="1:23">
      <c r="F84" s="13"/>
    </row>
    <row r="85" spans="1:23">
      <c r="F85" s="13"/>
      <c r="G85" s="13"/>
    </row>
    <row r="86" spans="1:23">
      <c r="A86" s="289" t="s">
        <v>1619</v>
      </c>
      <c r="B86" s="4"/>
      <c r="C86" s="5"/>
      <c r="D86" s="5"/>
      <c r="E86" s="5"/>
      <c r="F86" s="5"/>
      <c r="G86" s="5"/>
      <c r="H86" s="5"/>
      <c r="I86" s="5"/>
    </row>
    <row r="87" spans="1:23">
      <c r="A87" s="290" t="s">
        <v>1620</v>
      </c>
      <c r="B87" s="4">
        <f t="shared" ref="B87:I87" si="51">SUM(B5:B18)-B12-B13-B14-B19</f>
        <v>0</v>
      </c>
      <c r="C87" s="4">
        <f t="shared" si="51"/>
        <v>0</v>
      </c>
      <c r="D87" s="4">
        <f t="shared" si="51"/>
        <v>0</v>
      </c>
      <c r="E87" s="4">
        <f t="shared" si="51"/>
        <v>0</v>
      </c>
      <c r="F87" s="4">
        <f t="shared" si="51"/>
        <v>0</v>
      </c>
      <c r="G87" s="4">
        <f t="shared" si="51"/>
        <v>0</v>
      </c>
      <c r="H87" s="4">
        <f t="shared" si="51"/>
        <v>0</v>
      </c>
      <c r="I87" s="4">
        <f t="shared" si="51"/>
        <v>0</v>
      </c>
    </row>
    <row r="88" spans="1:23">
      <c r="A88" s="290" t="s">
        <v>1621</v>
      </c>
      <c r="B88" s="4">
        <f t="shared" ref="B88:I88" si="52">SUM(B21:B35)-B36</f>
        <v>0</v>
      </c>
      <c r="C88" s="4">
        <f t="shared" si="52"/>
        <v>0</v>
      </c>
      <c r="D88" s="4">
        <f t="shared" si="52"/>
        <v>0</v>
      </c>
      <c r="E88" s="4">
        <f t="shared" si="52"/>
        <v>0</v>
      </c>
      <c r="F88" s="4">
        <f t="shared" si="52"/>
        <v>0</v>
      </c>
      <c r="G88" s="4">
        <f t="shared" si="52"/>
        <v>0</v>
      </c>
      <c r="H88" s="4">
        <f t="shared" si="52"/>
        <v>0</v>
      </c>
      <c r="I88" s="4">
        <f t="shared" si="52"/>
        <v>0</v>
      </c>
    </row>
    <row r="89" spans="1:23">
      <c r="A89" s="290" t="s">
        <v>1622</v>
      </c>
      <c r="B89" s="4">
        <f t="shared" ref="B89:I89" si="53">B19+B36-B37</f>
        <v>0</v>
      </c>
      <c r="C89" s="4">
        <f t="shared" si="53"/>
        <v>0</v>
      </c>
      <c r="D89" s="4">
        <f t="shared" si="53"/>
        <v>0</v>
      </c>
      <c r="E89" s="4">
        <f t="shared" si="53"/>
        <v>0</v>
      </c>
      <c r="F89" s="4">
        <f t="shared" si="53"/>
        <v>0</v>
      </c>
      <c r="G89" s="4">
        <f t="shared" si="53"/>
        <v>0</v>
      </c>
      <c r="H89" s="4">
        <f t="shared" si="53"/>
        <v>0</v>
      </c>
      <c r="I89" s="4">
        <f t="shared" si="53"/>
        <v>0</v>
      </c>
    </row>
    <row r="90" spans="1:23">
      <c r="A90" s="290" t="s">
        <v>1623</v>
      </c>
      <c r="B90" s="4">
        <f>SUM(B39:B53)-B48-B49-B50-B54</f>
        <v>0</v>
      </c>
      <c r="C90" s="4">
        <f t="shared" ref="C90:I90" si="54">SUM(C39:C53)-C48-C49-C50-C54</f>
        <v>0</v>
      </c>
      <c r="D90" s="4">
        <f t="shared" si="54"/>
        <v>0</v>
      </c>
      <c r="E90" s="4">
        <f t="shared" si="54"/>
        <v>0</v>
      </c>
      <c r="F90" s="4">
        <f t="shared" si="54"/>
        <v>0</v>
      </c>
      <c r="G90" s="4">
        <f t="shared" si="54"/>
        <v>0</v>
      </c>
      <c r="H90" s="4">
        <f t="shared" si="54"/>
        <v>0</v>
      </c>
      <c r="I90" s="4">
        <f t="shared" si="54"/>
        <v>0</v>
      </c>
    </row>
    <row r="91" spans="1:23">
      <c r="A91" s="290" t="s">
        <v>1624</v>
      </c>
      <c r="B91" s="4">
        <f>SUM(B56:B66)-B58-B59-B61-B62-B67</f>
        <v>0</v>
      </c>
      <c r="C91" s="4">
        <f t="shared" ref="C91:I91" si="55">SUM(C56:C66)-C58-C59-C61-C62-C67</f>
        <v>0</v>
      </c>
      <c r="D91" s="4">
        <f t="shared" si="55"/>
        <v>0</v>
      </c>
      <c r="E91" s="4">
        <f t="shared" si="55"/>
        <v>0</v>
      </c>
      <c r="F91" s="4">
        <f t="shared" si="55"/>
        <v>0</v>
      </c>
      <c r="G91" s="4">
        <f t="shared" si="55"/>
        <v>0</v>
      </c>
      <c r="H91" s="4">
        <f t="shared" si="55"/>
        <v>0</v>
      </c>
      <c r="I91" s="4">
        <f t="shared" si="55"/>
        <v>0</v>
      </c>
    </row>
    <row r="92" spans="1:23">
      <c r="A92" s="290" t="s">
        <v>1625</v>
      </c>
      <c r="B92" s="4">
        <f>B54+B67-B68</f>
        <v>0</v>
      </c>
      <c r="C92" s="4">
        <f t="shared" ref="C92:I92" si="56">C54+C67-C68</f>
        <v>0</v>
      </c>
      <c r="D92" s="4">
        <f t="shared" si="56"/>
        <v>0</v>
      </c>
      <c r="E92" s="4">
        <f t="shared" si="56"/>
        <v>0</v>
      </c>
      <c r="F92" s="4">
        <f t="shared" si="56"/>
        <v>0</v>
      </c>
      <c r="G92" s="4">
        <f t="shared" si="56"/>
        <v>0</v>
      </c>
      <c r="H92" s="4">
        <f t="shared" si="56"/>
        <v>0</v>
      </c>
      <c r="I92" s="4">
        <f t="shared" si="56"/>
        <v>0</v>
      </c>
    </row>
    <row r="93" spans="1:23">
      <c r="A93" s="290" t="s">
        <v>1626</v>
      </c>
      <c r="B93" s="4">
        <f>SUM(B70:B79)-B72-B73-B75-B80</f>
        <v>0</v>
      </c>
      <c r="C93" s="4">
        <f t="shared" ref="C93:I93" si="57">SUM(C70:C79)-C72-C73-C75-C80</f>
        <v>0</v>
      </c>
      <c r="D93" s="4">
        <f t="shared" si="57"/>
        <v>0</v>
      </c>
      <c r="E93" s="4">
        <f t="shared" si="57"/>
        <v>0</v>
      </c>
      <c r="F93" s="4">
        <f t="shared" si="57"/>
        <v>0</v>
      </c>
      <c r="G93" s="4">
        <f t="shared" si="57"/>
        <v>0</v>
      </c>
      <c r="H93" s="4">
        <f t="shared" si="57"/>
        <v>0</v>
      </c>
      <c r="I93" s="4">
        <f t="shared" si="57"/>
        <v>0</v>
      </c>
    </row>
    <row r="94" spans="1:23">
      <c r="A94" s="290" t="s">
        <v>1627</v>
      </c>
      <c r="B94" s="4">
        <f>B80+B81-B82</f>
        <v>0</v>
      </c>
      <c r="C94" s="4">
        <f t="shared" ref="C94:I94" si="58">C80+C81-C82</f>
        <v>0</v>
      </c>
      <c r="D94" s="4">
        <f t="shared" si="58"/>
        <v>0</v>
      </c>
      <c r="E94" s="4">
        <f t="shared" si="58"/>
        <v>0</v>
      </c>
      <c r="F94" s="4">
        <f t="shared" si="58"/>
        <v>0</v>
      </c>
      <c r="G94" s="4">
        <f t="shared" si="58"/>
        <v>0</v>
      </c>
      <c r="H94" s="4">
        <f t="shared" si="58"/>
        <v>0</v>
      </c>
      <c r="I94" s="4">
        <f t="shared" si="58"/>
        <v>0</v>
      </c>
    </row>
    <row r="95" spans="1:23">
      <c r="A95" s="290" t="s">
        <v>1628</v>
      </c>
      <c r="B95" s="4">
        <f>B37-B83</f>
        <v>0</v>
      </c>
      <c r="C95" s="4">
        <f t="shared" ref="C95:I95" si="59">C37-C83</f>
        <v>0</v>
      </c>
      <c r="D95" s="4">
        <f t="shared" si="59"/>
        <v>0</v>
      </c>
      <c r="E95" s="4">
        <f t="shared" si="59"/>
        <v>0</v>
      </c>
      <c r="F95" s="4">
        <f t="shared" si="59"/>
        <v>0</v>
      </c>
      <c r="G95" s="4">
        <f t="shared" si="59"/>
        <v>0</v>
      </c>
      <c r="H95" s="4">
        <f t="shared" si="59"/>
        <v>0</v>
      </c>
      <c r="I95" s="4">
        <f t="shared" si="59"/>
        <v>0</v>
      </c>
    </row>
    <row r="99" spans="6:7">
      <c r="F99" s="14"/>
      <c r="G99" s="7"/>
    </row>
    <row r="100" spans="6:7">
      <c r="F100" s="15"/>
      <c r="G100" s="7"/>
    </row>
    <row r="101" spans="6:7">
      <c r="F101" s="14"/>
    </row>
    <row r="103" spans="6:7">
      <c r="F103" s="14"/>
    </row>
    <row r="104" spans="6:7">
      <c r="F104" s="16"/>
    </row>
    <row r="107" spans="6:7">
      <c r="F107" s="14"/>
    </row>
    <row r="108" spans="6:7">
      <c r="F108" s="7"/>
      <c r="G108" s="7"/>
    </row>
    <row r="111" spans="6:7">
      <c r="F111" s="14"/>
    </row>
    <row r="112" spans="6:7">
      <c r="F112" s="7"/>
      <c r="G112" s="7"/>
    </row>
  </sheetData>
  <mergeCells count="7">
    <mergeCell ref="V2:W2"/>
    <mergeCell ref="B2:E2"/>
    <mergeCell ref="F2:I2"/>
    <mergeCell ref="J2:M2"/>
    <mergeCell ref="N2:Q2"/>
    <mergeCell ref="R2:S2"/>
    <mergeCell ref="T2:U2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D3187-2A00-4A72-BF0A-7B68DA0F1BCC}">
  <sheetPr codeName="Sheet4">
    <tabColor theme="9" tint="0.59999389629810485"/>
  </sheetPr>
  <dimension ref="A1:Q67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2" sqref="A2"/>
      <selection pane="bottomRight" activeCell="H24" sqref="H24"/>
    </sheetView>
  </sheetViews>
  <sheetFormatPr defaultColWidth="8.75" defaultRowHeight="15.75"/>
  <cols>
    <col min="1" max="1" width="38.75" style="8" customWidth="1"/>
    <col min="2" max="2" width="21.5" style="8" customWidth="1"/>
    <col min="3" max="3" width="22" style="8" customWidth="1"/>
    <col min="4" max="4" width="24.75" style="8" customWidth="1"/>
    <col min="5" max="5" width="23.75" style="8" customWidth="1"/>
    <col min="6" max="6" width="18.125" style="8" customWidth="1"/>
    <col min="7" max="7" width="16.75" style="8" customWidth="1"/>
    <col min="8" max="8" width="17.25" style="8" customWidth="1"/>
    <col min="9" max="9" width="16.875" style="8" customWidth="1"/>
    <col min="10" max="10" width="12.875" style="8" customWidth="1"/>
    <col min="11" max="12" width="12.75" style="8" customWidth="1"/>
    <col min="13" max="13" width="12" style="8" customWidth="1"/>
    <col min="14" max="14" width="12.75" style="8" bestFit="1" customWidth="1"/>
    <col min="15" max="17" width="10.5" style="8" bestFit="1" customWidth="1"/>
    <col min="18" max="16384" width="8.75" style="8"/>
  </cols>
  <sheetData>
    <row r="1" spans="1:17" ht="16.5" thickBot="1">
      <c r="A1" s="27" t="s">
        <v>80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7">
      <c r="A2" s="29"/>
      <c r="B2" s="657" t="s">
        <v>70</v>
      </c>
      <c r="C2" s="657"/>
      <c r="D2" s="657"/>
      <c r="E2" s="653"/>
      <c r="F2" s="735" t="s">
        <v>71</v>
      </c>
      <c r="G2" s="657"/>
      <c r="H2" s="657"/>
      <c r="I2" s="653"/>
      <c r="J2" s="732" t="s">
        <v>77</v>
      </c>
      <c r="K2" s="724"/>
      <c r="L2" s="734" t="s">
        <v>76</v>
      </c>
      <c r="M2" s="724"/>
    </row>
    <row r="3" spans="1:17" ht="16.5" thickBot="1">
      <c r="A3" s="30" t="s">
        <v>81</v>
      </c>
      <c r="B3" s="31">
        <f>必填信息!B5</f>
        <v>0</v>
      </c>
      <c r="C3" s="31">
        <f>必填信息!B4</f>
        <v>0</v>
      </c>
      <c r="D3" s="31">
        <f>必填信息!B3</f>
        <v>0</v>
      </c>
      <c r="E3" s="32">
        <f>必填信息!B2</f>
        <v>0</v>
      </c>
      <c r="F3" s="33">
        <f>B3</f>
        <v>0</v>
      </c>
      <c r="G3" s="31">
        <f t="shared" ref="G3:I3" si="0">C3</f>
        <v>0</v>
      </c>
      <c r="H3" s="31">
        <f t="shared" si="0"/>
        <v>0</v>
      </c>
      <c r="I3" s="32">
        <f t="shared" si="0"/>
        <v>0</v>
      </c>
      <c r="J3" s="265" t="s">
        <v>32</v>
      </c>
      <c r="K3" s="251" t="s">
        <v>6</v>
      </c>
      <c r="L3" s="264" t="s">
        <v>32</v>
      </c>
      <c r="M3" s="251" t="s">
        <v>6</v>
      </c>
    </row>
    <row r="4" spans="1:17" s="12" customFormat="1">
      <c r="A4" s="148" t="s">
        <v>4089</v>
      </c>
      <c r="B4" s="42"/>
      <c r="C4" s="42"/>
      <c r="D4" s="42"/>
      <c r="E4" s="42"/>
      <c r="F4" s="38">
        <f t="shared" ref="F4:F48" si="1">B4/10000</f>
        <v>0</v>
      </c>
      <c r="G4" s="39">
        <f t="shared" ref="G4:G48" si="2">C4/10000</f>
        <v>0</v>
      </c>
      <c r="H4" s="39">
        <f t="shared" ref="H4:H48" si="3">D4/10000</f>
        <v>0</v>
      </c>
      <c r="I4" s="249">
        <f t="shared" ref="I4:I48" si="4">E4/10000</f>
        <v>0</v>
      </c>
      <c r="J4" s="254">
        <f t="shared" ref="J4:J48" si="5">G4-H4</f>
        <v>0</v>
      </c>
      <c r="K4" s="256" t="e">
        <f t="shared" ref="K4:K48" si="6">J4/H4*100</f>
        <v>#DIV/0!</v>
      </c>
      <c r="L4" s="255">
        <f t="shared" ref="L4:L48" si="7">H4-I4</f>
        <v>0</v>
      </c>
      <c r="M4" s="256" t="e">
        <f t="shared" ref="M4:M48" si="8">L4/I4*100</f>
        <v>#DIV/0!</v>
      </c>
    </row>
    <row r="5" spans="1:17" s="12" customFormat="1">
      <c r="A5" s="651" t="s">
        <v>4096</v>
      </c>
      <c r="B5" s="36"/>
      <c r="C5" s="36"/>
      <c r="D5" s="36"/>
      <c r="E5" s="37"/>
      <c r="F5" s="44">
        <f t="shared" ref="F5:F6" si="9">B5/10000</f>
        <v>0</v>
      </c>
      <c r="G5" s="45">
        <f t="shared" ref="G5:G6" si="10">C5/10000</f>
        <v>0</v>
      </c>
      <c r="H5" s="45">
        <f t="shared" ref="H5:H6" si="11">D5/10000</f>
        <v>0</v>
      </c>
      <c r="I5" s="66">
        <f t="shared" ref="I5:I6" si="12">E5/10000</f>
        <v>0</v>
      </c>
      <c r="J5" s="648"/>
      <c r="K5" s="649"/>
      <c r="L5" s="650"/>
      <c r="M5" s="649"/>
    </row>
    <row r="6" spans="1:17" s="12" customFormat="1">
      <c r="A6" s="651" t="s">
        <v>4088</v>
      </c>
      <c r="B6" s="36"/>
      <c r="C6" s="36"/>
      <c r="D6" s="36"/>
      <c r="E6" s="37"/>
      <c r="F6" s="44">
        <f t="shared" si="9"/>
        <v>0</v>
      </c>
      <c r="G6" s="45">
        <f t="shared" si="10"/>
        <v>0</v>
      </c>
      <c r="H6" s="45">
        <f t="shared" si="11"/>
        <v>0</v>
      </c>
      <c r="I6" s="66">
        <f t="shared" si="12"/>
        <v>0</v>
      </c>
      <c r="J6" s="648"/>
      <c r="K6" s="649"/>
      <c r="L6" s="650"/>
      <c r="M6" s="649"/>
    </row>
    <row r="7" spans="1:17">
      <c r="A7" s="145" t="s">
        <v>4090</v>
      </c>
      <c r="B7" s="42"/>
      <c r="C7" s="42"/>
      <c r="D7" s="42"/>
      <c r="E7" s="43"/>
      <c r="F7" s="44">
        <f t="shared" si="1"/>
        <v>0</v>
      </c>
      <c r="G7" s="45">
        <f t="shared" si="2"/>
        <v>0</v>
      </c>
      <c r="H7" s="45">
        <f t="shared" si="3"/>
        <v>0</v>
      </c>
      <c r="I7" s="66">
        <f t="shared" si="4"/>
        <v>0</v>
      </c>
      <c r="J7" s="257">
        <f t="shared" si="5"/>
        <v>0</v>
      </c>
      <c r="K7" s="258" t="e">
        <f t="shared" si="6"/>
        <v>#DIV/0!</v>
      </c>
      <c r="L7" s="253">
        <f t="shared" si="7"/>
        <v>0</v>
      </c>
      <c r="M7" s="258" t="e">
        <f t="shared" si="8"/>
        <v>#DIV/0!</v>
      </c>
    </row>
    <row r="8" spans="1:17">
      <c r="A8" s="41" t="s">
        <v>4091</v>
      </c>
      <c r="B8" s="42"/>
      <c r="C8" s="42"/>
      <c r="D8" s="42"/>
      <c r="E8" s="43"/>
      <c r="F8" s="44">
        <f t="shared" si="1"/>
        <v>0</v>
      </c>
      <c r="G8" s="45">
        <f t="shared" si="2"/>
        <v>0</v>
      </c>
      <c r="H8" s="45">
        <f t="shared" si="3"/>
        <v>0</v>
      </c>
      <c r="I8" s="66">
        <f t="shared" si="4"/>
        <v>0</v>
      </c>
      <c r="J8" s="257">
        <f t="shared" si="5"/>
        <v>0</v>
      </c>
      <c r="K8" s="258" t="e">
        <f t="shared" si="6"/>
        <v>#DIV/0!</v>
      </c>
      <c r="L8" s="253">
        <f t="shared" si="7"/>
        <v>0</v>
      </c>
      <c r="M8" s="258" t="e">
        <f t="shared" si="8"/>
        <v>#DIV/0!</v>
      </c>
    </row>
    <row r="9" spans="1:17">
      <c r="A9" s="41" t="s">
        <v>4092</v>
      </c>
      <c r="B9" s="42"/>
      <c r="C9" s="42"/>
      <c r="D9" s="42"/>
      <c r="E9" s="43"/>
      <c r="F9" s="44">
        <f t="shared" si="1"/>
        <v>0</v>
      </c>
      <c r="G9" s="45">
        <f t="shared" si="2"/>
        <v>0</v>
      </c>
      <c r="H9" s="45">
        <f t="shared" si="3"/>
        <v>0</v>
      </c>
      <c r="I9" s="66">
        <f t="shared" si="4"/>
        <v>0</v>
      </c>
      <c r="J9" s="257">
        <f t="shared" si="5"/>
        <v>0</v>
      </c>
      <c r="K9" s="258" t="e">
        <f t="shared" si="6"/>
        <v>#DIV/0!</v>
      </c>
      <c r="L9" s="253">
        <f t="shared" si="7"/>
        <v>0</v>
      </c>
      <c r="M9" s="258" t="e">
        <f t="shared" si="8"/>
        <v>#DIV/0!</v>
      </c>
    </row>
    <row r="10" spans="1:17">
      <c r="A10" s="41" t="s">
        <v>4093</v>
      </c>
      <c r="B10" s="42"/>
      <c r="C10" s="42"/>
      <c r="D10" s="42"/>
      <c r="E10" s="43"/>
      <c r="F10" s="44">
        <f t="shared" si="1"/>
        <v>0</v>
      </c>
      <c r="G10" s="45">
        <f t="shared" si="2"/>
        <v>0</v>
      </c>
      <c r="H10" s="45">
        <f t="shared" si="3"/>
        <v>0</v>
      </c>
      <c r="I10" s="66">
        <f t="shared" si="4"/>
        <v>0</v>
      </c>
      <c r="J10" s="257">
        <f t="shared" si="5"/>
        <v>0</v>
      </c>
      <c r="K10" s="258" t="e">
        <f t="shared" si="6"/>
        <v>#DIV/0!</v>
      </c>
      <c r="L10" s="253">
        <f t="shared" si="7"/>
        <v>0</v>
      </c>
      <c r="M10" s="258" t="e">
        <f t="shared" si="8"/>
        <v>#DIV/0!</v>
      </c>
    </row>
    <row r="11" spans="1:17">
      <c r="A11" s="41" t="s">
        <v>4094</v>
      </c>
      <c r="B11" s="42"/>
      <c r="C11" s="42"/>
      <c r="D11" s="42"/>
      <c r="E11" s="43"/>
      <c r="F11" s="44">
        <f t="shared" si="1"/>
        <v>0</v>
      </c>
      <c r="G11" s="45">
        <f t="shared" si="2"/>
        <v>0</v>
      </c>
      <c r="H11" s="45">
        <f t="shared" si="3"/>
        <v>0</v>
      </c>
      <c r="I11" s="66">
        <f t="shared" si="4"/>
        <v>0</v>
      </c>
      <c r="J11" s="257">
        <f t="shared" si="5"/>
        <v>0</v>
      </c>
      <c r="K11" s="258" t="e">
        <f t="shared" si="6"/>
        <v>#DIV/0!</v>
      </c>
      <c r="L11" s="253">
        <f t="shared" si="7"/>
        <v>0</v>
      </c>
      <c r="M11" s="258" t="e">
        <f t="shared" si="8"/>
        <v>#DIV/0!</v>
      </c>
    </row>
    <row r="12" spans="1:17">
      <c r="A12" s="41" t="s">
        <v>4095</v>
      </c>
      <c r="B12" s="42"/>
      <c r="C12" s="42"/>
      <c r="D12" s="42"/>
      <c r="E12" s="43"/>
      <c r="F12" s="44">
        <f t="shared" si="1"/>
        <v>0</v>
      </c>
      <c r="G12" s="45">
        <f t="shared" si="2"/>
        <v>0</v>
      </c>
      <c r="H12" s="45">
        <f>D12/10000</f>
        <v>0</v>
      </c>
      <c r="I12" s="66">
        <f t="shared" si="4"/>
        <v>0</v>
      </c>
      <c r="J12" s="257">
        <f t="shared" si="5"/>
        <v>0</v>
      </c>
      <c r="K12" s="258" t="e">
        <f t="shared" si="6"/>
        <v>#DIV/0!</v>
      </c>
      <c r="L12" s="253">
        <f t="shared" si="7"/>
        <v>0</v>
      </c>
      <c r="M12" s="258" t="e">
        <f t="shared" si="8"/>
        <v>#DIV/0!</v>
      </c>
    </row>
    <row r="13" spans="1:17">
      <c r="A13" s="41" t="s">
        <v>4097</v>
      </c>
      <c r="B13" s="42"/>
      <c r="C13" s="42"/>
      <c r="D13" s="42"/>
      <c r="E13" s="43"/>
      <c r="F13" s="44">
        <f t="shared" si="1"/>
        <v>0</v>
      </c>
      <c r="G13" s="45">
        <f t="shared" si="2"/>
        <v>0</v>
      </c>
      <c r="H13" s="45">
        <f t="shared" si="3"/>
        <v>0</v>
      </c>
      <c r="I13" s="66">
        <f t="shared" si="4"/>
        <v>0</v>
      </c>
      <c r="J13" s="257">
        <f t="shared" si="5"/>
        <v>0</v>
      </c>
      <c r="K13" s="258" t="e">
        <f t="shared" si="6"/>
        <v>#DIV/0!</v>
      </c>
      <c r="L13" s="253">
        <f t="shared" si="7"/>
        <v>0</v>
      </c>
      <c r="M13" s="258" t="e">
        <f t="shared" si="8"/>
        <v>#DIV/0!</v>
      </c>
      <c r="N13" s="7"/>
      <c r="O13" s="7"/>
      <c r="P13" s="7"/>
      <c r="Q13" s="7"/>
    </row>
    <row r="14" spans="1:17">
      <c r="A14" s="41" t="s">
        <v>4098</v>
      </c>
      <c r="B14" s="42"/>
      <c r="C14" s="42"/>
      <c r="D14" s="42"/>
      <c r="E14" s="43"/>
      <c r="F14" s="44">
        <f t="shared" si="1"/>
        <v>0</v>
      </c>
      <c r="G14" s="45">
        <f t="shared" si="2"/>
        <v>0</v>
      </c>
      <c r="H14" s="45">
        <f t="shared" si="3"/>
        <v>0</v>
      </c>
      <c r="I14" s="66">
        <f t="shared" si="4"/>
        <v>0</v>
      </c>
      <c r="J14" s="257">
        <f t="shared" si="5"/>
        <v>0</v>
      </c>
      <c r="K14" s="258" t="e">
        <f t="shared" si="6"/>
        <v>#DIV/0!</v>
      </c>
      <c r="L14" s="253">
        <f t="shared" si="7"/>
        <v>0</v>
      </c>
      <c r="M14" s="258" t="e">
        <f t="shared" si="8"/>
        <v>#DIV/0!</v>
      </c>
    </row>
    <row r="15" spans="1:17">
      <c r="A15" s="41" t="s">
        <v>195</v>
      </c>
      <c r="B15" s="42"/>
      <c r="C15" s="42"/>
      <c r="D15" s="42"/>
      <c r="E15" s="43"/>
      <c r="F15" s="44">
        <f t="shared" si="1"/>
        <v>0</v>
      </c>
      <c r="G15" s="45">
        <f t="shared" si="2"/>
        <v>0</v>
      </c>
      <c r="H15" s="45">
        <f t="shared" si="3"/>
        <v>0</v>
      </c>
      <c r="I15" s="66">
        <f t="shared" si="4"/>
        <v>0</v>
      </c>
      <c r="J15" s="257">
        <f t="shared" si="5"/>
        <v>0</v>
      </c>
      <c r="K15" s="258" t="e">
        <f t="shared" si="6"/>
        <v>#DIV/0!</v>
      </c>
      <c r="L15" s="253">
        <f t="shared" si="7"/>
        <v>0</v>
      </c>
      <c r="M15" s="258" t="e">
        <f t="shared" si="8"/>
        <v>#DIV/0!</v>
      </c>
      <c r="N15" s="7"/>
      <c r="O15" s="7"/>
      <c r="P15" s="7"/>
      <c r="Q15" s="7"/>
    </row>
    <row r="16" spans="1:17">
      <c r="A16" s="41" t="s">
        <v>196</v>
      </c>
      <c r="B16" s="42"/>
      <c r="C16" s="42"/>
      <c r="D16" s="42"/>
      <c r="E16" s="43"/>
      <c r="F16" s="44">
        <f t="shared" si="1"/>
        <v>0</v>
      </c>
      <c r="G16" s="45">
        <f t="shared" si="2"/>
        <v>0</v>
      </c>
      <c r="H16" s="45">
        <f t="shared" si="3"/>
        <v>0</v>
      </c>
      <c r="I16" s="66">
        <f t="shared" si="4"/>
        <v>0</v>
      </c>
      <c r="J16" s="257">
        <f t="shared" si="5"/>
        <v>0</v>
      </c>
      <c r="K16" s="258" t="e">
        <f t="shared" si="6"/>
        <v>#DIV/0!</v>
      </c>
      <c r="L16" s="253">
        <f t="shared" si="7"/>
        <v>0</v>
      </c>
      <c r="M16" s="258" t="e">
        <f t="shared" si="8"/>
        <v>#DIV/0!</v>
      </c>
    </row>
    <row r="17" spans="1:17">
      <c r="A17" s="146" t="s">
        <v>197</v>
      </c>
      <c r="B17" s="42"/>
      <c r="C17" s="42"/>
      <c r="D17" s="42"/>
      <c r="E17" s="43"/>
      <c r="F17" s="44">
        <f t="shared" si="1"/>
        <v>0</v>
      </c>
      <c r="G17" s="45">
        <f t="shared" si="2"/>
        <v>0</v>
      </c>
      <c r="H17" s="45">
        <f t="shared" si="3"/>
        <v>0</v>
      </c>
      <c r="I17" s="66">
        <f t="shared" si="4"/>
        <v>0</v>
      </c>
      <c r="J17" s="257">
        <f t="shared" si="5"/>
        <v>0</v>
      </c>
      <c r="K17" s="258" t="e">
        <f t="shared" si="6"/>
        <v>#DIV/0!</v>
      </c>
      <c r="L17" s="253">
        <f t="shared" si="7"/>
        <v>0</v>
      </c>
      <c r="M17" s="258" t="e">
        <f t="shared" si="8"/>
        <v>#DIV/0!</v>
      </c>
      <c r="O17" s="14"/>
      <c r="P17" s="14"/>
      <c r="Q17" s="14"/>
    </row>
    <row r="18" spans="1:17">
      <c r="A18" s="41" t="s">
        <v>83</v>
      </c>
      <c r="B18" s="42"/>
      <c r="C18" s="42"/>
      <c r="D18" s="42"/>
      <c r="E18" s="43"/>
      <c r="F18" s="44">
        <f t="shared" si="1"/>
        <v>0</v>
      </c>
      <c r="G18" s="45">
        <f t="shared" si="2"/>
        <v>0</v>
      </c>
      <c r="H18" s="45">
        <f t="shared" si="3"/>
        <v>0</v>
      </c>
      <c r="I18" s="66">
        <f t="shared" si="4"/>
        <v>0</v>
      </c>
      <c r="J18" s="257">
        <f t="shared" si="5"/>
        <v>0</v>
      </c>
      <c r="K18" s="258" t="e">
        <f t="shared" si="6"/>
        <v>#DIV/0!</v>
      </c>
      <c r="L18" s="253">
        <f t="shared" si="7"/>
        <v>0</v>
      </c>
      <c r="M18" s="258" t="e">
        <f t="shared" si="8"/>
        <v>#DIV/0!</v>
      </c>
      <c r="O18" s="7"/>
      <c r="P18" s="7"/>
      <c r="Q18" s="7"/>
    </row>
    <row r="19" spans="1:17">
      <c r="A19" s="41" t="s">
        <v>186</v>
      </c>
      <c r="B19" s="42"/>
      <c r="C19" s="42"/>
      <c r="D19" s="42"/>
      <c r="E19" s="43"/>
      <c r="F19" s="44">
        <f t="shared" si="1"/>
        <v>0</v>
      </c>
      <c r="G19" s="45">
        <f t="shared" si="2"/>
        <v>0</v>
      </c>
      <c r="H19" s="45">
        <f t="shared" si="3"/>
        <v>0</v>
      </c>
      <c r="I19" s="66">
        <f t="shared" si="4"/>
        <v>0</v>
      </c>
      <c r="J19" s="257">
        <f t="shared" si="5"/>
        <v>0</v>
      </c>
      <c r="K19" s="258" t="e">
        <f t="shared" si="6"/>
        <v>#DIV/0!</v>
      </c>
      <c r="L19" s="253">
        <f t="shared" si="7"/>
        <v>0</v>
      </c>
      <c r="M19" s="258" t="e">
        <f t="shared" si="8"/>
        <v>#DIV/0!</v>
      </c>
    </row>
    <row r="20" spans="1:17">
      <c r="A20" s="41" t="s">
        <v>84</v>
      </c>
      <c r="B20" s="42"/>
      <c r="C20" s="42"/>
      <c r="D20" s="42"/>
      <c r="E20" s="43"/>
      <c r="F20" s="44">
        <f t="shared" si="1"/>
        <v>0</v>
      </c>
      <c r="G20" s="45">
        <f t="shared" si="2"/>
        <v>0</v>
      </c>
      <c r="H20" s="45">
        <f t="shared" si="3"/>
        <v>0</v>
      </c>
      <c r="I20" s="66">
        <f t="shared" si="4"/>
        <v>0</v>
      </c>
      <c r="J20" s="257">
        <f t="shared" si="5"/>
        <v>0</v>
      </c>
      <c r="K20" s="258" t="e">
        <f t="shared" si="6"/>
        <v>#DIV/0!</v>
      </c>
      <c r="L20" s="253">
        <f t="shared" si="7"/>
        <v>0</v>
      </c>
      <c r="M20" s="258" t="e">
        <f t="shared" si="8"/>
        <v>#DIV/0!</v>
      </c>
    </row>
    <row r="21" spans="1:17" s="12" customFormat="1">
      <c r="A21" s="147" t="s">
        <v>4105</v>
      </c>
      <c r="B21" s="36"/>
      <c r="C21" s="36"/>
      <c r="D21" s="36"/>
      <c r="E21" s="37"/>
      <c r="F21" s="38">
        <f t="shared" si="1"/>
        <v>0</v>
      </c>
      <c r="G21" s="39">
        <f t="shared" si="2"/>
        <v>0</v>
      </c>
      <c r="H21" s="39">
        <f t="shared" si="3"/>
        <v>0</v>
      </c>
      <c r="I21" s="249">
        <f t="shared" si="4"/>
        <v>0</v>
      </c>
      <c r="J21" s="259">
        <f t="shared" si="5"/>
        <v>0</v>
      </c>
      <c r="K21" s="260" t="e">
        <f t="shared" si="6"/>
        <v>#DIV/0!</v>
      </c>
      <c r="L21" s="252">
        <f t="shared" si="7"/>
        <v>0</v>
      </c>
      <c r="M21" s="260" t="e">
        <f t="shared" si="8"/>
        <v>#DIV/0!</v>
      </c>
    </row>
    <row r="22" spans="1:17">
      <c r="A22" s="41" t="s">
        <v>85</v>
      </c>
      <c r="B22" s="42"/>
      <c r="C22" s="42"/>
      <c r="D22" s="42"/>
      <c r="E22" s="43"/>
      <c r="F22" s="44">
        <f t="shared" si="1"/>
        <v>0</v>
      </c>
      <c r="G22" s="45">
        <f t="shared" si="2"/>
        <v>0</v>
      </c>
      <c r="H22" s="45">
        <f t="shared" si="3"/>
        <v>0</v>
      </c>
      <c r="I22" s="66">
        <f t="shared" si="4"/>
        <v>0</v>
      </c>
      <c r="J22" s="257">
        <f t="shared" si="5"/>
        <v>0</v>
      </c>
      <c r="K22" s="258" t="e">
        <f t="shared" si="6"/>
        <v>#DIV/0!</v>
      </c>
      <c r="L22" s="253">
        <f t="shared" si="7"/>
        <v>0</v>
      </c>
      <c r="M22" s="258" t="e">
        <f t="shared" si="8"/>
        <v>#DIV/0!</v>
      </c>
    </row>
    <row r="23" spans="1:17">
      <c r="A23" s="41" t="s">
        <v>86</v>
      </c>
      <c r="B23" s="42"/>
      <c r="C23" s="42"/>
      <c r="D23" s="42"/>
      <c r="E23" s="43"/>
      <c r="F23" s="44">
        <f t="shared" si="1"/>
        <v>0</v>
      </c>
      <c r="G23" s="45">
        <f t="shared" si="2"/>
        <v>0</v>
      </c>
      <c r="H23" s="45">
        <f t="shared" si="3"/>
        <v>0</v>
      </c>
      <c r="I23" s="66">
        <f t="shared" si="4"/>
        <v>0</v>
      </c>
      <c r="J23" s="257">
        <f t="shared" si="5"/>
        <v>0</v>
      </c>
      <c r="K23" s="258" t="e">
        <f t="shared" si="6"/>
        <v>#DIV/0!</v>
      </c>
      <c r="L23" s="253">
        <f t="shared" si="7"/>
        <v>0</v>
      </c>
      <c r="M23" s="258" t="e">
        <f t="shared" si="8"/>
        <v>#DIV/0!</v>
      </c>
    </row>
    <row r="24" spans="1:17" s="12" customFormat="1">
      <c r="A24" s="147" t="s">
        <v>4106</v>
      </c>
      <c r="B24" s="36"/>
      <c r="C24" s="36"/>
      <c r="D24" s="36"/>
      <c r="E24" s="37"/>
      <c r="F24" s="38">
        <f t="shared" si="1"/>
        <v>0</v>
      </c>
      <c r="G24" s="39">
        <f t="shared" si="2"/>
        <v>0</v>
      </c>
      <c r="H24" s="39">
        <f t="shared" si="3"/>
        <v>0</v>
      </c>
      <c r="I24" s="249">
        <f t="shared" si="4"/>
        <v>0</v>
      </c>
      <c r="J24" s="259">
        <f t="shared" si="5"/>
        <v>0</v>
      </c>
      <c r="K24" s="260" t="e">
        <f t="shared" si="6"/>
        <v>#DIV/0!</v>
      </c>
      <c r="L24" s="252">
        <f t="shared" si="7"/>
        <v>0</v>
      </c>
      <c r="M24" s="260" t="e">
        <f t="shared" si="8"/>
        <v>#DIV/0!</v>
      </c>
    </row>
    <row r="25" spans="1:17">
      <c r="A25" s="41" t="s">
        <v>87</v>
      </c>
      <c r="B25" s="42"/>
      <c r="C25" s="42"/>
      <c r="D25" s="42"/>
      <c r="E25" s="43"/>
      <c r="F25" s="44">
        <f t="shared" si="1"/>
        <v>0</v>
      </c>
      <c r="G25" s="45">
        <f t="shared" si="2"/>
        <v>0</v>
      </c>
      <c r="H25" s="45">
        <f t="shared" si="3"/>
        <v>0</v>
      </c>
      <c r="I25" s="66">
        <f t="shared" si="4"/>
        <v>0</v>
      </c>
      <c r="J25" s="257">
        <f t="shared" si="5"/>
        <v>0</v>
      </c>
      <c r="K25" s="258" t="e">
        <f t="shared" si="6"/>
        <v>#DIV/0!</v>
      </c>
      <c r="L25" s="253">
        <f t="shared" si="7"/>
        <v>0</v>
      </c>
      <c r="M25" s="258" t="e">
        <f t="shared" si="8"/>
        <v>#DIV/0!</v>
      </c>
    </row>
    <row r="26" spans="1:17" s="12" customFormat="1">
      <c r="A26" s="147" t="s">
        <v>4107</v>
      </c>
      <c r="B26" s="36"/>
      <c r="C26" s="36"/>
      <c r="D26" s="36"/>
      <c r="E26" s="37"/>
      <c r="F26" s="38">
        <f t="shared" si="1"/>
        <v>0</v>
      </c>
      <c r="G26" s="39">
        <f t="shared" si="2"/>
        <v>0</v>
      </c>
      <c r="H26" s="39">
        <f t="shared" si="3"/>
        <v>0</v>
      </c>
      <c r="I26" s="249">
        <f t="shared" si="4"/>
        <v>0</v>
      </c>
      <c r="J26" s="259">
        <f t="shared" si="5"/>
        <v>0</v>
      </c>
      <c r="K26" s="260" t="e">
        <f t="shared" si="6"/>
        <v>#DIV/0!</v>
      </c>
      <c r="L26" s="252">
        <f t="shared" si="7"/>
        <v>0</v>
      </c>
      <c r="M26" s="260" t="e">
        <f t="shared" si="8"/>
        <v>#DIV/0!</v>
      </c>
    </row>
    <row r="27" spans="1:17">
      <c r="A27" s="41" t="s">
        <v>88</v>
      </c>
      <c r="B27" s="42"/>
      <c r="C27" s="42"/>
      <c r="D27" s="42"/>
      <c r="E27" s="43"/>
      <c r="F27" s="44"/>
      <c r="G27" s="45"/>
      <c r="H27" s="45"/>
      <c r="I27" s="66"/>
      <c r="J27" s="257">
        <f t="shared" si="5"/>
        <v>0</v>
      </c>
      <c r="K27" s="258" t="e">
        <f t="shared" si="6"/>
        <v>#DIV/0!</v>
      </c>
      <c r="L27" s="253">
        <f t="shared" si="7"/>
        <v>0</v>
      </c>
      <c r="M27" s="258" t="e">
        <f t="shared" si="8"/>
        <v>#DIV/0!</v>
      </c>
    </row>
    <row r="28" spans="1:17">
      <c r="A28" s="41" t="s">
        <v>89</v>
      </c>
      <c r="B28" s="42"/>
      <c r="C28" s="42"/>
      <c r="D28" s="42"/>
      <c r="E28" s="43"/>
      <c r="F28" s="44">
        <f t="shared" si="1"/>
        <v>0</v>
      </c>
      <c r="G28" s="45">
        <f t="shared" si="2"/>
        <v>0</v>
      </c>
      <c r="H28" s="45">
        <f t="shared" si="3"/>
        <v>0</v>
      </c>
      <c r="I28" s="66">
        <f t="shared" si="4"/>
        <v>0</v>
      </c>
      <c r="J28" s="257">
        <f t="shared" si="5"/>
        <v>0</v>
      </c>
      <c r="K28" s="258" t="e">
        <f t="shared" si="6"/>
        <v>#DIV/0!</v>
      </c>
      <c r="L28" s="253">
        <f t="shared" si="7"/>
        <v>0</v>
      </c>
      <c r="M28" s="258" t="e">
        <f t="shared" si="8"/>
        <v>#DIV/0!</v>
      </c>
    </row>
    <row r="29" spans="1:17">
      <c r="A29" s="41" t="s">
        <v>90</v>
      </c>
      <c r="B29" s="42"/>
      <c r="C29" s="42"/>
      <c r="D29" s="42"/>
      <c r="E29" s="43"/>
      <c r="F29" s="44">
        <f t="shared" si="1"/>
        <v>0</v>
      </c>
      <c r="G29" s="45">
        <f t="shared" si="2"/>
        <v>0</v>
      </c>
      <c r="H29" s="45">
        <f t="shared" si="3"/>
        <v>0</v>
      </c>
      <c r="I29" s="66">
        <f t="shared" si="4"/>
        <v>0</v>
      </c>
      <c r="J29" s="257">
        <f t="shared" si="5"/>
        <v>0</v>
      </c>
      <c r="K29" s="258" t="e">
        <f t="shared" si="6"/>
        <v>#DIV/0!</v>
      </c>
      <c r="L29" s="253">
        <f t="shared" si="7"/>
        <v>0</v>
      </c>
      <c r="M29" s="258" t="e">
        <f t="shared" si="8"/>
        <v>#DIV/0!</v>
      </c>
    </row>
    <row r="30" spans="1:17">
      <c r="A30" s="41" t="s">
        <v>91</v>
      </c>
      <c r="B30" s="42"/>
      <c r="C30" s="42"/>
      <c r="D30" s="42"/>
      <c r="E30" s="43"/>
      <c r="F30" s="44"/>
      <c r="G30" s="45"/>
      <c r="H30" s="45"/>
      <c r="I30" s="66"/>
      <c r="J30" s="257">
        <f t="shared" si="5"/>
        <v>0</v>
      </c>
      <c r="K30" s="258" t="e">
        <f t="shared" si="6"/>
        <v>#DIV/0!</v>
      </c>
      <c r="L30" s="253">
        <f t="shared" si="7"/>
        <v>0</v>
      </c>
      <c r="M30" s="258" t="e">
        <f t="shared" si="8"/>
        <v>#DIV/0!</v>
      </c>
    </row>
    <row r="31" spans="1:17" ht="24.75">
      <c r="A31" s="41" t="s">
        <v>92</v>
      </c>
      <c r="B31" s="42"/>
      <c r="C31" s="42"/>
      <c r="D31" s="42"/>
      <c r="E31" s="43"/>
      <c r="F31" s="44">
        <f t="shared" si="1"/>
        <v>0</v>
      </c>
      <c r="G31" s="45">
        <f t="shared" si="2"/>
        <v>0</v>
      </c>
      <c r="H31" s="45">
        <f t="shared" si="3"/>
        <v>0</v>
      </c>
      <c r="I31" s="66">
        <f t="shared" si="4"/>
        <v>0</v>
      </c>
      <c r="J31" s="257">
        <f t="shared" si="5"/>
        <v>0</v>
      </c>
      <c r="K31" s="258" t="e">
        <f t="shared" si="6"/>
        <v>#DIV/0!</v>
      </c>
      <c r="L31" s="253">
        <f t="shared" si="7"/>
        <v>0</v>
      </c>
      <c r="M31" s="258" t="e">
        <f t="shared" si="8"/>
        <v>#DIV/0!</v>
      </c>
    </row>
    <row r="32" spans="1:17">
      <c r="A32" s="41" t="s">
        <v>93</v>
      </c>
      <c r="B32" s="42"/>
      <c r="C32" s="42"/>
      <c r="D32" s="42"/>
      <c r="E32" s="43"/>
      <c r="F32" s="44">
        <f t="shared" si="1"/>
        <v>0</v>
      </c>
      <c r="G32" s="45">
        <f t="shared" si="2"/>
        <v>0</v>
      </c>
      <c r="H32" s="45">
        <f t="shared" si="3"/>
        <v>0</v>
      </c>
      <c r="I32" s="66">
        <f t="shared" si="4"/>
        <v>0</v>
      </c>
      <c r="J32" s="257">
        <f t="shared" si="5"/>
        <v>0</v>
      </c>
      <c r="K32" s="258" t="e">
        <f t="shared" si="6"/>
        <v>#DIV/0!</v>
      </c>
      <c r="L32" s="253">
        <f t="shared" si="7"/>
        <v>0</v>
      </c>
      <c r="M32" s="258" t="e">
        <f t="shared" si="8"/>
        <v>#DIV/0!</v>
      </c>
    </row>
    <row r="33" spans="1:13" s="12" customFormat="1">
      <c r="A33" s="148" t="s">
        <v>4108</v>
      </c>
      <c r="B33" s="36"/>
      <c r="C33" s="47"/>
      <c r="D33" s="36"/>
      <c r="E33" s="37"/>
      <c r="F33" s="38">
        <f t="shared" si="1"/>
        <v>0</v>
      </c>
      <c r="G33" s="39">
        <f t="shared" si="2"/>
        <v>0</v>
      </c>
      <c r="H33" s="39">
        <f t="shared" si="3"/>
        <v>0</v>
      </c>
      <c r="I33" s="249">
        <f t="shared" si="4"/>
        <v>0</v>
      </c>
      <c r="J33" s="259">
        <f t="shared" si="5"/>
        <v>0</v>
      </c>
      <c r="K33" s="260" t="e">
        <f t="shared" si="6"/>
        <v>#DIV/0!</v>
      </c>
      <c r="L33" s="252">
        <f t="shared" si="7"/>
        <v>0</v>
      </c>
      <c r="M33" s="260" t="e">
        <f t="shared" si="8"/>
        <v>#DIV/0!</v>
      </c>
    </row>
    <row r="34" spans="1:13">
      <c r="A34" s="145" t="s">
        <v>2283</v>
      </c>
      <c r="B34" s="42"/>
      <c r="C34" s="48"/>
      <c r="D34" s="42"/>
      <c r="E34" s="43"/>
      <c r="F34" s="44">
        <f t="shared" si="1"/>
        <v>0</v>
      </c>
      <c r="G34" s="45">
        <f t="shared" si="2"/>
        <v>0</v>
      </c>
      <c r="H34" s="45">
        <f t="shared" si="3"/>
        <v>0</v>
      </c>
      <c r="I34" s="66">
        <f t="shared" si="4"/>
        <v>0</v>
      </c>
      <c r="J34" s="257">
        <f t="shared" si="5"/>
        <v>0</v>
      </c>
      <c r="K34" s="258" t="e">
        <f t="shared" si="6"/>
        <v>#DIV/0!</v>
      </c>
      <c r="L34" s="253">
        <f t="shared" si="7"/>
        <v>0</v>
      </c>
      <c r="M34" s="258" t="e">
        <f t="shared" si="8"/>
        <v>#DIV/0!</v>
      </c>
    </row>
    <row r="35" spans="1:13">
      <c r="A35" s="41" t="s">
        <v>94</v>
      </c>
      <c r="B35" s="42"/>
      <c r="C35" s="49"/>
      <c r="D35" s="42"/>
      <c r="E35" s="43"/>
      <c r="F35" s="44">
        <f t="shared" si="1"/>
        <v>0</v>
      </c>
      <c r="G35" s="45">
        <f t="shared" si="2"/>
        <v>0</v>
      </c>
      <c r="H35" s="45">
        <f t="shared" si="3"/>
        <v>0</v>
      </c>
      <c r="I35" s="66">
        <f t="shared" si="4"/>
        <v>0</v>
      </c>
      <c r="J35" s="257">
        <f t="shared" si="5"/>
        <v>0</v>
      </c>
      <c r="K35" s="258" t="e">
        <f t="shared" si="6"/>
        <v>#DIV/0!</v>
      </c>
      <c r="L35" s="253">
        <f t="shared" si="7"/>
        <v>0</v>
      </c>
      <c r="M35" s="258" t="e">
        <f t="shared" si="8"/>
        <v>#DIV/0!</v>
      </c>
    </row>
    <row r="36" spans="1:13">
      <c r="A36" s="50" t="s">
        <v>95</v>
      </c>
      <c r="B36" s="42"/>
      <c r="C36" s="49"/>
      <c r="D36" s="42"/>
      <c r="E36" s="43"/>
      <c r="F36" s="44">
        <f t="shared" si="1"/>
        <v>0</v>
      </c>
      <c r="G36" s="45">
        <f t="shared" si="2"/>
        <v>0</v>
      </c>
      <c r="H36" s="45">
        <f t="shared" si="3"/>
        <v>0</v>
      </c>
      <c r="I36" s="66">
        <f t="shared" si="4"/>
        <v>0</v>
      </c>
      <c r="J36" s="257">
        <f t="shared" si="5"/>
        <v>0</v>
      </c>
      <c r="K36" s="258" t="e">
        <f t="shared" si="6"/>
        <v>#DIV/0!</v>
      </c>
      <c r="L36" s="253">
        <f t="shared" si="7"/>
        <v>0</v>
      </c>
      <c r="M36" s="258" t="e">
        <f t="shared" si="8"/>
        <v>#DIV/0!</v>
      </c>
    </row>
    <row r="37" spans="1:13">
      <c r="A37" s="50" t="s">
        <v>96</v>
      </c>
      <c r="B37" s="42"/>
      <c r="C37" s="49"/>
      <c r="D37" s="42"/>
      <c r="E37" s="43"/>
      <c r="F37" s="44">
        <f t="shared" si="1"/>
        <v>0</v>
      </c>
      <c r="G37" s="45">
        <f t="shared" si="2"/>
        <v>0</v>
      </c>
      <c r="H37" s="45">
        <f t="shared" si="3"/>
        <v>0</v>
      </c>
      <c r="I37" s="66">
        <f t="shared" si="4"/>
        <v>0</v>
      </c>
      <c r="J37" s="257">
        <f t="shared" si="5"/>
        <v>0</v>
      </c>
      <c r="K37" s="258" t="e">
        <f t="shared" si="6"/>
        <v>#DIV/0!</v>
      </c>
      <c r="L37" s="253">
        <f t="shared" si="7"/>
        <v>0</v>
      </c>
      <c r="M37" s="258" t="e">
        <f t="shared" si="8"/>
        <v>#DIV/0!</v>
      </c>
    </row>
    <row r="38" spans="1:13">
      <c r="A38" s="50" t="s">
        <v>202</v>
      </c>
      <c r="B38" s="42"/>
      <c r="C38" s="49"/>
      <c r="D38" s="42"/>
      <c r="E38" s="43"/>
      <c r="F38" s="44">
        <f t="shared" si="1"/>
        <v>0</v>
      </c>
      <c r="G38" s="45">
        <f t="shared" si="2"/>
        <v>0</v>
      </c>
      <c r="H38" s="45">
        <f t="shared" si="3"/>
        <v>0</v>
      </c>
      <c r="I38" s="66">
        <f t="shared" si="4"/>
        <v>0</v>
      </c>
      <c r="J38" s="257">
        <f t="shared" si="5"/>
        <v>0</v>
      </c>
      <c r="K38" s="258" t="e">
        <f t="shared" si="6"/>
        <v>#DIV/0!</v>
      </c>
      <c r="L38" s="253">
        <f t="shared" si="7"/>
        <v>0</v>
      </c>
      <c r="M38" s="258" t="e">
        <f t="shared" si="8"/>
        <v>#DIV/0!</v>
      </c>
    </row>
    <row r="39" spans="1:13">
      <c r="A39" s="50" t="s">
        <v>97</v>
      </c>
      <c r="B39" s="42"/>
      <c r="C39" s="51"/>
      <c r="D39" s="42"/>
      <c r="E39" s="43"/>
      <c r="F39" s="44">
        <f t="shared" si="1"/>
        <v>0</v>
      </c>
      <c r="G39" s="45">
        <f t="shared" si="2"/>
        <v>0</v>
      </c>
      <c r="H39" s="45">
        <f t="shared" si="3"/>
        <v>0</v>
      </c>
      <c r="I39" s="66">
        <f t="shared" si="4"/>
        <v>0</v>
      </c>
      <c r="J39" s="257">
        <f t="shared" si="5"/>
        <v>0</v>
      </c>
      <c r="K39" s="258" t="e">
        <f t="shared" si="6"/>
        <v>#DIV/0!</v>
      </c>
      <c r="L39" s="253">
        <f t="shared" si="7"/>
        <v>0</v>
      </c>
      <c r="M39" s="258" t="e">
        <f t="shared" si="8"/>
        <v>#DIV/0!</v>
      </c>
    </row>
    <row r="40" spans="1:13">
      <c r="A40" s="50" t="s">
        <v>98</v>
      </c>
      <c r="B40" s="42"/>
      <c r="C40" s="49"/>
      <c r="D40" s="42"/>
      <c r="E40" s="43"/>
      <c r="F40" s="44">
        <f t="shared" si="1"/>
        <v>0</v>
      </c>
      <c r="G40" s="45">
        <f t="shared" si="2"/>
        <v>0</v>
      </c>
      <c r="H40" s="45">
        <f t="shared" si="3"/>
        <v>0</v>
      </c>
      <c r="I40" s="66">
        <f t="shared" si="4"/>
        <v>0</v>
      </c>
      <c r="J40" s="257">
        <f t="shared" si="5"/>
        <v>0</v>
      </c>
      <c r="K40" s="258" t="e">
        <f t="shared" si="6"/>
        <v>#DIV/0!</v>
      </c>
      <c r="L40" s="253">
        <f t="shared" si="7"/>
        <v>0</v>
      </c>
      <c r="M40" s="258" t="e">
        <f t="shared" si="8"/>
        <v>#DIV/0!</v>
      </c>
    </row>
    <row r="41" spans="1:13">
      <c r="A41" s="50" t="s">
        <v>99</v>
      </c>
      <c r="B41" s="42"/>
      <c r="C41" s="49"/>
      <c r="D41" s="42"/>
      <c r="E41" s="43"/>
      <c r="F41" s="44">
        <f t="shared" si="1"/>
        <v>0</v>
      </c>
      <c r="G41" s="45">
        <f t="shared" si="2"/>
        <v>0</v>
      </c>
      <c r="H41" s="45">
        <f t="shared" si="3"/>
        <v>0</v>
      </c>
      <c r="I41" s="66">
        <f t="shared" si="4"/>
        <v>0</v>
      </c>
      <c r="J41" s="257">
        <f t="shared" si="5"/>
        <v>0</v>
      </c>
      <c r="K41" s="258" t="e">
        <f t="shared" si="6"/>
        <v>#DIV/0!</v>
      </c>
      <c r="L41" s="253">
        <f t="shared" si="7"/>
        <v>0</v>
      </c>
      <c r="M41" s="258" t="e">
        <f t="shared" si="8"/>
        <v>#DIV/0!</v>
      </c>
    </row>
    <row r="42" spans="1:13">
      <c r="A42" s="50" t="s">
        <v>100</v>
      </c>
      <c r="B42" s="42"/>
      <c r="C42" s="42"/>
      <c r="D42" s="42"/>
      <c r="E42" s="43"/>
      <c r="F42" s="44">
        <f t="shared" si="1"/>
        <v>0</v>
      </c>
      <c r="G42" s="45">
        <f t="shared" si="2"/>
        <v>0</v>
      </c>
      <c r="H42" s="45">
        <f t="shared" si="3"/>
        <v>0</v>
      </c>
      <c r="I42" s="66">
        <f t="shared" si="4"/>
        <v>0</v>
      </c>
      <c r="J42" s="257">
        <f t="shared" si="5"/>
        <v>0</v>
      </c>
      <c r="K42" s="258" t="e">
        <f t="shared" si="6"/>
        <v>#DIV/0!</v>
      </c>
      <c r="L42" s="253">
        <f t="shared" si="7"/>
        <v>0</v>
      </c>
      <c r="M42" s="258" t="e">
        <f t="shared" si="8"/>
        <v>#DIV/0!</v>
      </c>
    </row>
    <row r="43" spans="1:13">
      <c r="A43" s="50" t="s">
        <v>101</v>
      </c>
      <c r="B43" s="42"/>
      <c r="C43" s="42"/>
      <c r="D43" s="42"/>
      <c r="E43" s="43"/>
      <c r="F43" s="44">
        <f t="shared" si="1"/>
        <v>0</v>
      </c>
      <c r="G43" s="45">
        <f t="shared" si="2"/>
        <v>0</v>
      </c>
      <c r="H43" s="45">
        <f t="shared" si="3"/>
        <v>0</v>
      </c>
      <c r="I43" s="66">
        <f t="shared" si="4"/>
        <v>0</v>
      </c>
      <c r="J43" s="257">
        <f t="shared" si="5"/>
        <v>0</v>
      </c>
      <c r="K43" s="258" t="e">
        <f t="shared" si="6"/>
        <v>#DIV/0!</v>
      </c>
      <c r="L43" s="253">
        <f t="shared" si="7"/>
        <v>0</v>
      </c>
      <c r="M43" s="258" t="e">
        <f t="shared" si="8"/>
        <v>#DIV/0!</v>
      </c>
    </row>
    <row r="44" spans="1:13">
      <c r="A44" s="50" t="s">
        <v>102</v>
      </c>
      <c r="B44" s="42"/>
      <c r="C44" s="42"/>
      <c r="D44" s="42"/>
      <c r="E44" s="43"/>
      <c r="F44" s="44">
        <f t="shared" si="1"/>
        <v>0</v>
      </c>
      <c r="G44" s="45">
        <f t="shared" si="2"/>
        <v>0</v>
      </c>
      <c r="H44" s="45">
        <f t="shared" si="3"/>
        <v>0</v>
      </c>
      <c r="I44" s="66">
        <f t="shared" si="4"/>
        <v>0</v>
      </c>
      <c r="J44" s="257">
        <f t="shared" si="5"/>
        <v>0</v>
      </c>
      <c r="K44" s="258" t="e">
        <f t="shared" si="6"/>
        <v>#DIV/0!</v>
      </c>
      <c r="L44" s="253">
        <f t="shared" si="7"/>
        <v>0</v>
      </c>
      <c r="M44" s="258" t="e">
        <f t="shared" si="8"/>
        <v>#DIV/0!</v>
      </c>
    </row>
    <row r="45" spans="1:13">
      <c r="A45" s="145" t="s">
        <v>2284</v>
      </c>
      <c r="B45" s="42"/>
      <c r="C45" s="42"/>
      <c r="D45" s="42"/>
      <c r="E45" s="43"/>
      <c r="F45" s="44">
        <f t="shared" si="1"/>
        <v>0</v>
      </c>
      <c r="G45" s="45">
        <f t="shared" si="2"/>
        <v>0</v>
      </c>
      <c r="H45" s="45">
        <f t="shared" si="3"/>
        <v>0</v>
      </c>
      <c r="I45" s="66">
        <f t="shared" si="4"/>
        <v>0</v>
      </c>
      <c r="J45" s="257">
        <f t="shared" si="5"/>
        <v>0</v>
      </c>
      <c r="K45" s="258" t="e">
        <f t="shared" si="6"/>
        <v>#DIV/0!</v>
      </c>
      <c r="L45" s="253">
        <f t="shared" si="7"/>
        <v>0</v>
      </c>
      <c r="M45" s="258" t="e">
        <f t="shared" si="8"/>
        <v>#DIV/0!</v>
      </c>
    </row>
    <row r="46" spans="1:13" s="12" customFormat="1">
      <c r="A46" s="148" t="s">
        <v>4109</v>
      </c>
      <c r="B46" s="36"/>
      <c r="C46" s="36"/>
      <c r="D46" s="36"/>
      <c r="E46" s="37"/>
      <c r="F46" s="38">
        <f t="shared" si="1"/>
        <v>0</v>
      </c>
      <c r="G46" s="39">
        <f t="shared" si="2"/>
        <v>0</v>
      </c>
      <c r="H46" s="39">
        <f t="shared" si="3"/>
        <v>0</v>
      </c>
      <c r="I46" s="249">
        <f t="shared" si="4"/>
        <v>0</v>
      </c>
      <c r="J46" s="259">
        <f t="shared" si="5"/>
        <v>0</v>
      </c>
      <c r="K46" s="260" t="e">
        <f t="shared" si="6"/>
        <v>#DIV/0!</v>
      </c>
      <c r="L46" s="252">
        <f t="shared" si="7"/>
        <v>0</v>
      </c>
      <c r="M46" s="260" t="e">
        <f t="shared" si="8"/>
        <v>#DIV/0!</v>
      </c>
    </row>
    <row r="47" spans="1:13">
      <c r="A47" s="149" t="s">
        <v>204</v>
      </c>
      <c r="B47" s="42"/>
      <c r="C47" s="42"/>
      <c r="D47" s="42"/>
      <c r="E47" s="43"/>
      <c r="F47" s="44">
        <f t="shared" si="1"/>
        <v>0</v>
      </c>
      <c r="G47" s="45">
        <f t="shared" si="2"/>
        <v>0</v>
      </c>
      <c r="H47" s="45">
        <f t="shared" si="3"/>
        <v>0</v>
      </c>
      <c r="I47" s="66">
        <f t="shared" si="4"/>
        <v>0</v>
      </c>
      <c r="J47" s="257">
        <f t="shared" si="5"/>
        <v>0</v>
      </c>
      <c r="K47" s="258" t="e">
        <f t="shared" si="6"/>
        <v>#DIV/0!</v>
      </c>
      <c r="L47" s="253">
        <f t="shared" si="7"/>
        <v>0</v>
      </c>
      <c r="M47" s="258" t="e">
        <f t="shared" si="8"/>
        <v>#DIV/0!</v>
      </c>
    </row>
    <row r="48" spans="1:13" ht="16.5" thickBot="1">
      <c r="A48" s="150" t="s">
        <v>205</v>
      </c>
      <c r="B48" s="52"/>
      <c r="C48" s="52"/>
      <c r="D48" s="52"/>
      <c r="E48" s="53"/>
      <c r="F48" s="54">
        <f t="shared" si="1"/>
        <v>0</v>
      </c>
      <c r="G48" s="55">
        <f t="shared" si="2"/>
        <v>0</v>
      </c>
      <c r="H48" s="55">
        <f t="shared" si="3"/>
        <v>0</v>
      </c>
      <c r="I48" s="250">
        <f t="shared" si="4"/>
        <v>0</v>
      </c>
      <c r="J48" s="261">
        <f t="shared" si="5"/>
        <v>0</v>
      </c>
      <c r="K48" s="263" t="e">
        <f t="shared" si="6"/>
        <v>#DIV/0!</v>
      </c>
      <c r="L48" s="262">
        <f t="shared" si="7"/>
        <v>0</v>
      </c>
      <c r="M48" s="263" t="e">
        <f t="shared" si="8"/>
        <v>#DIV/0!</v>
      </c>
    </row>
    <row r="51" spans="1:9">
      <c r="A51" s="3" t="s">
        <v>12</v>
      </c>
      <c r="B51" s="5"/>
      <c r="C51" s="5"/>
      <c r="D51" s="5"/>
      <c r="E51" s="5"/>
      <c r="F51" s="5"/>
      <c r="G51" s="5"/>
      <c r="H51" s="5"/>
      <c r="I51" s="5"/>
    </row>
    <row r="52" spans="1:9">
      <c r="A52" s="11" t="s">
        <v>4099</v>
      </c>
      <c r="B52" s="6">
        <f>SUM(B7:B12)-B6</f>
        <v>0</v>
      </c>
      <c r="C52" s="6">
        <f t="shared" ref="C52:E52" si="13">SUM(C7:C12)-C6</f>
        <v>0</v>
      </c>
      <c r="D52" s="6">
        <f t="shared" si="13"/>
        <v>0</v>
      </c>
      <c r="E52" s="6">
        <f t="shared" si="13"/>
        <v>0</v>
      </c>
      <c r="F52" s="5"/>
      <c r="G52" s="5"/>
      <c r="H52" s="5"/>
      <c r="I52" s="5"/>
    </row>
    <row r="53" spans="1:9">
      <c r="A53" s="5" t="s">
        <v>21</v>
      </c>
      <c r="B53" s="4">
        <f>B4-B7-B8-B9-B10-B11-B12+B15+B16+B18+B19+B20-B21</f>
        <v>0</v>
      </c>
      <c r="C53" s="4">
        <f t="shared" ref="C53:I53" si="14">C4-C7-C8-C9-C10-C11-C12+C15+C16+C18+C19+C20-C21</f>
        <v>0</v>
      </c>
      <c r="D53" s="4">
        <f t="shared" si="14"/>
        <v>0</v>
      </c>
      <c r="E53" s="4">
        <f t="shared" si="14"/>
        <v>0</v>
      </c>
      <c r="F53" s="4">
        <f t="shared" si="14"/>
        <v>0</v>
      </c>
      <c r="G53" s="4">
        <f t="shared" si="14"/>
        <v>0</v>
      </c>
      <c r="H53" s="4">
        <f t="shared" si="14"/>
        <v>0</v>
      </c>
      <c r="I53" s="4">
        <f t="shared" si="14"/>
        <v>0</v>
      </c>
    </row>
    <row r="54" spans="1:9">
      <c r="A54" s="5" t="s">
        <v>22</v>
      </c>
      <c r="B54" s="4">
        <f>B21+B22-B23-B24</f>
        <v>0</v>
      </c>
      <c r="C54" s="4">
        <f t="shared" ref="C54:I54" si="15">C21+C22-C23-C24</f>
        <v>0</v>
      </c>
      <c r="D54" s="4">
        <f t="shared" si="15"/>
        <v>0</v>
      </c>
      <c r="E54" s="4">
        <f t="shared" si="15"/>
        <v>0</v>
      </c>
      <c r="F54" s="4">
        <f t="shared" si="15"/>
        <v>0</v>
      </c>
      <c r="G54" s="4">
        <f t="shared" si="15"/>
        <v>0</v>
      </c>
      <c r="H54" s="4">
        <f t="shared" si="15"/>
        <v>0</v>
      </c>
      <c r="I54" s="4">
        <f t="shared" si="15"/>
        <v>0</v>
      </c>
    </row>
    <row r="55" spans="1:9">
      <c r="A55" s="5" t="s">
        <v>23</v>
      </c>
      <c r="B55" s="4">
        <f>B24-B25-B26</f>
        <v>0</v>
      </c>
      <c r="C55" s="4">
        <f t="shared" ref="C55:I55" si="16">C24-C25-C26</f>
        <v>0</v>
      </c>
      <c r="D55" s="4">
        <f t="shared" si="16"/>
        <v>0</v>
      </c>
      <c r="E55" s="4">
        <f t="shared" si="16"/>
        <v>0</v>
      </c>
      <c r="F55" s="4">
        <f t="shared" si="16"/>
        <v>0</v>
      </c>
      <c r="G55" s="4">
        <f t="shared" si="16"/>
        <v>0</v>
      </c>
      <c r="H55" s="4">
        <f t="shared" si="16"/>
        <v>0</v>
      </c>
      <c r="I55" s="4">
        <f t="shared" si="16"/>
        <v>0</v>
      </c>
    </row>
    <row r="56" spans="1:9">
      <c r="A56" s="5" t="s">
        <v>24</v>
      </c>
      <c r="B56" s="4">
        <f>B47+B48-B46</f>
        <v>0</v>
      </c>
      <c r="C56" s="4">
        <f t="shared" ref="C56:I56" si="17">C47+C48-C46</f>
        <v>0</v>
      </c>
      <c r="D56" s="4">
        <f t="shared" si="17"/>
        <v>0</v>
      </c>
      <c r="E56" s="4">
        <f t="shared" si="17"/>
        <v>0</v>
      </c>
      <c r="F56" s="4">
        <f t="shared" si="17"/>
        <v>0</v>
      </c>
      <c r="G56" s="4">
        <f t="shared" si="17"/>
        <v>0</v>
      </c>
      <c r="H56" s="4">
        <f t="shared" si="17"/>
        <v>0</v>
      </c>
      <c r="I56" s="4">
        <f t="shared" si="17"/>
        <v>0</v>
      </c>
    </row>
    <row r="57" spans="1:9">
      <c r="A57" s="11" t="s">
        <v>37</v>
      </c>
      <c r="B57" s="6">
        <f>B31+B32-B26</f>
        <v>0</v>
      </c>
      <c r="C57" s="6">
        <f t="shared" ref="C57:I57" si="18">C31+C32-C26</f>
        <v>0</v>
      </c>
      <c r="D57" s="6">
        <f t="shared" si="18"/>
        <v>0</v>
      </c>
      <c r="E57" s="6">
        <f t="shared" si="18"/>
        <v>0</v>
      </c>
      <c r="F57" s="6">
        <f t="shared" si="18"/>
        <v>0</v>
      </c>
      <c r="G57" s="6">
        <f t="shared" si="18"/>
        <v>0</v>
      </c>
      <c r="H57" s="6">
        <f t="shared" si="18"/>
        <v>0</v>
      </c>
      <c r="I57" s="6">
        <f t="shared" si="18"/>
        <v>0</v>
      </c>
    </row>
    <row r="58" spans="1:9">
      <c r="A58" s="11" t="s">
        <v>38</v>
      </c>
      <c r="B58" s="6">
        <f>B31+B34-B47</f>
        <v>0</v>
      </c>
      <c r="C58" s="6">
        <f t="shared" ref="C58:I58" si="19">C31+C34-C47</f>
        <v>0</v>
      </c>
      <c r="D58" s="6">
        <f t="shared" si="19"/>
        <v>0</v>
      </c>
      <c r="E58" s="6">
        <f t="shared" si="19"/>
        <v>0</v>
      </c>
      <c r="F58" s="6">
        <f t="shared" si="19"/>
        <v>0</v>
      </c>
      <c r="G58" s="6">
        <f t="shared" si="19"/>
        <v>0</v>
      </c>
      <c r="H58" s="6">
        <f t="shared" si="19"/>
        <v>0</v>
      </c>
      <c r="I58" s="6">
        <f t="shared" si="19"/>
        <v>0</v>
      </c>
    </row>
    <row r="59" spans="1:9">
      <c r="A59" s="11" t="s">
        <v>39</v>
      </c>
      <c r="B59" s="6">
        <f t="shared" ref="B59" si="20">B32+B45-B48</f>
        <v>0</v>
      </c>
      <c r="C59" s="6">
        <f t="shared" ref="C59:I59" si="21">C32+C45-C48</f>
        <v>0</v>
      </c>
      <c r="D59" s="6">
        <f t="shared" si="21"/>
        <v>0</v>
      </c>
      <c r="E59" s="6">
        <f t="shared" si="21"/>
        <v>0</v>
      </c>
      <c r="F59" s="6">
        <f t="shared" si="21"/>
        <v>0</v>
      </c>
      <c r="G59" s="6">
        <f t="shared" si="21"/>
        <v>0</v>
      </c>
      <c r="H59" s="6">
        <f t="shared" si="21"/>
        <v>0</v>
      </c>
      <c r="I59" s="6">
        <f t="shared" si="21"/>
        <v>0</v>
      </c>
    </row>
    <row r="62" spans="1:9">
      <c r="E62" s="588" t="s">
        <v>3276</v>
      </c>
      <c r="F62" s="589">
        <f>F9+F10+F11+F12</f>
        <v>0</v>
      </c>
      <c r="G62" s="589">
        <f t="shared" ref="G62:I62" si="22">G9+G10+G11+G12</f>
        <v>0</v>
      </c>
      <c r="H62" s="589">
        <f t="shared" si="22"/>
        <v>0</v>
      </c>
      <c r="I62" s="589">
        <f t="shared" si="22"/>
        <v>0</v>
      </c>
    </row>
    <row r="63" spans="1:9">
      <c r="E63" s="588" t="s">
        <v>3277</v>
      </c>
      <c r="F63" s="590" t="e">
        <f>F62/F4*100</f>
        <v>#DIV/0!</v>
      </c>
      <c r="G63" s="590" t="e">
        <f t="shared" ref="G63:I63" si="23">G62/G4*100</f>
        <v>#DIV/0!</v>
      </c>
      <c r="H63" s="590" t="e">
        <f t="shared" si="23"/>
        <v>#DIV/0!</v>
      </c>
      <c r="I63" s="590" t="e">
        <f t="shared" si="23"/>
        <v>#DIV/0!</v>
      </c>
    </row>
    <row r="64" spans="1:9">
      <c r="E64" s="591" t="s">
        <v>4019</v>
      </c>
      <c r="F64" s="590" t="e">
        <f>F9/F$4*100</f>
        <v>#DIV/0!</v>
      </c>
      <c r="G64" s="590" t="e">
        <f t="shared" ref="G64:I64" si="24">G9/G$4*100</f>
        <v>#DIV/0!</v>
      </c>
      <c r="H64" s="590" t="e">
        <f t="shared" si="24"/>
        <v>#DIV/0!</v>
      </c>
      <c r="I64" s="590" t="e">
        <f t="shared" si="24"/>
        <v>#DIV/0!</v>
      </c>
    </row>
    <row r="65" spans="5:9">
      <c r="E65" s="591" t="s">
        <v>4020</v>
      </c>
      <c r="F65" s="590" t="e">
        <f t="shared" ref="F65:I67" si="25">F10/F$4*100</f>
        <v>#DIV/0!</v>
      </c>
      <c r="G65" s="590" t="e">
        <f t="shared" si="25"/>
        <v>#DIV/0!</v>
      </c>
      <c r="H65" s="590" t="e">
        <f t="shared" si="25"/>
        <v>#DIV/0!</v>
      </c>
      <c r="I65" s="590" t="e">
        <f t="shared" si="25"/>
        <v>#DIV/0!</v>
      </c>
    </row>
    <row r="66" spans="5:9">
      <c r="E66" s="591" t="s">
        <v>4021</v>
      </c>
      <c r="F66" s="590" t="e">
        <f t="shared" si="25"/>
        <v>#DIV/0!</v>
      </c>
      <c r="G66" s="590" t="e">
        <f t="shared" si="25"/>
        <v>#DIV/0!</v>
      </c>
      <c r="H66" s="590" t="e">
        <f t="shared" si="25"/>
        <v>#DIV/0!</v>
      </c>
      <c r="I66" s="590" t="e">
        <f t="shared" si="25"/>
        <v>#DIV/0!</v>
      </c>
    </row>
    <row r="67" spans="5:9">
      <c r="E67" s="591" t="s">
        <v>4022</v>
      </c>
      <c r="F67" s="590" t="e">
        <f t="shared" si="25"/>
        <v>#DIV/0!</v>
      </c>
      <c r="G67" s="590" t="e">
        <f t="shared" si="25"/>
        <v>#DIV/0!</v>
      </c>
      <c r="H67" s="590" t="e">
        <f t="shared" si="25"/>
        <v>#DIV/0!</v>
      </c>
      <c r="I67" s="590" t="e">
        <f t="shared" si="25"/>
        <v>#DIV/0!</v>
      </c>
    </row>
  </sheetData>
  <mergeCells count="4">
    <mergeCell ref="L2:M2"/>
    <mergeCell ref="B2:E2"/>
    <mergeCell ref="F2:I2"/>
    <mergeCell ref="J2:K2"/>
  </mergeCells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9EF1-DC3A-4432-A7F5-C804F945618C}">
  <sheetPr codeName="Sheet5">
    <tabColor theme="9" tint="0.59999389629810485"/>
  </sheetPr>
  <dimension ref="A1:M65"/>
  <sheetViews>
    <sheetView zoomScale="70" zoomScaleNormal="70" workbookViewId="0">
      <pane xSplit="1" ySplit="3" topLeftCell="B28" activePane="bottomRight" state="frozen"/>
      <selection pane="topRight" activeCell="B1" sqref="B1"/>
      <selection pane="bottomLeft" activeCell="A2" sqref="A2"/>
      <selection pane="bottomRight" activeCell="B5" sqref="B5:E43"/>
    </sheetView>
  </sheetViews>
  <sheetFormatPr defaultColWidth="8.75" defaultRowHeight="15.75"/>
  <cols>
    <col min="1" max="1" width="51.75" style="9" bestFit="1" customWidth="1"/>
    <col min="2" max="3" width="21.75" style="1" bestFit="1" customWidth="1"/>
    <col min="4" max="4" width="22.25" style="1" bestFit="1" customWidth="1"/>
    <col min="5" max="5" width="21.75" style="1" bestFit="1" customWidth="1"/>
    <col min="6" max="6" width="18.375" style="1" bestFit="1" customWidth="1"/>
    <col min="7" max="7" width="18.125" style="1" customWidth="1"/>
    <col min="8" max="8" width="17" style="1" customWidth="1"/>
    <col min="9" max="9" width="17.25" style="1" customWidth="1"/>
    <col min="10" max="10" width="16.125" style="1" bestFit="1" customWidth="1"/>
    <col min="11" max="11" width="13.5" style="1" customWidth="1"/>
    <col min="12" max="12" width="15.875" style="1" customWidth="1"/>
    <col min="13" max="13" width="12.75" style="1" customWidth="1"/>
    <col min="14" max="16384" width="8.75" style="1"/>
  </cols>
  <sheetData>
    <row r="1" spans="1:13" ht="16.5" thickBot="1">
      <c r="A1" s="27" t="s">
        <v>80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2" spans="1:13" s="8" customFormat="1" ht="16.149999999999999" customHeight="1">
      <c r="A2" s="29"/>
      <c r="B2" s="657" t="s">
        <v>70</v>
      </c>
      <c r="C2" s="657"/>
      <c r="D2" s="657"/>
      <c r="E2" s="653"/>
      <c r="F2" s="735" t="s">
        <v>71</v>
      </c>
      <c r="G2" s="657"/>
      <c r="H2" s="657"/>
      <c r="I2" s="725"/>
      <c r="J2" s="732" t="s">
        <v>77</v>
      </c>
      <c r="K2" s="724"/>
      <c r="L2" s="736" t="s">
        <v>76</v>
      </c>
      <c r="M2" s="724"/>
    </row>
    <row r="3" spans="1:13" s="8" customFormat="1">
      <c r="A3" s="30" t="s">
        <v>81</v>
      </c>
      <c r="B3" s="31">
        <f>必填信息!B5</f>
        <v>0</v>
      </c>
      <c r="C3" s="31">
        <f>必填信息!B4</f>
        <v>0</v>
      </c>
      <c r="D3" s="31">
        <f>必填信息!B3</f>
        <v>0</v>
      </c>
      <c r="E3" s="32">
        <f>必填信息!B2</f>
        <v>0</v>
      </c>
      <c r="F3" s="33">
        <f>B3</f>
        <v>0</v>
      </c>
      <c r="G3" s="31">
        <f t="shared" ref="G3:I3" si="0">C3</f>
        <v>0</v>
      </c>
      <c r="H3" s="31">
        <f t="shared" si="0"/>
        <v>0</v>
      </c>
      <c r="I3" s="244">
        <f t="shared" si="0"/>
        <v>0</v>
      </c>
      <c r="J3" s="233" t="s">
        <v>32</v>
      </c>
      <c r="K3" s="34" t="s">
        <v>6</v>
      </c>
      <c r="L3" s="233" t="s">
        <v>32</v>
      </c>
      <c r="M3" s="34" t="s">
        <v>6</v>
      </c>
    </row>
    <row r="4" spans="1:13" s="25" customFormat="1">
      <c r="A4" s="102" t="s">
        <v>108</v>
      </c>
      <c r="B4" s="103"/>
      <c r="C4" s="103"/>
      <c r="D4" s="103"/>
      <c r="E4" s="104"/>
      <c r="F4" s="105"/>
      <c r="G4" s="106"/>
      <c r="H4" s="107"/>
      <c r="I4" s="245"/>
      <c r="J4" s="234"/>
      <c r="K4" s="235"/>
      <c r="L4" s="234"/>
      <c r="M4" s="235"/>
    </row>
    <row r="5" spans="1:13" s="25" customFormat="1">
      <c r="A5" s="41" t="s">
        <v>109</v>
      </c>
      <c r="B5" s="49"/>
      <c r="C5" s="49"/>
      <c r="D5" s="49"/>
      <c r="E5" s="108"/>
      <c r="F5" s="109">
        <f t="shared" ref="F5:F14" si="1">B5/10000</f>
        <v>0</v>
      </c>
      <c r="G5" s="110">
        <f t="shared" ref="G5:G14" si="2">C5/10000</f>
        <v>0</v>
      </c>
      <c r="H5" s="110">
        <f t="shared" ref="H5:H14" si="3">D5/10000</f>
        <v>0</v>
      </c>
      <c r="I5" s="246">
        <f t="shared" ref="I5:I14" si="4">E5/10000</f>
        <v>0</v>
      </c>
      <c r="J5" s="236">
        <f t="shared" ref="J5:J14" si="5">G5-H5</f>
        <v>0</v>
      </c>
      <c r="K5" s="237" t="e">
        <f t="shared" ref="K5:K14" si="6">J5/H5*100</f>
        <v>#DIV/0!</v>
      </c>
      <c r="L5" s="236">
        <f t="shared" ref="L5:L14" si="7">H5-I5</f>
        <v>0</v>
      </c>
      <c r="M5" s="237" t="e">
        <f t="shared" ref="M5:M14" si="8">L5/I5*100</f>
        <v>#DIV/0!</v>
      </c>
    </row>
    <row r="6" spans="1:13" s="25" customFormat="1">
      <c r="A6" s="41" t="s">
        <v>110</v>
      </c>
      <c r="B6" s="49"/>
      <c r="C6" s="49"/>
      <c r="D6" s="49"/>
      <c r="E6" s="108"/>
      <c r="F6" s="109">
        <f t="shared" si="1"/>
        <v>0</v>
      </c>
      <c r="G6" s="110">
        <f t="shared" si="2"/>
        <v>0</v>
      </c>
      <c r="H6" s="110">
        <f t="shared" si="3"/>
        <v>0</v>
      </c>
      <c r="I6" s="246">
        <f t="shared" si="4"/>
        <v>0</v>
      </c>
      <c r="J6" s="236">
        <f t="shared" si="5"/>
        <v>0</v>
      </c>
      <c r="K6" s="237" t="e">
        <f t="shared" si="6"/>
        <v>#DIV/0!</v>
      </c>
      <c r="L6" s="236">
        <f t="shared" si="7"/>
        <v>0</v>
      </c>
      <c r="M6" s="237" t="e">
        <f t="shared" si="8"/>
        <v>#DIV/0!</v>
      </c>
    </row>
    <row r="7" spans="1:13" s="25" customFormat="1">
      <c r="A7" s="41" t="s">
        <v>111</v>
      </c>
      <c r="B7" s="49"/>
      <c r="C7" s="49"/>
      <c r="D7" s="49"/>
      <c r="E7" s="108"/>
      <c r="F7" s="109">
        <f t="shared" si="1"/>
        <v>0</v>
      </c>
      <c r="G7" s="110">
        <f t="shared" si="2"/>
        <v>0</v>
      </c>
      <c r="H7" s="110">
        <f t="shared" si="3"/>
        <v>0</v>
      </c>
      <c r="I7" s="246">
        <f t="shared" si="4"/>
        <v>0</v>
      </c>
      <c r="J7" s="236">
        <f t="shared" si="5"/>
        <v>0</v>
      </c>
      <c r="K7" s="237" t="e">
        <f t="shared" si="6"/>
        <v>#DIV/0!</v>
      </c>
      <c r="L7" s="236">
        <f t="shared" si="7"/>
        <v>0</v>
      </c>
      <c r="M7" s="237" t="e">
        <f t="shared" si="8"/>
        <v>#DIV/0!</v>
      </c>
    </row>
    <row r="8" spans="1:13" s="26" customFormat="1">
      <c r="A8" s="35" t="s">
        <v>112</v>
      </c>
      <c r="B8" s="51"/>
      <c r="C8" s="51"/>
      <c r="D8" s="51"/>
      <c r="E8" s="111"/>
      <c r="F8" s="112">
        <f t="shared" si="1"/>
        <v>0</v>
      </c>
      <c r="G8" s="113">
        <f t="shared" si="2"/>
        <v>0</v>
      </c>
      <c r="H8" s="113">
        <f t="shared" si="3"/>
        <v>0</v>
      </c>
      <c r="I8" s="247">
        <f t="shared" si="4"/>
        <v>0</v>
      </c>
      <c r="J8" s="238">
        <f t="shared" si="5"/>
        <v>0</v>
      </c>
      <c r="K8" s="239" t="e">
        <f t="shared" si="6"/>
        <v>#DIV/0!</v>
      </c>
      <c r="L8" s="238">
        <f t="shared" si="7"/>
        <v>0</v>
      </c>
      <c r="M8" s="239" t="e">
        <f t="shared" si="8"/>
        <v>#DIV/0!</v>
      </c>
    </row>
    <row r="9" spans="1:13" s="25" customFormat="1">
      <c r="A9" s="41" t="s">
        <v>113</v>
      </c>
      <c r="B9" s="49"/>
      <c r="C9" s="49"/>
      <c r="D9" s="49"/>
      <c r="E9" s="108"/>
      <c r="F9" s="109">
        <f t="shared" si="1"/>
        <v>0</v>
      </c>
      <c r="G9" s="110">
        <f t="shared" si="2"/>
        <v>0</v>
      </c>
      <c r="H9" s="110">
        <f t="shared" si="3"/>
        <v>0</v>
      </c>
      <c r="I9" s="246">
        <f t="shared" si="4"/>
        <v>0</v>
      </c>
      <c r="J9" s="236">
        <f t="shared" si="5"/>
        <v>0</v>
      </c>
      <c r="K9" s="237" t="e">
        <f t="shared" si="6"/>
        <v>#DIV/0!</v>
      </c>
      <c r="L9" s="236">
        <f t="shared" si="7"/>
        <v>0</v>
      </c>
      <c r="M9" s="237" t="e">
        <f t="shared" si="8"/>
        <v>#DIV/0!</v>
      </c>
    </row>
    <row r="10" spans="1:13" s="25" customFormat="1">
      <c r="A10" s="41" t="s">
        <v>114</v>
      </c>
      <c r="B10" s="49"/>
      <c r="C10" s="49"/>
      <c r="D10" s="49"/>
      <c r="E10" s="108"/>
      <c r="F10" s="109">
        <f t="shared" si="1"/>
        <v>0</v>
      </c>
      <c r="G10" s="110">
        <f t="shared" si="2"/>
        <v>0</v>
      </c>
      <c r="H10" s="110">
        <f t="shared" si="3"/>
        <v>0</v>
      </c>
      <c r="I10" s="246">
        <f t="shared" si="4"/>
        <v>0</v>
      </c>
      <c r="J10" s="236">
        <f t="shared" si="5"/>
        <v>0</v>
      </c>
      <c r="K10" s="237" t="e">
        <f t="shared" si="6"/>
        <v>#DIV/0!</v>
      </c>
      <c r="L10" s="236">
        <f t="shared" si="7"/>
        <v>0</v>
      </c>
      <c r="M10" s="237" t="e">
        <f t="shared" si="8"/>
        <v>#DIV/0!</v>
      </c>
    </row>
    <row r="11" spans="1:13" s="25" customFormat="1">
      <c r="A11" s="41" t="s">
        <v>115</v>
      </c>
      <c r="B11" s="49"/>
      <c r="C11" s="49"/>
      <c r="D11" s="49"/>
      <c r="E11" s="108"/>
      <c r="F11" s="109">
        <f t="shared" si="1"/>
        <v>0</v>
      </c>
      <c r="G11" s="110">
        <f t="shared" si="2"/>
        <v>0</v>
      </c>
      <c r="H11" s="110">
        <f t="shared" si="3"/>
        <v>0</v>
      </c>
      <c r="I11" s="246">
        <f t="shared" si="4"/>
        <v>0</v>
      </c>
      <c r="J11" s="236">
        <f t="shared" si="5"/>
        <v>0</v>
      </c>
      <c r="K11" s="237" t="e">
        <f t="shared" si="6"/>
        <v>#DIV/0!</v>
      </c>
      <c r="L11" s="236">
        <f t="shared" si="7"/>
        <v>0</v>
      </c>
      <c r="M11" s="237" t="e">
        <f t="shared" si="8"/>
        <v>#DIV/0!</v>
      </c>
    </row>
    <row r="12" spans="1:13" s="25" customFormat="1">
      <c r="A12" s="41" t="s">
        <v>116</v>
      </c>
      <c r="B12" s="49"/>
      <c r="C12" s="49"/>
      <c r="D12" s="49"/>
      <c r="E12" s="108"/>
      <c r="F12" s="109">
        <f t="shared" si="1"/>
        <v>0</v>
      </c>
      <c r="G12" s="110">
        <f t="shared" si="2"/>
        <v>0</v>
      </c>
      <c r="H12" s="110">
        <f t="shared" si="3"/>
        <v>0</v>
      </c>
      <c r="I12" s="246">
        <f t="shared" si="4"/>
        <v>0</v>
      </c>
      <c r="J12" s="236">
        <f t="shared" si="5"/>
        <v>0</v>
      </c>
      <c r="K12" s="237" t="e">
        <f t="shared" si="6"/>
        <v>#DIV/0!</v>
      </c>
      <c r="L12" s="236">
        <f t="shared" si="7"/>
        <v>0</v>
      </c>
      <c r="M12" s="237" t="e">
        <f t="shared" si="8"/>
        <v>#DIV/0!</v>
      </c>
    </row>
    <row r="13" spans="1:13" s="26" customFormat="1">
      <c r="A13" s="35" t="s">
        <v>117</v>
      </c>
      <c r="B13" s="51"/>
      <c r="C13" s="51"/>
      <c r="D13" s="51"/>
      <c r="E13" s="111"/>
      <c r="F13" s="112">
        <f t="shared" si="1"/>
        <v>0</v>
      </c>
      <c r="G13" s="113">
        <f t="shared" si="2"/>
        <v>0</v>
      </c>
      <c r="H13" s="113">
        <f t="shared" si="3"/>
        <v>0</v>
      </c>
      <c r="I13" s="247">
        <f t="shared" si="4"/>
        <v>0</v>
      </c>
      <c r="J13" s="238">
        <f t="shared" si="5"/>
        <v>0</v>
      </c>
      <c r="K13" s="239" t="e">
        <f t="shared" si="6"/>
        <v>#DIV/0!</v>
      </c>
      <c r="L13" s="238">
        <f t="shared" si="7"/>
        <v>0</v>
      </c>
      <c r="M13" s="239" t="e">
        <f t="shared" si="8"/>
        <v>#DIV/0!</v>
      </c>
    </row>
    <row r="14" spans="1:13" s="26" customFormat="1">
      <c r="A14" s="35" t="s">
        <v>118</v>
      </c>
      <c r="B14" s="51"/>
      <c r="C14" s="51"/>
      <c r="D14" s="51"/>
      <c r="E14" s="111"/>
      <c r="F14" s="112">
        <f t="shared" si="1"/>
        <v>0</v>
      </c>
      <c r="G14" s="113">
        <f t="shared" si="2"/>
        <v>0</v>
      </c>
      <c r="H14" s="113">
        <f t="shared" si="3"/>
        <v>0</v>
      </c>
      <c r="I14" s="247">
        <f t="shared" si="4"/>
        <v>0</v>
      </c>
      <c r="J14" s="238">
        <f t="shared" si="5"/>
        <v>0</v>
      </c>
      <c r="K14" s="239" t="e">
        <f t="shared" si="6"/>
        <v>#DIV/0!</v>
      </c>
      <c r="L14" s="238">
        <f t="shared" si="7"/>
        <v>0</v>
      </c>
      <c r="M14" s="239" t="e">
        <f t="shared" si="8"/>
        <v>#DIV/0!</v>
      </c>
    </row>
    <row r="15" spans="1:13" s="25" customFormat="1">
      <c r="A15" s="102" t="s">
        <v>119</v>
      </c>
      <c r="B15" s="114"/>
      <c r="C15" s="114"/>
      <c r="D15" s="103"/>
      <c r="E15" s="104"/>
      <c r="F15" s="109"/>
      <c r="G15" s="110"/>
      <c r="H15" s="110"/>
      <c r="I15" s="246"/>
      <c r="J15" s="236"/>
      <c r="K15" s="237"/>
      <c r="L15" s="236"/>
      <c r="M15" s="237"/>
    </row>
    <row r="16" spans="1:13" s="25" customFormat="1">
      <c r="A16" s="41" t="s">
        <v>120</v>
      </c>
      <c r="B16" s="115"/>
      <c r="C16" s="115"/>
      <c r="D16" s="49"/>
      <c r="E16" s="108"/>
      <c r="F16" s="109">
        <f t="shared" ref="F16:F27" si="9">B16/10000</f>
        <v>0</v>
      </c>
      <c r="G16" s="110">
        <f t="shared" ref="G16:G27" si="10">C16/10000</f>
        <v>0</v>
      </c>
      <c r="H16" s="110">
        <f t="shared" ref="H16:H27" si="11">D16/10000</f>
        <v>0</v>
      </c>
      <c r="I16" s="246">
        <f t="shared" ref="I16:I27" si="12">E16/10000</f>
        <v>0</v>
      </c>
      <c r="J16" s="236">
        <f t="shared" ref="J16:J27" si="13">G16-H16</f>
        <v>0</v>
      </c>
      <c r="K16" s="237" t="e">
        <f t="shared" ref="K16:K27" si="14">J16/H16*100</f>
        <v>#DIV/0!</v>
      </c>
      <c r="L16" s="236">
        <f t="shared" ref="L16:L27" si="15">H16-I16</f>
        <v>0</v>
      </c>
      <c r="M16" s="237" t="e">
        <f t="shared" ref="M16:M27" si="16">L16/I16*100</f>
        <v>#DIV/0!</v>
      </c>
    </row>
    <row r="17" spans="1:13" s="25" customFormat="1">
      <c r="A17" s="41" t="s">
        <v>121</v>
      </c>
      <c r="B17" s="115"/>
      <c r="C17" s="115"/>
      <c r="D17" s="49"/>
      <c r="E17" s="108"/>
      <c r="F17" s="109">
        <f t="shared" si="9"/>
        <v>0</v>
      </c>
      <c r="G17" s="110">
        <f t="shared" si="10"/>
        <v>0</v>
      </c>
      <c r="H17" s="110">
        <f t="shared" si="11"/>
        <v>0</v>
      </c>
      <c r="I17" s="246">
        <f t="shared" si="12"/>
        <v>0</v>
      </c>
      <c r="J17" s="236">
        <f t="shared" si="13"/>
        <v>0</v>
      </c>
      <c r="K17" s="237" t="e">
        <f t="shared" si="14"/>
        <v>#DIV/0!</v>
      </c>
      <c r="L17" s="236">
        <f t="shared" si="15"/>
        <v>0</v>
      </c>
      <c r="M17" s="237" t="e">
        <f t="shared" si="16"/>
        <v>#DIV/0!</v>
      </c>
    </row>
    <row r="18" spans="1:13" s="25" customFormat="1">
      <c r="A18" s="41" t="s">
        <v>122</v>
      </c>
      <c r="B18" s="115"/>
      <c r="C18" s="115"/>
      <c r="D18" s="49"/>
      <c r="E18" s="108"/>
      <c r="F18" s="109">
        <f t="shared" si="9"/>
        <v>0</v>
      </c>
      <c r="G18" s="110">
        <f t="shared" si="10"/>
        <v>0</v>
      </c>
      <c r="H18" s="110">
        <f t="shared" si="11"/>
        <v>0</v>
      </c>
      <c r="I18" s="246">
        <f t="shared" si="12"/>
        <v>0</v>
      </c>
      <c r="J18" s="236">
        <f t="shared" si="13"/>
        <v>0</v>
      </c>
      <c r="K18" s="237" t="e">
        <f t="shared" si="14"/>
        <v>#DIV/0!</v>
      </c>
      <c r="L18" s="236">
        <f t="shared" si="15"/>
        <v>0</v>
      </c>
      <c r="M18" s="237" t="e">
        <f t="shared" si="16"/>
        <v>#DIV/0!</v>
      </c>
    </row>
    <row r="19" spans="1:13" s="25" customFormat="1">
      <c r="A19" s="41" t="s">
        <v>123</v>
      </c>
      <c r="B19" s="116"/>
      <c r="C19" s="117"/>
      <c r="D19" s="115"/>
      <c r="E19" s="118"/>
      <c r="F19" s="109">
        <f t="shared" si="9"/>
        <v>0</v>
      </c>
      <c r="G19" s="110">
        <f t="shared" si="10"/>
        <v>0</v>
      </c>
      <c r="H19" s="110">
        <f t="shared" si="11"/>
        <v>0</v>
      </c>
      <c r="I19" s="246">
        <f t="shared" si="12"/>
        <v>0</v>
      </c>
      <c r="J19" s="236">
        <f t="shared" si="13"/>
        <v>0</v>
      </c>
      <c r="K19" s="237" t="e">
        <f t="shared" si="14"/>
        <v>#DIV/0!</v>
      </c>
      <c r="L19" s="236">
        <f t="shared" si="15"/>
        <v>0</v>
      </c>
      <c r="M19" s="237" t="e">
        <f t="shared" si="16"/>
        <v>#DIV/0!</v>
      </c>
    </row>
    <row r="20" spans="1:13" s="25" customFormat="1">
      <c r="A20" s="41" t="s">
        <v>124</v>
      </c>
      <c r="B20" s="119"/>
      <c r="C20" s="49"/>
      <c r="D20" s="49"/>
      <c r="E20" s="108"/>
      <c r="F20" s="109">
        <f t="shared" si="9"/>
        <v>0</v>
      </c>
      <c r="G20" s="110">
        <f t="shared" si="10"/>
        <v>0</v>
      </c>
      <c r="H20" s="110">
        <f t="shared" si="11"/>
        <v>0</v>
      </c>
      <c r="I20" s="246">
        <f t="shared" si="12"/>
        <v>0</v>
      </c>
      <c r="J20" s="236">
        <f t="shared" si="13"/>
        <v>0</v>
      </c>
      <c r="K20" s="237" t="e">
        <f t="shared" si="14"/>
        <v>#DIV/0!</v>
      </c>
      <c r="L20" s="236">
        <f t="shared" si="15"/>
        <v>0</v>
      </c>
      <c r="M20" s="237" t="e">
        <f t="shared" si="16"/>
        <v>#DIV/0!</v>
      </c>
    </row>
    <row r="21" spans="1:13" s="26" customFormat="1">
      <c r="A21" s="35" t="s">
        <v>125</v>
      </c>
      <c r="B21" s="51"/>
      <c r="C21" s="51"/>
      <c r="D21" s="51"/>
      <c r="E21" s="111"/>
      <c r="F21" s="112">
        <f t="shared" si="9"/>
        <v>0</v>
      </c>
      <c r="G21" s="113">
        <f t="shared" si="10"/>
        <v>0</v>
      </c>
      <c r="H21" s="113">
        <f t="shared" si="11"/>
        <v>0</v>
      </c>
      <c r="I21" s="247">
        <f t="shared" si="12"/>
        <v>0</v>
      </c>
      <c r="J21" s="238">
        <f t="shared" si="13"/>
        <v>0</v>
      </c>
      <c r="K21" s="239" t="e">
        <f t="shared" si="14"/>
        <v>#DIV/0!</v>
      </c>
      <c r="L21" s="238">
        <f t="shared" si="15"/>
        <v>0</v>
      </c>
      <c r="M21" s="239" t="e">
        <f t="shared" si="16"/>
        <v>#DIV/0!</v>
      </c>
    </row>
    <row r="22" spans="1:13" s="25" customFormat="1">
      <c r="A22" s="41" t="s">
        <v>126</v>
      </c>
      <c r="B22" s="49"/>
      <c r="C22" s="49"/>
      <c r="D22" s="49"/>
      <c r="E22" s="108"/>
      <c r="F22" s="109">
        <f t="shared" si="9"/>
        <v>0</v>
      </c>
      <c r="G22" s="110">
        <f t="shared" si="10"/>
        <v>0</v>
      </c>
      <c r="H22" s="110">
        <f t="shared" si="11"/>
        <v>0</v>
      </c>
      <c r="I22" s="246">
        <f t="shared" si="12"/>
        <v>0</v>
      </c>
      <c r="J22" s="236">
        <f t="shared" si="13"/>
        <v>0</v>
      </c>
      <c r="K22" s="237" t="e">
        <f t="shared" si="14"/>
        <v>#DIV/0!</v>
      </c>
      <c r="L22" s="236">
        <f t="shared" si="15"/>
        <v>0</v>
      </c>
      <c r="M22" s="237" t="e">
        <f t="shared" si="16"/>
        <v>#DIV/0!</v>
      </c>
    </row>
    <row r="23" spans="1:13" s="25" customFormat="1">
      <c r="A23" s="41" t="s">
        <v>127</v>
      </c>
      <c r="B23" s="49"/>
      <c r="C23" s="49"/>
      <c r="D23" s="49"/>
      <c r="E23" s="108"/>
      <c r="F23" s="109">
        <f t="shared" si="9"/>
        <v>0</v>
      </c>
      <c r="G23" s="110">
        <f t="shared" si="10"/>
        <v>0</v>
      </c>
      <c r="H23" s="110">
        <f t="shared" si="11"/>
        <v>0</v>
      </c>
      <c r="I23" s="246">
        <f t="shared" si="12"/>
        <v>0</v>
      </c>
      <c r="J23" s="236">
        <f t="shared" si="13"/>
        <v>0</v>
      </c>
      <c r="K23" s="237" t="e">
        <f t="shared" si="14"/>
        <v>#DIV/0!</v>
      </c>
      <c r="L23" s="236">
        <f t="shared" si="15"/>
        <v>0</v>
      </c>
      <c r="M23" s="237" t="e">
        <f t="shared" si="16"/>
        <v>#DIV/0!</v>
      </c>
    </row>
    <row r="24" spans="1:13" s="25" customFormat="1">
      <c r="A24" s="41" t="s">
        <v>128</v>
      </c>
      <c r="B24" s="119"/>
      <c r="C24" s="49"/>
      <c r="D24" s="49"/>
      <c r="E24" s="108"/>
      <c r="F24" s="109">
        <f t="shared" si="9"/>
        <v>0</v>
      </c>
      <c r="G24" s="110">
        <f t="shared" si="10"/>
        <v>0</v>
      </c>
      <c r="H24" s="110">
        <f t="shared" si="11"/>
        <v>0</v>
      </c>
      <c r="I24" s="246">
        <f t="shared" si="12"/>
        <v>0</v>
      </c>
      <c r="J24" s="236">
        <f t="shared" si="13"/>
        <v>0</v>
      </c>
      <c r="K24" s="237" t="e">
        <f t="shared" si="14"/>
        <v>#DIV/0!</v>
      </c>
      <c r="L24" s="236">
        <f t="shared" si="15"/>
        <v>0</v>
      </c>
      <c r="M24" s="237" t="e">
        <f t="shared" si="16"/>
        <v>#DIV/0!</v>
      </c>
    </row>
    <row r="25" spans="1:13" s="25" customFormat="1">
      <c r="A25" s="41" t="s">
        <v>129</v>
      </c>
      <c r="B25" s="119"/>
      <c r="C25" s="49"/>
      <c r="D25" s="49"/>
      <c r="E25" s="108"/>
      <c r="F25" s="109">
        <f t="shared" si="9"/>
        <v>0</v>
      </c>
      <c r="G25" s="110">
        <f t="shared" si="10"/>
        <v>0</v>
      </c>
      <c r="H25" s="110">
        <f t="shared" si="11"/>
        <v>0</v>
      </c>
      <c r="I25" s="246">
        <f t="shared" si="12"/>
        <v>0</v>
      </c>
      <c r="J25" s="236">
        <f t="shared" si="13"/>
        <v>0</v>
      </c>
      <c r="K25" s="237" t="e">
        <f t="shared" si="14"/>
        <v>#DIV/0!</v>
      </c>
      <c r="L25" s="236">
        <f t="shared" si="15"/>
        <v>0</v>
      </c>
      <c r="M25" s="237" t="e">
        <f t="shared" si="16"/>
        <v>#DIV/0!</v>
      </c>
    </row>
    <row r="26" spans="1:13" s="26" customFormat="1">
      <c r="A26" s="35" t="s">
        <v>130</v>
      </c>
      <c r="B26" s="51"/>
      <c r="C26" s="51"/>
      <c r="D26" s="51"/>
      <c r="E26" s="111"/>
      <c r="F26" s="112">
        <f t="shared" si="9"/>
        <v>0</v>
      </c>
      <c r="G26" s="113">
        <f t="shared" si="10"/>
        <v>0</v>
      </c>
      <c r="H26" s="113">
        <f t="shared" si="11"/>
        <v>0</v>
      </c>
      <c r="I26" s="247">
        <f t="shared" si="12"/>
        <v>0</v>
      </c>
      <c r="J26" s="238">
        <f t="shared" si="13"/>
        <v>0</v>
      </c>
      <c r="K26" s="239" t="e">
        <f t="shared" si="14"/>
        <v>#DIV/0!</v>
      </c>
      <c r="L26" s="238">
        <f t="shared" si="15"/>
        <v>0</v>
      </c>
      <c r="M26" s="239" t="e">
        <f t="shared" si="16"/>
        <v>#DIV/0!</v>
      </c>
    </row>
    <row r="27" spans="1:13" s="26" customFormat="1">
      <c r="A27" s="35" t="s">
        <v>131</v>
      </c>
      <c r="B27" s="51"/>
      <c r="C27" s="51"/>
      <c r="D27" s="51"/>
      <c r="E27" s="111"/>
      <c r="F27" s="112">
        <f t="shared" si="9"/>
        <v>0</v>
      </c>
      <c r="G27" s="113">
        <f t="shared" si="10"/>
        <v>0</v>
      </c>
      <c r="H27" s="113">
        <f t="shared" si="11"/>
        <v>0</v>
      </c>
      <c r="I27" s="247">
        <f t="shared" si="12"/>
        <v>0</v>
      </c>
      <c r="J27" s="238">
        <f t="shared" si="13"/>
        <v>0</v>
      </c>
      <c r="K27" s="239" t="e">
        <f t="shared" si="14"/>
        <v>#DIV/0!</v>
      </c>
      <c r="L27" s="238">
        <f t="shared" si="15"/>
        <v>0</v>
      </c>
      <c r="M27" s="239" t="e">
        <f t="shared" si="16"/>
        <v>#DIV/0!</v>
      </c>
    </row>
    <row r="28" spans="1:13" s="25" customFormat="1">
      <c r="A28" s="102" t="s">
        <v>132</v>
      </c>
      <c r="B28" s="120"/>
      <c r="C28" s="103"/>
      <c r="D28" s="103"/>
      <c r="E28" s="104"/>
      <c r="F28" s="109"/>
      <c r="G28" s="110"/>
      <c r="H28" s="110"/>
      <c r="I28" s="246"/>
      <c r="J28" s="236"/>
      <c r="K28" s="237"/>
      <c r="L28" s="236"/>
      <c r="M28" s="237"/>
    </row>
    <row r="29" spans="1:13" s="25" customFormat="1">
      <c r="A29" s="41" t="s">
        <v>133</v>
      </c>
      <c r="B29" s="119"/>
      <c r="C29" s="49"/>
      <c r="D29" s="49"/>
      <c r="E29" s="108"/>
      <c r="F29" s="109">
        <f t="shared" ref="F29:F42" si="17">B29/10000</f>
        <v>0</v>
      </c>
      <c r="G29" s="110">
        <f t="shared" ref="G29:G42" si="18">C29/10000</f>
        <v>0</v>
      </c>
      <c r="H29" s="110">
        <f t="shared" ref="H29:H42" si="19">D29/10000</f>
        <v>0</v>
      </c>
      <c r="I29" s="246">
        <f t="shared" ref="I29:I42" si="20">E29/10000</f>
        <v>0</v>
      </c>
      <c r="J29" s="236">
        <f t="shared" ref="J29:J42" si="21">G29-H29</f>
        <v>0</v>
      </c>
      <c r="K29" s="237" t="e">
        <f t="shared" ref="K29:K42" si="22">J29/H29*100</f>
        <v>#DIV/0!</v>
      </c>
      <c r="L29" s="236">
        <f t="shared" ref="L29:L42" si="23">H29-I29</f>
        <v>0</v>
      </c>
      <c r="M29" s="237" t="e">
        <f t="shared" ref="M29:M42" si="24">L29/I29*100</f>
        <v>#DIV/0!</v>
      </c>
    </row>
    <row r="30" spans="1:13" s="25" customFormat="1">
      <c r="A30" s="41" t="s">
        <v>134</v>
      </c>
      <c r="B30" s="49"/>
      <c r="C30" s="49"/>
      <c r="D30" s="49"/>
      <c r="E30" s="108"/>
      <c r="F30" s="109">
        <f t="shared" si="17"/>
        <v>0</v>
      </c>
      <c r="G30" s="110">
        <f t="shared" si="18"/>
        <v>0</v>
      </c>
      <c r="H30" s="110">
        <f t="shared" si="19"/>
        <v>0</v>
      </c>
      <c r="I30" s="246">
        <f t="shared" si="20"/>
        <v>0</v>
      </c>
      <c r="J30" s="236">
        <f t="shared" si="21"/>
        <v>0</v>
      </c>
      <c r="K30" s="237" t="e">
        <f t="shared" si="22"/>
        <v>#DIV/0!</v>
      </c>
      <c r="L30" s="236">
        <f t="shared" si="23"/>
        <v>0</v>
      </c>
      <c r="M30" s="237" t="e">
        <f t="shared" si="24"/>
        <v>#DIV/0!</v>
      </c>
    </row>
    <row r="31" spans="1:13" s="25" customFormat="1">
      <c r="A31" s="41" t="s">
        <v>136</v>
      </c>
      <c r="B31" s="49"/>
      <c r="C31" s="49"/>
      <c r="D31" s="49"/>
      <c r="E31" s="108"/>
      <c r="F31" s="109">
        <f t="shared" si="17"/>
        <v>0</v>
      </c>
      <c r="G31" s="110">
        <f t="shared" si="18"/>
        <v>0</v>
      </c>
      <c r="H31" s="110">
        <f t="shared" si="19"/>
        <v>0</v>
      </c>
      <c r="I31" s="246">
        <f t="shared" si="20"/>
        <v>0</v>
      </c>
      <c r="J31" s="236">
        <f t="shared" si="21"/>
        <v>0</v>
      </c>
      <c r="K31" s="237" t="e">
        <f t="shared" si="22"/>
        <v>#DIV/0!</v>
      </c>
      <c r="L31" s="236">
        <f t="shared" si="23"/>
        <v>0</v>
      </c>
      <c r="M31" s="237" t="e">
        <f t="shared" si="24"/>
        <v>#DIV/0!</v>
      </c>
    </row>
    <row r="32" spans="1:13" s="25" customFormat="1">
      <c r="A32" s="151" t="s">
        <v>135</v>
      </c>
      <c r="B32" s="152"/>
      <c r="C32" s="152"/>
      <c r="D32" s="152"/>
      <c r="E32" s="153"/>
      <c r="F32" s="154">
        <f t="shared" si="17"/>
        <v>0</v>
      </c>
      <c r="G32" s="155">
        <f t="shared" si="18"/>
        <v>0</v>
      </c>
      <c r="H32" s="155">
        <f t="shared" si="19"/>
        <v>0</v>
      </c>
      <c r="I32" s="248">
        <f t="shared" si="20"/>
        <v>0</v>
      </c>
      <c r="J32" s="240">
        <f t="shared" si="21"/>
        <v>0</v>
      </c>
      <c r="K32" s="241" t="e">
        <f t="shared" si="22"/>
        <v>#DIV/0!</v>
      </c>
      <c r="L32" s="240">
        <f t="shared" si="23"/>
        <v>0</v>
      </c>
      <c r="M32" s="241" t="e">
        <f t="shared" si="24"/>
        <v>#DIV/0!</v>
      </c>
    </row>
    <row r="33" spans="1:13" s="26" customFormat="1">
      <c r="A33" s="35" t="s">
        <v>137</v>
      </c>
      <c r="B33" s="51"/>
      <c r="C33" s="51"/>
      <c r="D33" s="51"/>
      <c r="E33" s="111"/>
      <c r="F33" s="112">
        <f t="shared" si="17"/>
        <v>0</v>
      </c>
      <c r="G33" s="113">
        <f t="shared" si="18"/>
        <v>0</v>
      </c>
      <c r="H33" s="113">
        <f t="shared" si="19"/>
        <v>0</v>
      </c>
      <c r="I33" s="247">
        <f t="shared" si="20"/>
        <v>0</v>
      </c>
      <c r="J33" s="238">
        <f t="shared" si="21"/>
        <v>0</v>
      </c>
      <c r="K33" s="239" t="e">
        <f t="shared" si="22"/>
        <v>#DIV/0!</v>
      </c>
      <c r="L33" s="238">
        <f t="shared" si="23"/>
        <v>0</v>
      </c>
      <c r="M33" s="239" t="e">
        <f t="shared" si="24"/>
        <v>#DIV/0!</v>
      </c>
    </row>
    <row r="34" spans="1:13" s="25" customFormat="1">
      <c r="A34" s="41" t="s">
        <v>138</v>
      </c>
      <c r="B34" s="49"/>
      <c r="C34" s="49"/>
      <c r="D34" s="49"/>
      <c r="E34" s="108"/>
      <c r="F34" s="109">
        <f t="shared" si="17"/>
        <v>0</v>
      </c>
      <c r="G34" s="110">
        <f t="shared" si="18"/>
        <v>0</v>
      </c>
      <c r="H34" s="110">
        <f t="shared" si="19"/>
        <v>0</v>
      </c>
      <c r="I34" s="246">
        <f t="shared" si="20"/>
        <v>0</v>
      </c>
      <c r="J34" s="236">
        <f t="shared" si="21"/>
        <v>0</v>
      </c>
      <c r="K34" s="237" t="e">
        <f t="shared" si="22"/>
        <v>#DIV/0!</v>
      </c>
      <c r="L34" s="236">
        <f t="shared" si="23"/>
        <v>0</v>
      </c>
      <c r="M34" s="237" t="e">
        <f t="shared" si="24"/>
        <v>#DIV/0!</v>
      </c>
    </row>
    <row r="35" spans="1:13" s="25" customFormat="1">
      <c r="A35" s="41" t="s">
        <v>139</v>
      </c>
      <c r="B35" s="49"/>
      <c r="C35" s="49"/>
      <c r="D35" s="49"/>
      <c r="E35" s="108"/>
      <c r="F35" s="109">
        <f t="shared" si="17"/>
        <v>0</v>
      </c>
      <c r="G35" s="110">
        <f t="shared" si="18"/>
        <v>0</v>
      </c>
      <c r="H35" s="110">
        <f t="shared" si="19"/>
        <v>0</v>
      </c>
      <c r="I35" s="246">
        <f t="shared" si="20"/>
        <v>0</v>
      </c>
      <c r="J35" s="236">
        <f t="shared" si="21"/>
        <v>0</v>
      </c>
      <c r="K35" s="237" t="e">
        <f t="shared" si="22"/>
        <v>#DIV/0!</v>
      </c>
      <c r="L35" s="236">
        <f t="shared" si="23"/>
        <v>0</v>
      </c>
      <c r="M35" s="237" t="e">
        <f t="shared" si="24"/>
        <v>#DIV/0!</v>
      </c>
    </row>
    <row r="36" spans="1:13" s="25" customFormat="1">
      <c r="A36" s="41" t="s">
        <v>140</v>
      </c>
      <c r="B36" s="49"/>
      <c r="C36" s="49"/>
      <c r="D36" s="49"/>
      <c r="E36" s="108"/>
      <c r="F36" s="109">
        <f t="shared" si="17"/>
        <v>0</v>
      </c>
      <c r="G36" s="110">
        <f t="shared" si="18"/>
        <v>0</v>
      </c>
      <c r="H36" s="110">
        <f t="shared" si="19"/>
        <v>0</v>
      </c>
      <c r="I36" s="246">
        <f t="shared" si="20"/>
        <v>0</v>
      </c>
      <c r="J36" s="236">
        <f t="shared" si="21"/>
        <v>0</v>
      </c>
      <c r="K36" s="237" t="e">
        <f t="shared" si="22"/>
        <v>#DIV/0!</v>
      </c>
      <c r="L36" s="236">
        <f t="shared" si="23"/>
        <v>0</v>
      </c>
      <c r="M36" s="237" t="e">
        <f t="shared" si="24"/>
        <v>#DIV/0!</v>
      </c>
    </row>
    <row r="37" spans="1:13" s="26" customFormat="1">
      <c r="A37" s="35" t="s">
        <v>141</v>
      </c>
      <c r="B37" s="51"/>
      <c r="C37" s="51"/>
      <c r="D37" s="51"/>
      <c r="E37" s="111"/>
      <c r="F37" s="112">
        <f t="shared" si="17"/>
        <v>0</v>
      </c>
      <c r="G37" s="113">
        <f t="shared" si="18"/>
        <v>0</v>
      </c>
      <c r="H37" s="113">
        <f t="shared" si="19"/>
        <v>0</v>
      </c>
      <c r="I37" s="247">
        <f t="shared" si="20"/>
        <v>0</v>
      </c>
      <c r="J37" s="238">
        <f t="shared" si="21"/>
        <v>0</v>
      </c>
      <c r="K37" s="239" t="e">
        <f t="shared" si="22"/>
        <v>#DIV/0!</v>
      </c>
      <c r="L37" s="238">
        <f t="shared" si="23"/>
        <v>0</v>
      </c>
      <c r="M37" s="239" t="e">
        <f t="shared" si="24"/>
        <v>#DIV/0!</v>
      </c>
    </row>
    <row r="38" spans="1:13" s="26" customFormat="1">
      <c r="A38" s="35" t="s">
        <v>142</v>
      </c>
      <c r="B38" s="51"/>
      <c r="C38" s="51"/>
      <c r="D38" s="51"/>
      <c r="E38" s="111"/>
      <c r="F38" s="112">
        <f t="shared" si="17"/>
        <v>0</v>
      </c>
      <c r="G38" s="113">
        <f t="shared" si="18"/>
        <v>0</v>
      </c>
      <c r="H38" s="113">
        <f t="shared" si="19"/>
        <v>0</v>
      </c>
      <c r="I38" s="247">
        <f t="shared" si="20"/>
        <v>0</v>
      </c>
      <c r="J38" s="238">
        <f t="shared" si="21"/>
        <v>0</v>
      </c>
      <c r="K38" s="239" t="e">
        <f t="shared" si="22"/>
        <v>#DIV/0!</v>
      </c>
      <c r="L38" s="238">
        <f t="shared" si="23"/>
        <v>0</v>
      </c>
      <c r="M38" s="239" t="e">
        <f>L38/I38*100</f>
        <v>#DIV/0!</v>
      </c>
    </row>
    <row r="39" spans="1:13" s="26" customFormat="1">
      <c r="A39" s="35" t="s">
        <v>143</v>
      </c>
      <c r="B39" s="36"/>
      <c r="C39" s="121"/>
      <c r="D39" s="51"/>
      <c r="E39" s="111"/>
      <c r="F39" s="112">
        <f t="shared" si="17"/>
        <v>0</v>
      </c>
      <c r="G39" s="113">
        <f t="shared" si="18"/>
        <v>0</v>
      </c>
      <c r="H39" s="113">
        <f t="shared" si="19"/>
        <v>0</v>
      </c>
      <c r="I39" s="247">
        <f t="shared" si="20"/>
        <v>0</v>
      </c>
      <c r="J39" s="238">
        <f t="shared" si="21"/>
        <v>0</v>
      </c>
      <c r="K39" s="239" t="e">
        <f t="shared" si="22"/>
        <v>#DIV/0!</v>
      </c>
      <c r="L39" s="238">
        <f t="shared" si="23"/>
        <v>0</v>
      </c>
      <c r="M39" s="239" t="e">
        <f t="shared" si="24"/>
        <v>#DIV/0!</v>
      </c>
    </row>
    <row r="40" spans="1:13" s="26" customFormat="1">
      <c r="A40" s="35" t="s">
        <v>144</v>
      </c>
      <c r="B40" s="122"/>
      <c r="C40" s="122"/>
      <c r="D40" s="122"/>
      <c r="E40" s="123"/>
      <c r="F40" s="112">
        <f t="shared" si="17"/>
        <v>0</v>
      </c>
      <c r="G40" s="113">
        <f t="shared" si="18"/>
        <v>0</v>
      </c>
      <c r="H40" s="113">
        <f t="shared" si="19"/>
        <v>0</v>
      </c>
      <c r="I40" s="247">
        <f t="shared" si="20"/>
        <v>0</v>
      </c>
      <c r="J40" s="238">
        <f t="shared" si="21"/>
        <v>0</v>
      </c>
      <c r="K40" s="239" t="e">
        <f t="shared" si="22"/>
        <v>#DIV/0!</v>
      </c>
      <c r="L40" s="238">
        <f t="shared" si="23"/>
        <v>0</v>
      </c>
      <c r="M40" s="239" t="e">
        <f t="shared" si="24"/>
        <v>#DIV/0!</v>
      </c>
    </row>
    <row r="41" spans="1:13" s="25" customFormat="1">
      <c r="A41" s="41" t="s">
        <v>145</v>
      </c>
      <c r="B41" s="124"/>
      <c r="C41" s="124"/>
      <c r="D41" s="124"/>
      <c r="E41" s="125"/>
      <c r="F41" s="109">
        <f t="shared" si="17"/>
        <v>0</v>
      </c>
      <c r="G41" s="110">
        <f t="shared" si="18"/>
        <v>0</v>
      </c>
      <c r="H41" s="110">
        <f t="shared" si="19"/>
        <v>0</v>
      </c>
      <c r="I41" s="246">
        <f t="shared" si="20"/>
        <v>0</v>
      </c>
      <c r="J41" s="236">
        <f t="shared" si="21"/>
        <v>0</v>
      </c>
      <c r="K41" s="237" t="e">
        <f t="shared" si="22"/>
        <v>#DIV/0!</v>
      </c>
      <c r="L41" s="236">
        <f t="shared" si="23"/>
        <v>0</v>
      </c>
      <c r="M41" s="237" t="e">
        <f t="shared" si="24"/>
        <v>#DIV/0!</v>
      </c>
    </row>
    <row r="42" spans="1:13" s="26" customFormat="1" ht="16.5" thickBot="1">
      <c r="A42" s="126" t="s">
        <v>146</v>
      </c>
      <c r="B42" s="127"/>
      <c r="C42" s="127"/>
      <c r="D42" s="127"/>
      <c r="E42" s="128"/>
      <c r="F42" s="112">
        <f t="shared" si="17"/>
        <v>0</v>
      </c>
      <c r="G42" s="113">
        <f t="shared" si="18"/>
        <v>0</v>
      </c>
      <c r="H42" s="113">
        <f t="shared" si="19"/>
        <v>0</v>
      </c>
      <c r="I42" s="247">
        <f t="shared" si="20"/>
        <v>0</v>
      </c>
      <c r="J42" s="242">
        <f t="shared" si="21"/>
        <v>0</v>
      </c>
      <c r="K42" s="243" t="e">
        <f t="shared" si="22"/>
        <v>#DIV/0!</v>
      </c>
      <c r="L42" s="242">
        <f t="shared" si="23"/>
        <v>0</v>
      </c>
      <c r="M42" s="243" t="e">
        <f t="shared" si="24"/>
        <v>#DIV/0!</v>
      </c>
    </row>
    <row r="43" spans="1:13">
      <c r="B43" s="10"/>
      <c r="C43" s="10"/>
      <c r="D43" s="10"/>
      <c r="E43" s="10"/>
      <c r="F43" s="2"/>
      <c r="G43" s="2"/>
      <c r="H43" s="2"/>
      <c r="I43" s="2"/>
    </row>
    <row r="44" spans="1:13">
      <c r="B44" s="10"/>
      <c r="C44" s="10"/>
      <c r="D44" s="10"/>
      <c r="E44" s="10"/>
      <c r="F44" s="10"/>
      <c r="G44" s="10"/>
      <c r="H44" s="10"/>
      <c r="I44" s="2"/>
    </row>
    <row r="45" spans="1:13">
      <c r="A45" s="17" t="s">
        <v>12</v>
      </c>
      <c r="B45" s="18"/>
      <c r="C45" s="18"/>
      <c r="D45" s="18"/>
      <c r="E45" s="18"/>
      <c r="F45" s="19"/>
      <c r="G45" s="19"/>
      <c r="H45" s="19"/>
      <c r="I45" s="20"/>
    </row>
    <row r="46" spans="1:13">
      <c r="A46" s="21" t="s">
        <v>25</v>
      </c>
      <c r="B46" s="20">
        <f>SUM(B5:B7)-B8</f>
        <v>0</v>
      </c>
      <c r="C46" s="20">
        <f t="shared" ref="C46:I46" si="25">SUM(C5:C7)-C8</f>
        <v>0</v>
      </c>
      <c r="D46" s="20">
        <f t="shared" si="25"/>
        <v>0</v>
      </c>
      <c r="E46" s="20">
        <f t="shared" si="25"/>
        <v>0</v>
      </c>
      <c r="F46" s="20">
        <f t="shared" si="25"/>
        <v>0</v>
      </c>
      <c r="G46" s="20">
        <f t="shared" si="25"/>
        <v>0</v>
      </c>
      <c r="H46" s="20">
        <f t="shared" si="25"/>
        <v>0</v>
      </c>
      <c r="I46" s="20">
        <f t="shared" si="25"/>
        <v>0</v>
      </c>
    </row>
    <row r="47" spans="1:13">
      <c r="A47" s="21" t="s">
        <v>26</v>
      </c>
      <c r="B47" s="20">
        <f>SUM(B9:B12)-B13</f>
        <v>0</v>
      </c>
      <c r="C47" s="20">
        <f t="shared" ref="C47:I47" si="26">SUM(C9:C12)-C13</f>
        <v>0</v>
      </c>
      <c r="D47" s="20">
        <f t="shared" si="26"/>
        <v>0</v>
      </c>
      <c r="E47" s="20">
        <f t="shared" si="26"/>
        <v>0</v>
      </c>
      <c r="F47" s="20">
        <f t="shared" si="26"/>
        <v>0</v>
      </c>
      <c r="G47" s="20">
        <f t="shared" si="26"/>
        <v>0</v>
      </c>
      <c r="H47" s="20">
        <f t="shared" si="26"/>
        <v>0</v>
      </c>
      <c r="I47" s="20">
        <f t="shared" si="26"/>
        <v>0</v>
      </c>
    </row>
    <row r="48" spans="1:13">
      <c r="A48" s="21" t="s">
        <v>27</v>
      </c>
      <c r="B48" s="20">
        <f>B8-B13-B14</f>
        <v>0</v>
      </c>
      <c r="C48" s="20">
        <f t="shared" ref="C48:I48" si="27">C8-C13-C14</f>
        <v>0</v>
      </c>
      <c r="D48" s="20">
        <f t="shared" si="27"/>
        <v>0</v>
      </c>
      <c r="E48" s="20">
        <f t="shared" si="27"/>
        <v>0</v>
      </c>
      <c r="F48" s="20">
        <f t="shared" si="27"/>
        <v>0</v>
      </c>
      <c r="G48" s="20">
        <f t="shared" si="27"/>
        <v>0</v>
      </c>
      <c r="H48" s="20">
        <f t="shared" si="27"/>
        <v>0</v>
      </c>
      <c r="I48" s="20">
        <f t="shared" si="27"/>
        <v>0</v>
      </c>
    </row>
    <row r="49" spans="1:9">
      <c r="A49" s="21" t="s">
        <v>28</v>
      </c>
      <c r="B49" s="20">
        <f>SUM(B16:B20)-B21</f>
        <v>0</v>
      </c>
      <c r="C49" s="20">
        <f t="shared" ref="C49:I49" si="28">SUM(C16:C20)-C21</f>
        <v>0</v>
      </c>
      <c r="D49" s="20">
        <f t="shared" si="28"/>
        <v>0</v>
      </c>
      <c r="E49" s="20">
        <f t="shared" si="28"/>
        <v>0</v>
      </c>
      <c r="F49" s="20">
        <f t="shared" si="28"/>
        <v>0</v>
      </c>
      <c r="G49" s="20">
        <f t="shared" si="28"/>
        <v>0</v>
      </c>
      <c r="H49" s="20">
        <f t="shared" si="28"/>
        <v>0</v>
      </c>
      <c r="I49" s="20">
        <f t="shared" si="28"/>
        <v>0</v>
      </c>
    </row>
    <row r="50" spans="1:9">
      <c r="A50" s="21" t="s">
        <v>26</v>
      </c>
      <c r="B50" s="20">
        <f>SUM(B22:B25)-B26</f>
        <v>0</v>
      </c>
      <c r="C50" s="20">
        <f t="shared" ref="C50:I50" si="29">SUM(C22:C25)-C26</f>
        <v>0</v>
      </c>
      <c r="D50" s="20">
        <f t="shared" si="29"/>
        <v>0</v>
      </c>
      <c r="E50" s="20">
        <f t="shared" si="29"/>
        <v>0</v>
      </c>
      <c r="F50" s="20">
        <f t="shared" si="29"/>
        <v>0</v>
      </c>
      <c r="G50" s="20">
        <f t="shared" si="29"/>
        <v>0</v>
      </c>
      <c r="H50" s="20">
        <f t="shared" si="29"/>
        <v>0</v>
      </c>
      <c r="I50" s="20">
        <f t="shared" si="29"/>
        <v>0</v>
      </c>
    </row>
    <row r="51" spans="1:9">
      <c r="A51" s="21" t="s">
        <v>27</v>
      </c>
      <c r="B51" s="20">
        <f>B21-B26-B27</f>
        <v>0</v>
      </c>
      <c r="C51" s="20">
        <f t="shared" ref="C51:I51" si="30">C21-C26-C27</f>
        <v>0</v>
      </c>
      <c r="D51" s="20">
        <f t="shared" si="30"/>
        <v>0</v>
      </c>
      <c r="E51" s="20">
        <f t="shared" si="30"/>
        <v>0</v>
      </c>
      <c r="F51" s="20">
        <f t="shared" si="30"/>
        <v>0</v>
      </c>
      <c r="G51" s="20">
        <f t="shared" si="30"/>
        <v>0</v>
      </c>
      <c r="H51" s="20">
        <f t="shared" si="30"/>
        <v>0</v>
      </c>
      <c r="I51" s="20">
        <f t="shared" si="30"/>
        <v>0</v>
      </c>
    </row>
    <row r="52" spans="1:9">
      <c r="A52" s="21" t="s">
        <v>29</v>
      </c>
      <c r="B52" s="22">
        <f>SUM(B29:B32)-B33</f>
        <v>0</v>
      </c>
      <c r="C52" s="22">
        <f t="shared" ref="C52:I52" si="31">SUM(C29:C32)-C33</f>
        <v>0</v>
      </c>
      <c r="D52" s="22">
        <f t="shared" si="31"/>
        <v>0</v>
      </c>
      <c r="E52" s="22">
        <f t="shared" si="31"/>
        <v>0</v>
      </c>
      <c r="F52" s="22">
        <f t="shared" si="31"/>
        <v>0</v>
      </c>
      <c r="G52" s="22">
        <f t="shared" si="31"/>
        <v>0</v>
      </c>
      <c r="H52" s="22">
        <f t="shared" si="31"/>
        <v>0</v>
      </c>
      <c r="I52" s="22">
        <f t="shared" si="31"/>
        <v>0</v>
      </c>
    </row>
    <row r="53" spans="1:9">
      <c r="A53" s="21" t="s">
        <v>26</v>
      </c>
      <c r="B53" s="22">
        <f>SUM(B34:B36)-B37</f>
        <v>0</v>
      </c>
      <c r="C53" s="22">
        <f t="shared" ref="C53:I53" si="32">SUM(C34:C36)-C37</f>
        <v>0</v>
      </c>
      <c r="D53" s="22">
        <f t="shared" si="32"/>
        <v>0</v>
      </c>
      <c r="E53" s="22">
        <f t="shared" si="32"/>
        <v>0</v>
      </c>
      <c r="F53" s="22">
        <f t="shared" si="32"/>
        <v>0</v>
      </c>
      <c r="G53" s="22">
        <f t="shared" si="32"/>
        <v>0</v>
      </c>
      <c r="H53" s="22">
        <f t="shared" si="32"/>
        <v>0</v>
      </c>
      <c r="I53" s="22">
        <f t="shared" si="32"/>
        <v>0</v>
      </c>
    </row>
    <row r="54" spans="1:9">
      <c r="A54" s="21" t="s">
        <v>27</v>
      </c>
      <c r="B54" s="22">
        <f>B33-B37-B38</f>
        <v>0</v>
      </c>
      <c r="C54" s="22">
        <f t="shared" ref="C54:I54" si="33">C33-C37-C38</f>
        <v>0</v>
      </c>
      <c r="D54" s="22">
        <f t="shared" si="33"/>
        <v>0</v>
      </c>
      <c r="E54" s="22">
        <f t="shared" si="33"/>
        <v>0</v>
      </c>
      <c r="F54" s="22">
        <f t="shared" si="33"/>
        <v>0</v>
      </c>
      <c r="G54" s="22">
        <f t="shared" si="33"/>
        <v>0</v>
      </c>
      <c r="H54" s="22">
        <f t="shared" si="33"/>
        <v>0</v>
      </c>
      <c r="I54" s="22">
        <f t="shared" si="33"/>
        <v>0</v>
      </c>
    </row>
    <row r="55" spans="1:9">
      <c r="A55" s="21" t="s">
        <v>30</v>
      </c>
      <c r="B55" s="22">
        <f>B40+B41-B42</f>
        <v>0</v>
      </c>
      <c r="C55" s="22">
        <f t="shared" ref="C55:I55" si="34">C40+C41-C42</f>
        <v>0</v>
      </c>
      <c r="D55" s="22">
        <f t="shared" si="34"/>
        <v>0</v>
      </c>
      <c r="E55" s="22">
        <f t="shared" si="34"/>
        <v>0</v>
      </c>
      <c r="F55" s="22">
        <f t="shared" si="34"/>
        <v>0</v>
      </c>
      <c r="G55" s="22">
        <f t="shared" si="34"/>
        <v>0</v>
      </c>
      <c r="H55" s="22">
        <f t="shared" si="34"/>
        <v>0</v>
      </c>
      <c r="I55" s="22">
        <f t="shared" si="34"/>
        <v>0</v>
      </c>
    </row>
    <row r="56" spans="1:9">
      <c r="A56" s="23" t="s">
        <v>31</v>
      </c>
      <c r="B56" s="24">
        <f>B42-'合并资产负债表 '!B5</f>
        <v>0</v>
      </c>
      <c r="C56" s="24">
        <f>C42-'合并资产负债表 '!C5</f>
        <v>0</v>
      </c>
      <c r="D56" s="24">
        <f>D42-'合并资产负债表 '!D5</f>
        <v>0</v>
      </c>
      <c r="E56" s="24">
        <f>E42-'合并资产负债表 '!E5</f>
        <v>0</v>
      </c>
      <c r="F56" s="24">
        <f>F42-'合并资产负债表 '!F5</f>
        <v>0</v>
      </c>
      <c r="G56" s="24">
        <f>G42-'合并资产负债表 '!G5</f>
        <v>0</v>
      </c>
      <c r="H56" s="24">
        <f>H42-'合并资产负债表 '!H5</f>
        <v>0</v>
      </c>
      <c r="I56" s="24">
        <f>I42-'合并资产负债表 '!I5</f>
        <v>0</v>
      </c>
    </row>
    <row r="57" spans="1:9">
      <c r="A57" s="23" t="s">
        <v>1638</v>
      </c>
      <c r="B57" s="19"/>
      <c r="C57" s="19"/>
      <c r="D57" s="19"/>
      <c r="E57" s="19"/>
      <c r="F57" s="24">
        <f>F56+必填信息!B18</f>
        <v>0</v>
      </c>
      <c r="G57" s="24">
        <f>G56+必填信息!C18</f>
        <v>0</v>
      </c>
      <c r="H57" s="24">
        <f>H56+必填信息!D18</f>
        <v>0</v>
      </c>
      <c r="I57" s="24">
        <f>I56+必填信息!E18</f>
        <v>0</v>
      </c>
    </row>
    <row r="65" spans="6:6">
      <c r="F65" s="2"/>
    </row>
  </sheetData>
  <mergeCells count="4">
    <mergeCell ref="B2:E2"/>
    <mergeCell ref="F2:I2"/>
    <mergeCell ref="J2:K2"/>
    <mergeCell ref="L2:M2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364CC-EF9A-403A-859E-81AF5B8EE932}">
  <sheetPr codeName="Sheet6"/>
  <dimension ref="A1:S79"/>
  <sheetViews>
    <sheetView zoomScaleNormal="100" workbookViewId="0">
      <selection activeCell="B4" sqref="B4"/>
    </sheetView>
  </sheetViews>
  <sheetFormatPr defaultColWidth="8.75" defaultRowHeight="12.75"/>
  <cols>
    <col min="1" max="1" width="15.25" style="359" customWidth="1"/>
    <col min="2" max="2" width="10.75" style="359" bestFit="1" customWidth="1"/>
    <col min="3" max="3" width="8.875" style="359" bestFit="1" customWidth="1"/>
    <col min="4" max="4" width="10.75" style="359" bestFit="1" customWidth="1"/>
    <col min="5" max="5" width="8.875" style="359" bestFit="1" customWidth="1"/>
    <col min="6" max="6" width="10.75" style="359" bestFit="1" customWidth="1"/>
    <col min="7" max="7" width="8.875" style="359" bestFit="1" customWidth="1"/>
    <col min="8" max="8" width="10.75" style="359" bestFit="1" customWidth="1"/>
    <col min="9" max="9" width="10" style="359" customWidth="1"/>
    <col min="10" max="10" width="8.75" style="359"/>
    <col min="11" max="11" width="15" style="359" customWidth="1"/>
    <col min="12" max="12" width="10.75" style="359" bestFit="1" customWidth="1"/>
    <col min="13" max="13" width="8.875" style="359" bestFit="1" customWidth="1"/>
    <col min="14" max="14" width="10.75" style="359" bestFit="1" customWidth="1"/>
    <col min="15" max="15" width="8.875" style="359" bestFit="1" customWidth="1"/>
    <col min="16" max="16" width="10.75" style="359" bestFit="1" customWidth="1"/>
    <col min="17" max="17" width="8.875" style="359" bestFit="1" customWidth="1"/>
    <col min="18" max="18" width="10.75" style="359" bestFit="1" customWidth="1"/>
    <col min="19" max="19" width="8.875" style="359" bestFit="1" customWidth="1"/>
    <col min="20" max="16384" width="8.75" style="359"/>
  </cols>
  <sheetData>
    <row r="1" spans="1:19" ht="13.5" thickBot="1">
      <c r="A1" s="737" t="s">
        <v>1696</v>
      </c>
      <c r="B1" s="737"/>
      <c r="C1" s="737"/>
      <c r="D1" s="737"/>
      <c r="E1" s="737"/>
      <c r="F1" s="737"/>
      <c r="G1" s="737"/>
      <c r="H1" s="737"/>
      <c r="I1" s="737"/>
      <c r="K1" s="737" t="s">
        <v>1697</v>
      </c>
      <c r="L1" s="737"/>
      <c r="M1" s="737"/>
      <c r="N1" s="737"/>
      <c r="O1" s="737"/>
      <c r="P1" s="737"/>
      <c r="Q1" s="737"/>
      <c r="R1" s="737"/>
      <c r="S1" s="737"/>
    </row>
    <row r="2" spans="1:19">
      <c r="A2" s="738" t="s">
        <v>1698</v>
      </c>
      <c r="B2" s="746">
        <f>必填信息!B5</f>
        <v>0</v>
      </c>
      <c r="C2" s="746"/>
      <c r="D2" s="746">
        <f>必填信息!B4</f>
        <v>0</v>
      </c>
      <c r="E2" s="746"/>
      <c r="F2" s="746">
        <f>必填信息!B3</f>
        <v>0</v>
      </c>
      <c r="G2" s="746"/>
      <c r="H2" s="746">
        <f>必填信息!B2</f>
        <v>0</v>
      </c>
      <c r="I2" s="747"/>
      <c r="K2" s="738" t="str">
        <f>A2</f>
        <v>项目</v>
      </c>
      <c r="L2" s="740">
        <f t="shared" ref="L2:S2" si="0">B2</f>
        <v>0</v>
      </c>
      <c r="M2" s="740"/>
      <c r="N2" s="740">
        <f t="shared" si="0"/>
        <v>0</v>
      </c>
      <c r="O2" s="740">
        <f t="shared" si="0"/>
        <v>0</v>
      </c>
      <c r="P2" s="740">
        <f t="shared" si="0"/>
        <v>0</v>
      </c>
      <c r="Q2" s="740">
        <f t="shared" si="0"/>
        <v>0</v>
      </c>
      <c r="R2" s="740">
        <f t="shared" si="0"/>
        <v>0</v>
      </c>
      <c r="S2" s="741">
        <f t="shared" si="0"/>
        <v>0</v>
      </c>
    </row>
    <row r="3" spans="1:19">
      <c r="A3" s="739"/>
      <c r="B3" s="360" t="s">
        <v>1699</v>
      </c>
      <c r="C3" s="360" t="s">
        <v>82</v>
      </c>
      <c r="D3" s="360" t="s">
        <v>1699</v>
      </c>
      <c r="E3" s="360" t="s">
        <v>82</v>
      </c>
      <c r="F3" s="360" t="s">
        <v>1699</v>
      </c>
      <c r="G3" s="360" t="s">
        <v>82</v>
      </c>
      <c r="H3" s="360" t="s">
        <v>1699</v>
      </c>
      <c r="I3" s="361" t="s">
        <v>82</v>
      </c>
      <c r="K3" s="739"/>
      <c r="L3" s="360" t="s">
        <v>1699</v>
      </c>
      <c r="M3" s="360" t="s">
        <v>82</v>
      </c>
      <c r="N3" s="360" t="s">
        <v>1699</v>
      </c>
      <c r="O3" s="360" t="s">
        <v>82</v>
      </c>
      <c r="P3" s="360" t="s">
        <v>1699</v>
      </c>
      <c r="Q3" s="360" t="s">
        <v>82</v>
      </c>
      <c r="R3" s="360" t="s">
        <v>1699</v>
      </c>
      <c r="S3" s="361" t="s">
        <v>82</v>
      </c>
    </row>
    <row r="4" spans="1:19">
      <c r="A4" s="362" t="str">
        <f>注释!B18</f>
        <v>流动资产合计</v>
      </c>
      <c r="B4" s="363">
        <f t="shared" ref="B4:I4" si="1">B23</f>
        <v>0</v>
      </c>
      <c r="C4" s="363" t="e">
        <f t="shared" si="1"/>
        <v>#DIV/0!</v>
      </c>
      <c r="D4" s="363">
        <f t="shared" si="1"/>
        <v>0</v>
      </c>
      <c r="E4" s="363" t="e">
        <f t="shared" si="1"/>
        <v>#DIV/0!</v>
      </c>
      <c r="F4" s="363">
        <f t="shared" si="1"/>
        <v>0</v>
      </c>
      <c r="G4" s="363" t="e">
        <f t="shared" si="1"/>
        <v>#DIV/0!</v>
      </c>
      <c r="H4" s="363">
        <f t="shared" si="1"/>
        <v>0</v>
      </c>
      <c r="I4" s="364" t="e">
        <f t="shared" si="1"/>
        <v>#DIV/0!</v>
      </c>
      <c r="K4" s="362" t="str">
        <f>注释!B53</f>
        <v>流动负债合计</v>
      </c>
      <c r="L4" s="363">
        <f t="shared" ref="L4:S4" si="2">L24</f>
        <v>0</v>
      </c>
      <c r="M4" s="363" t="e">
        <f t="shared" si="2"/>
        <v>#DIV/0!</v>
      </c>
      <c r="N4" s="363">
        <f t="shared" si="2"/>
        <v>0</v>
      </c>
      <c r="O4" s="363" t="e">
        <f t="shared" si="2"/>
        <v>#DIV/0!</v>
      </c>
      <c r="P4" s="363">
        <f t="shared" si="2"/>
        <v>0</v>
      </c>
      <c r="Q4" s="363" t="e">
        <f t="shared" si="2"/>
        <v>#DIV/0!</v>
      </c>
      <c r="R4" s="363">
        <f t="shared" si="2"/>
        <v>0</v>
      </c>
      <c r="S4" s="364" t="e">
        <f t="shared" si="2"/>
        <v>#DIV/0!</v>
      </c>
    </row>
    <row r="5" spans="1:19">
      <c r="A5" s="362" t="str">
        <f>注释!B35</f>
        <v>非流动资产合计</v>
      </c>
      <c r="B5" s="363">
        <f t="shared" ref="B5:I6" si="3">B40</f>
        <v>0</v>
      </c>
      <c r="C5" s="363" t="e">
        <f t="shared" si="3"/>
        <v>#DIV/0!</v>
      </c>
      <c r="D5" s="363">
        <f t="shared" si="3"/>
        <v>0</v>
      </c>
      <c r="E5" s="363" t="e">
        <f t="shared" si="3"/>
        <v>#DIV/0!</v>
      </c>
      <c r="F5" s="363">
        <f t="shared" si="3"/>
        <v>0</v>
      </c>
      <c r="G5" s="363" t="e">
        <f t="shared" si="3"/>
        <v>#DIV/0!</v>
      </c>
      <c r="H5" s="363">
        <f t="shared" si="3"/>
        <v>0</v>
      </c>
      <c r="I5" s="364" t="e">
        <f t="shared" si="3"/>
        <v>#DIV/0!</v>
      </c>
      <c r="K5" s="362" t="str">
        <f>注释!B66</f>
        <v>非流动负债合计</v>
      </c>
      <c r="L5" s="363">
        <f t="shared" ref="L5:S6" si="4">L33</f>
        <v>0</v>
      </c>
      <c r="M5" s="363" t="e">
        <f t="shared" si="4"/>
        <v>#DIV/0!</v>
      </c>
      <c r="N5" s="363">
        <f t="shared" si="4"/>
        <v>0</v>
      </c>
      <c r="O5" s="363" t="e">
        <f t="shared" si="4"/>
        <v>#DIV/0!</v>
      </c>
      <c r="P5" s="363">
        <f t="shared" si="4"/>
        <v>0</v>
      </c>
      <c r="Q5" s="363" t="e">
        <f t="shared" si="4"/>
        <v>#DIV/0!</v>
      </c>
      <c r="R5" s="363">
        <f t="shared" si="4"/>
        <v>0</v>
      </c>
      <c r="S5" s="364" t="e">
        <f t="shared" si="4"/>
        <v>#DIV/0!</v>
      </c>
    </row>
    <row r="6" spans="1:19" ht="13.5" thickBot="1">
      <c r="A6" s="365" t="str">
        <f>注释!B36</f>
        <v>资产总计</v>
      </c>
      <c r="B6" s="366">
        <f t="shared" si="3"/>
        <v>0</v>
      </c>
      <c r="C6" s="366" t="e">
        <f t="shared" si="3"/>
        <v>#DIV/0!</v>
      </c>
      <c r="D6" s="366">
        <f t="shared" si="3"/>
        <v>0</v>
      </c>
      <c r="E6" s="366" t="e">
        <f t="shared" si="3"/>
        <v>#DIV/0!</v>
      </c>
      <c r="F6" s="366">
        <f t="shared" si="3"/>
        <v>0</v>
      </c>
      <c r="G6" s="366" t="e">
        <f t="shared" si="3"/>
        <v>#DIV/0!</v>
      </c>
      <c r="H6" s="366">
        <f t="shared" si="3"/>
        <v>0</v>
      </c>
      <c r="I6" s="367" t="e">
        <f t="shared" si="3"/>
        <v>#DIV/0!</v>
      </c>
      <c r="J6" s="368"/>
      <c r="K6" s="365" t="str">
        <f>注释!B67</f>
        <v>负债合计</v>
      </c>
      <c r="L6" s="366">
        <f t="shared" si="4"/>
        <v>0</v>
      </c>
      <c r="M6" s="366" t="e">
        <f t="shared" si="4"/>
        <v>#DIV/0!</v>
      </c>
      <c r="N6" s="366">
        <f t="shared" si="4"/>
        <v>0</v>
      </c>
      <c r="O6" s="366" t="e">
        <f t="shared" si="4"/>
        <v>#DIV/0!</v>
      </c>
      <c r="P6" s="366">
        <f t="shared" si="4"/>
        <v>0</v>
      </c>
      <c r="Q6" s="366" t="e">
        <f t="shared" si="4"/>
        <v>#DIV/0!</v>
      </c>
      <c r="R6" s="366">
        <f t="shared" si="4"/>
        <v>0</v>
      </c>
      <c r="S6" s="367" t="e">
        <f t="shared" si="4"/>
        <v>#DIV/0!</v>
      </c>
    </row>
    <row r="8" spans="1:19" ht="13.5" thickBot="1">
      <c r="A8" s="737" t="s">
        <v>1700</v>
      </c>
      <c r="B8" s="737"/>
      <c r="C8" s="737"/>
      <c r="D8" s="737"/>
      <c r="E8" s="737"/>
      <c r="F8" s="737"/>
      <c r="G8" s="737"/>
      <c r="H8" s="737"/>
      <c r="I8" s="737"/>
      <c r="K8" s="737" t="s">
        <v>1701</v>
      </c>
      <c r="L8" s="737"/>
      <c r="M8" s="737"/>
      <c r="N8" s="737"/>
      <c r="O8" s="737"/>
      <c r="P8" s="737"/>
      <c r="Q8" s="737"/>
      <c r="R8" s="737"/>
      <c r="S8" s="737"/>
    </row>
    <row r="9" spans="1:19">
      <c r="A9" s="738" t="str">
        <f>A2</f>
        <v>项目</v>
      </c>
      <c r="B9" s="746">
        <f>B2</f>
        <v>0</v>
      </c>
      <c r="C9" s="746"/>
      <c r="D9" s="746">
        <f>D2</f>
        <v>0</v>
      </c>
      <c r="E9" s="746"/>
      <c r="F9" s="746">
        <f>F2</f>
        <v>0</v>
      </c>
      <c r="G9" s="746"/>
      <c r="H9" s="746">
        <f>H2</f>
        <v>0</v>
      </c>
      <c r="I9" s="747"/>
      <c r="K9" s="738" t="str">
        <f>K2</f>
        <v>项目</v>
      </c>
      <c r="L9" s="740">
        <f>L2</f>
        <v>0</v>
      </c>
      <c r="M9" s="740">
        <f t="shared" ref="M9:R9" si="5">M2</f>
        <v>0</v>
      </c>
      <c r="N9" s="740">
        <f t="shared" si="5"/>
        <v>0</v>
      </c>
      <c r="O9" s="740">
        <f t="shared" si="5"/>
        <v>0</v>
      </c>
      <c r="P9" s="740">
        <f t="shared" si="5"/>
        <v>0</v>
      </c>
      <c r="Q9" s="740">
        <f t="shared" si="5"/>
        <v>0</v>
      </c>
      <c r="R9" s="740">
        <f t="shared" si="5"/>
        <v>0</v>
      </c>
      <c r="S9" s="741"/>
    </row>
    <row r="10" spans="1:19">
      <c r="A10" s="739"/>
      <c r="B10" s="360" t="s">
        <v>1699</v>
      </c>
      <c r="C10" s="360" t="s">
        <v>82</v>
      </c>
      <c r="D10" s="360" t="s">
        <v>1699</v>
      </c>
      <c r="E10" s="360" t="s">
        <v>82</v>
      </c>
      <c r="F10" s="360" t="s">
        <v>1699</v>
      </c>
      <c r="G10" s="360" t="s">
        <v>82</v>
      </c>
      <c r="H10" s="360" t="s">
        <v>1699</v>
      </c>
      <c r="I10" s="361" t="s">
        <v>82</v>
      </c>
      <c r="K10" s="739"/>
      <c r="L10" s="360" t="s">
        <v>1699</v>
      </c>
      <c r="M10" s="360" t="s">
        <v>82</v>
      </c>
      <c r="N10" s="360" t="s">
        <v>1699</v>
      </c>
      <c r="O10" s="360" t="s">
        <v>82</v>
      </c>
      <c r="P10" s="360" t="s">
        <v>1699</v>
      </c>
      <c r="Q10" s="360" t="s">
        <v>82</v>
      </c>
      <c r="R10" s="360" t="s">
        <v>1699</v>
      </c>
      <c r="S10" s="361" t="s">
        <v>82</v>
      </c>
    </row>
    <row r="11" spans="1:19">
      <c r="A11" s="369" t="str">
        <f>'合并资产负债表 '!A4</f>
        <v>流动资产：</v>
      </c>
      <c r="B11" s="370"/>
      <c r="C11" s="370"/>
      <c r="D11" s="370"/>
      <c r="E11" s="370"/>
      <c r="F11" s="370"/>
      <c r="G11" s="370"/>
      <c r="H11" s="370"/>
      <c r="I11" s="371"/>
      <c r="K11" s="369" t="str">
        <f>注释!B37</f>
        <v>流动负债：</v>
      </c>
      <c r="L11" s="370"/>
      <c r="M11" s="370"/>
      <c r="N11" s="370"/>
      <c r="O11" s="370"/>
      <c r="P11" s="370"/>
      <c r="Q11" s="370"/>
      <c r="R11" s="370"/>
      <c r="S11" s="371"/>
    </row>
    <row r="12" spans="1:19">
      <c r="A12" s="362" t="str">
        <f>'合并资产负债表 '!A5</f>
        <v>货币资金</v>
      </c>
      <c r="B12" s="363">
        <f>'合并资产负债表 '!F5</f>
        <v>0</v>
      </c>
      <c r="C12" s="363" t="e">
        <f>'合并资产负债表 '!N5</f>
        <v>#DIV/0!</v>
      </c>
      <c r="D12" s="363">
        <f>'合并资产负债表 '!G5</f>
        <v>0</v>
      </c>
      <c r="E12" s="363" t="e">
        <f>'合并资产负债表 '!O5</f>
        <v>#DIV/0!</v>
      </c>
      <c r="F12" s="363">
        <f>'合并资产负债表 '!H5</f>
        <v>0</v>
      </c>
      <c r="G12" s="363" t="e">
        <f>'合并资产负债表 '!P5</f>
        <v>#DIV/0!</v>
      </c>
      <c r="H12" s="363">
        <f>'合并资产负债表 '!I5</f>
        <v>0</v>
      </c>
      <c r="I12" s="364" t="e">
        <f>'合并资产负债表 '!Q5</f>
        <v>#DIV/0!</v>
      </c>
      <c r="K12" s="362" t="str">
        <f>注释!B38</f>
        <v>短期借款</v>
      </c>
      <c r="L12" s="363">
        <f>'合并资产负债表 '!F39</f>
        <v>0</v>
      </c>
      <c r="M12" s="363" t="e">
        <f>'合并资产负债表 '!N39</f>
        <v>#DIV/0!</v>
      </c>
      <c r="N12" s="363">
        <f>'合并资产负债表 '!G39</f>
        <v>0</v>
      </c>
      <c r="O12" s="363" t="e">
        <f>'合并资产负债表 '!O39</f>
        <v>#DIV/0!</v>
      </c>
      <c r="P12" s="363">
        <f>'合并资产负债表 '!H39</f>
        <v>0</v>
      </c>
      <c r="Q12" s="363" t="e">
        <f>'合并资产负债表 '!P39</f>
        <v>#DIV/0!</v>
      </c>
      <c r="R12" s="363">
        <f>'合并资产负债表 '!I39</f>
        <v>0</v>
      </c>
      <c r="S12" s="364" t="e">
        <f>'合并资产负债表 '!Q39</f>
        <v>#DIV/0!</v>
      </c>
    </row>
    <row r="13" spans="1:19">
      <c r="A13" s="362" t="str">
        <f>'合并资产负债表 '!A6</f>
        <v>以公允价值计量且其变动计入当期损益的金融资产</v>
      </c>
      <c r="B13" s="363">
        <f>'合并资产负债表 '!F6</f>
        <v>0</v>
      </c>
      <c r="C13" s="363" t="e">
        <f>'合并资产负债表 '!N6</f>
        <v>#DIV/0!</v>
      </c>
      <c r="D13" s="363">
        <f>'合并资产负债表 '!G6</f>
        <v>0</v>
      </c>
      <c r="E13" s="363" t="e">
        <f>'合并资产负债表 '!O6</f>
        <v>#DIV/0!</v>
      </c>
      <c r="F13" s="363">
        <f>'合并资产负债表 '!H6</f>
        <v>0</v>
      </c>
      <c r="G13" s="363" t="e">
        <f>'合并资产负债表 '!P6</f>
        <v>#DIV/0!</v>
      </c>
      <c r="H13" s="363">
        <f>'合并资产负债表 '!I6</f>
        <v>0</v>
      </c>
      <c r="I13" s="364" t="e">
        <f>'合并资产负债表 '!Q6</f>
        <v>#DIV/0!</v>
      </c>
      <c r="K13" s="362" t="str">
        <f>注释!B39</f>
        <v>以公允价值计量且其变动计入当期损益的金融负债</v>
      </c>
      <c r="L13" s="363">
        <f>'合并资产负债表 '!F40</f>
        <v>0</v>
      </c>
      <c r="M13" s="363" t="e">
        <f>'合并资产负债表 '!N40</f>
        <v>#DIV/0!</v>
      </c>
      <c r="N13" s="363">
        <f>'合并资产负债表 '!G40</f>
        <v>0</v>
      </c>
      <c r="O13" s="363" t="e">
        <f>'合并资产负债表 '!O40</f>
        <v>#DIV/0!</v>
      </c>
      <c r="P13" s="363">
        <f>'合并资产负债表 '!H40</f>
        <v>0</v>
      </c>
      <c r="Q13" s="363" t="e">
        <f>'合并资产负债表 '!P40</f>
        <v>#DIV/0!</v>
      </c>
      <c r="R13" s="363">
        <f>'合并资产负债表 '!I40</f>
        <v>0</v>
      </c>
      <c r="S13" s="364" t="e">
        <f>'合并资产负债表 '!Q40</f>
        <v>#DIV/0!</v>
      </c>
    </row>
    <row r="14" spans="1:19">
      <c r="A14" s="362" t="str">
        <f>'合并资产负债表 '!A7</f>
        <v>衍生金融资产</v>
      </c>
      <c r="B14" s="363">
        <f>'合并资产负债表 '!F7</f>
        <v>0</v>
      </c>
      <c r="C14" s="363" t="e">
        <f>'合并资产负债表 '!N7</f>
        <v>#DIV/0!</v>
      </c>
      <c r="D14" s="363">
        <f>'合并资产负债表 '!G7</f>
        <v>0</v>
      </c>
      <c r="E14" s="363" t="e">
        <f>'合并资产负债表 '!O7</f>
        <v>#DIV/0!</v>
      </c>
      <c r="F14" s="363">
        <f>'合并资产负债表 '!H7</f>
        <v>0</v>
      </c>
      <c r="G14" s="363" t="e">
        <f>'合并资产负债表 '!P7</f>
        <v>#DIV/0!</v>
      </c>
      <c r="H14" s="363">
        <f>'合并资产负债表 '!I7</f>
        <v>0</v>
      </c>
      <c r="I14" s="364" t="e">
        <f>'合并资产负债表 '!Q7</f>
        <v>#DIV/0!</v>
      </c>
      <c r="K14" s="362" t="str">
        <f>注释!B40</f>
        <v>衍生金融负债</v>
      </c>
      <c r="L14" s="363">
        <f>'合并资产负债表 '!F41</f>
        <v>0</v>
      </c>
      <c r="M14" s="363" t="e">
        <f>'合并资产负债表 '!N41</f>
        <v>#DIV/0!</v>
      </c>
      <c r="N14" s="363">
        <f>'合并资产负债表 '!G41</f>
        <v>0</v>
      </c>
      <c r="O14" s="363" t="e">
        <f>'合并资产负债表 '!O41</f>
        <v>#DIV/0!</v>
      </c>
      <c r="P14" s="363">
        <f>'合并资产负债表 '!H41</f>
        <v>0</v>
      </c>
      <c r="Q14" s="363" t="e">
        <f>'合并资产负债表 '!P41</f>
        <v>#DIV/0!</v>
      </c>
      <c r="R14" s="363">
        <f>'合并资产负债表 '!I41</f>
        <v>0</v>
      </c>
      <c r="S14" s="364" t="e">
        <f>'合并资产负债表 '!Q41</f>
        <v>#DIV/0!</v>
      </c>
    </row>
    <row r="15" spans="1:19">
      <c r="A15" s="362" t="str">
        <f>'合并资产负债表 '!A8</f>
        <v>应收票据</v>
      </c>
      <c r="B15" s="363">
        <f>'合并资产负债表 '!F8</f>
        <v>0</v>
      </c>
      <c r="C15" s="363" t="e">
        <f>'合并资产负债表 '!N8</f>
        <v>#DIV/0!</v>
      </c>
      <c r="D15" s="363">
        <f>'合并资产负债表 '!G8</f>
        <v>0</v>
      </c>
      <c r="E15" s="363" t="e">
        <f>'合并资产负债表 '!O8</f>
        <v>#DIV/0!</v>
      </c>
      <c r="F15" s="363">
        <f>'合并资产负债表 '!H8</f>
        <v>0</v>
      </c>
      <c r="G15" s="363" t="e">
        <f>'合并资产负债表 '!P8</f>
        <v>#DIV/0!</v>
      </c>
      <c r="H15" s="363">
        <f>'合并资产负债表 '!I8</f>
        <v>0</v>
      </c>
      <c r="I15" s="364" t="e">
        <f>'合并资产负债表 '!Q8</f>
        <v>#DIV/0!</v>
      </c>
      <c r="K15" s="362" t="str">
        <f>注释!B41</f>
        <v>应付票据</v>
      </c>
      <c r="L15" s="363">
        <f>'合并资产负债表 '!F42</f>
        <v>0</v>
      </c>
      <c r="M15" s="363" t="e">
        <f>'合并资产负债表 '!N42</f>
        <v>#DIV/0!</v>
      </c>
      <c r="N15" s="363">
        <f>'合并资产负债表 '!G42</f>
        <v>0</v>
      </c>
      <c r="O15" s="363" t="e">
        <f>'合并资产负债表 '!O42</f>
        <v>#DIV/0!</v>
      </c>
      <c r="P15" s="363">
        <f>'合并资产负债表 '!H42</f>
        <v>0</v>
      </c>
      <c r="Q15" s="363" t="e">
        <f>'合并资产负债表 '!P42</f>
        <v>#DIV/0!</v>
      </c>
      <c r="R15" s="363">
        <f>'合并资产负债表 '!I42</f>
        <v>0</v>
      </c>
      <c r="S15" s="364" t="e">
        <f>'合并资产负债表 '!Q42</f>
        <v>#DIV/0!</v>
      </c>
    </row>
    <row r="16" spans="1:19">
      <c r="A16" s="362" t="str">
        <f>'合并资产负债表 '!A9</f>
        <v>应收账款</v>
      </c>
      <c r="B16" s="363">
        <f>'合并资产负债表 '!F9</f>
        <v>0</v>
      </c>
      <c r="C16" s="363" t="e">
        <f>'合并资产负债表 '!N9</f>
        <v>#DIV/0!</v>
      </c>
      <c r="D16" s="363">
        <f>'合并资产负债表 '!G9</f>
        <v>0</v>
      </c>
      <c r="E16" s="363" t="e">
        <f>'合并资产负债表 '!O9</f>
        <v>#DIV/0!</v>
      </c>
      <c r="F16" s="363">
        <f>'合并资产负债表 '!H9</f>
        <v>0</v>
      </c>
      <c r="G16" s="363" t="e">
        <f>'合并资产负债表 '!P9</f>
        <v>#DIV/0!</v>
      </c>
      <c r="H16" s="363">
        <f>'合并资产负债表 '!I9</f>
        <v>0</v>
      </c>
      <c r="I16" s="364" t="e">
        <f>'合并资产负债表 '!Q9</f>
        <v>#DIV/0!</v>
      </c>
      <c r="K16" s="362" t="str">
        <f>注释!B42</f>
        <v>应付账款</v>
      </c>
      <c r="L16" s="363">
        <f>'合并资产负债表 '!F43</f>
        <v>0</v>
      </c>
      <c r="M16" s="363" t="e">
        <f>'合并资产负债表 '!N43</f>
        <v>#DIV/0!</v>
      </c>
      <c r="N16" s="363">
        <f>'合并资产负债表 '!G43</f>
        <v>0</v>
      </c>
      <c r="O16" s="363" t="e">
        <f>'合并资产负债表 '!O43</f>
        <v>#DIV/0!</v>
      </c>
      <c r="P16" s="363">
        <f>'合并资产负债表 '!H43</f>
        <v>0</v>
      </c>
      <c r="Q16" s="363" t="e">
        <f>'合并资产负债表 '!P43</f>
        <v>#DIV/0!</v>
      </c>
      <c r="R16" s="363">
        <f>'合并资产负债表 '!I43</f>
        <v>0</v>
      </c>
      <c r="S16" s="364" t="e">
        <f>'合并资产负债表 '!Q43</f>
        <v>#DIV/0!</v>
      </c>
    </row>
    <row r="17" spans="1:19">
      <c r="A17" s="362" t="str">
        <f>'合并资产负债表 '!A10</f>
        <v>预付款项</v>
      </c>
      <c r="B17" s="363">
        <f>'合并资产负债表 '!F10</f>
        <v>0</v>
      </c>
      <c r="C17" s="363" t="e">
        <f>'合并资产负债表 '!N10</f>
        <v>#DIV/0!</v>
      </c>
      <c r="D17" s="363">
        <f>'合并资产负债表 '!G10</f>
        <v>0</v>
      </c>
      <c r="E17" s="363" t="e">
        <f>'合并资产负债表 '!O10</f>
        <v>#DIV/0!</v>
      </c>
      <c r="F17" s="363">
        <f>'合并资产负债表 '!H10</f>
        <v>0</v>
      </c>
      <c r="G17" s="363" t="e">
        <f>'合并资产负债表 '!P10</f>
        <v>#DIV/0!</v>
      </c>
      <c r="H17" s="363">
        <f>'合并资产负债表 '!I10</f>
        <v>0</v>
      </c>
      <c r="I17" s="364" t="e">
        <f>'合并资产负债表 '!Q10</f>
        <v>#DIV/0!</v>
      </c>
      <c r="K17" s="362" t="str">
        <f>注释!B43</f>
        <v>预收款项</v>
      </c>
      <c r="L17" s="363">
        <f>'合并资产负债表 '!F44</f>
        <v>0</v>
      </c>
      <c r="M17" s="363" t="e">
        <f>'合并资产负债表 '!N44</f>
        <v>#DIV/0!</v>
      </c>
      <c r="N17" s="363">
        <f>'合并资产负债表 '!G44</f>
        <v>0</v>
      </c>
      <c r="O17" s="363" t="e">
        <f>'合并资产负债表 '!O44</f>
        <v>#DIV/0!</v>
      </c>
      <c r="P17" s="363">
        <f>'合并资产负债表 '!H44</f>
        <v>0</v>
      </c>
      <c r="Q17" s="363" t="e">
        <f>'合并资产负债表 '!P44</f>
        <v>#DIV/0!</v>
      </c>
      <c r="R17" s="363">
        <f>'合并资产负债表 '!I44</f>
        <v>0</v>
      </c>
      <c r="S17" s="364" t="e">
        <f>'合并资产负债表 '!Q44</f>
        <v>#DIV/0!</v>
      </c>
    </row>
    <row r="18" spans="1:19">
      <c r="A18" s="362" t="str">
        <f>'合并资产负债表 '!A11</f>
        <v>其他应收款</v>
      </c>
      <c r="B18" s="363">
        <f>'合并资产负债表 '!F11</f>
        <v>0</v>
      </c>
      <c r="C18" s="363" t="e">
        <f>'合并资产负债表 '!N11</f>
        <v>#DIV/0!</v>
      </c>
      <c r="D18" s="363">
        <f>'合并资产负债表 '!G11</f>
        <v>0</v>
      </c>
      <c r="E18" s="363" t="e">
        <f>'合并资产负债表 '!O11</f>
        <v>#DIV/0!</v>
      </c>
      <c r="F18" s="363">
        <f>'合并资产负债表 '!H11</f>
        <v>0</v>
      </c>
      <c r="G18" s="363" t="e">
        <f>'合并资产负债表 '!P11</f>
        <v>#DIV/0!</v>
      </c>
      <c r="H18" s="363">
        <f>'合并资产负债表 '!I11</f>
        <v>0</v>
      </c>
      <c r="I18" s="364" t="e">
        <f>'合并资产负债表 '!Q11</f>
        <v>#DIV/0!</v>
      </c>
      <c r="K18" s="362" t="str">
        <f>注释!B44</f>
        <v>应付职工薪酬</v>
      </c>
      <c r="L18" s="363">
        <f>'合并资产负债表 '!F45</f>
        <v>0</v>
      </c>
      <c r="M18" s="363" t="e">
        <f>'合并资产负债表 '!N45</f>
        <v>#DIV/0!</v>
      </c>
      <c r="N18" s="363">
        <f>'合并资产负债表 '!G45</f>
        <v>0</v>
      </c>
      <c r="O18" s="363" t="e">
        <f>'合并资产负债表 '!O45</f>
        <v>#DIV/0!</v>
      </c>
      <c r="P18" s="363">
        <f>'合并资产负债表 '!H45</f>
        <v>0</v>
      </c>
      <c r="Q18" s="363" t="e">
        <f>'合并资产负债表 '!P45</f>
        <v>#DIV/0!</v>
      </c>
      <c r="R18" s="363">
        <f>'合并资产负债表 '!I45</f>
        <v>0</v>
      </c>
      <c r="S18" s="364" t="e">
        <f>'合并资产负债表 '!Q45</f>
        <v>#DIV/0!</v>
      </c>
    </row>
    <row r="19" spans="1:19">
      <c r="A19" s="362" t="str">
        <f>'合并资产负债表 '!A15</f>
        <v>存货</v>
      </c>
      <c r="B19" s="363">
        <f>'合并资产负债表 '!F15</f>
        <v>0</v>
      </c>
      <c r="C19" s="363" t="e">
        <f>'合并资产负债表 '!N15</f>
        <v>#DIV/0!</v>
      </c>
      <c r="D19" s="363">
        <f>'合并资产负债表 '!G15</f>
        <v>0</v>
      </c>
      <c r="E19" s="363" t="e">
        <f>'合并资产负债表 '!O15</f>
        <v>#DIV/0!</v>
      </c>
      <c r="F19" s="363">
        <f>'合并资产负债表 '!H15</f>
        <v>0</v>
      </c>
      <c r="G19" s="363" t="e">
        <f>'合并资产负债表 '!P15</f>
        <v>#DIV/0!</v>
      </c>
      <c r="H19" s="363">
        <f>'合并资产负债表 '!I15</f>
        <v>0</v>
      </c>
      <c r="I19" s="364" t="e">
        <f>'合并资产负债表 '!Q15</f>
        <v>#DIV/0!</v>
      </c>
      <c r="K19" s="362" t="str">
        <f>注释!B45</f>
        <v>应交税费</v>
      </c>
      <c r="L19" s="363">
        <f>'合并资产负债表 '!F46</f>
        <v>0</v>
      </c>
      <c r="M19" s="363" t="e">
        <f>'合并资产负债表 '!N46</f>
        <v>#DIV/0!</v>
      </c>
      <c r="N19" s="363">
        <f>'合并资产负债表 '!G46</f>
        <v>0</v>
      </c>
      <c r="O19" s="363" t="e">
        <f>'合并资产负债表 '!O46</f>
        <v>#DIV/0!</v>
      </c>
      <c r="P19" s="363">
        <f>'合并资产负债表 '!H46</f>
        <v>0</v>
      </c>
      <c r="Q19" s="363" t="e">
        <f>'合并资产负债表 '!P46</f>
        <v>#DIV/0!</v>
      </c>
      <c r="R19" s="363">
        <f>'合并资产负债表 '!I46</f>
        <v>0</v>
      </c>
      <c r="S19" s="364" t="e">
        <f>'合并资产负债表 '!Q46</f>
        <v>#DIV/0!</v>
      </c>
    </row>
    <row r="20" spans="1:19">
      <c r="A20" s="362" t="str">
        <f>'合并资产负债表 '!A16</f>
        <v>持有待售资产</v>
      </c>
      <c r="B20" s="363">
        <f>'合并资产负债表 '!F16</f>
        <v>0</v>
      </c>
      <c r="C20" s="363" t="e">
        <f>'合并资产负债表 '!N16</f>
        <v>#DIV/0!</v>
      </c>
      <c r="D20" s="363">
        <f>'合并资产负债表 '!G16</f>
        <v>0</v>
      </c>
      <c r="E20" s="363" t="e">
        <f>'合并资产负债表 '!O16</f>
        <v>#DIV/0!</v>
      </c>
      <c r="F20" s="363">
        <f>'合并资产负债表 '!H16</f>
        <v>0</v>
      </c>
      <c r="G20" s="363" t="e">
        <f>'合并资产负债表 '!P16</f>
        <v>#DIV/0!</v>
      </c>
      <c r="H20" s="363">
        <f>'合并资产负债表 '!I16</f>
        <v>0</v>
      </c>
      <c r="I20" s="364" t="e">
        <f>'合并资产负债表 '!Q16</f>
        <v>#DIV/0!</v>
      </c>
      <c r="K20" s="362" t="str">
        <f>注释!B46</f>
        <v>其他应付款</v>
      </c>
      <c r="L20" s="363">
        <f>'合并资产负债表 '!F47</f>
        <v>0</v>
      </c>
      <c r="M20" s="363" t="e">
        <f>'合并资产负债表 '!N47</f>
        <v>#DIV/0!</v>
      </c>
      <c r="N20" s="363">
        <f>'合并资产负债表 '!G47</f>
        <v>0</v>
      </c>
      <c r="O20" s="363" t="e">
        <f>'合并资产负债表 '!O47</f>
        <v>#DIV/0!</v>
      </c>
      <c r="P20" s="363">
        <f>'合并资产负债表 '!H47</f>
        <v>0</v>
      </c>
      <c r="Q20" s="363" t="e">
        <f>'合并资产负债表 '!P47</f>
        <v>#DIV/0!</v>
      </c>
      <c r="R20" s="363">
        <f>'合并资产负债表 '!I47</f>
        <v>0</v>
      </c>
      <c r="S20" s="364" t="e">
        <f>'合并资产负债表 '!Q47</f>
        <v>#DIV/0!</v>
      </c>
    </row>
    <row r="21" spans="1:19">
      <c r="A21" s="362" t="str">
        <f>'合并资产负债表 '!A17</f>
        <v>一年内到期的非流动资产</v>
      </c>
      <c r="B21" s="363">
        <f>'合并资产负债表 '!F17</f>
        <v>0</v>
      </c>
      <c r="C21" s="363" t="e">
        <f>'合并资产负债表 '!N17</f>
        <v>#DIV/0!</v>
      </c>
      <c r="D21" s="363">
        <f>'合并资产负债表 '!G17</f>
        <v>0</v>
      </c>
      <c r="E21" s="363" t="e">
        <f>'合并资产负债表 '!O17</f>
        <v>#DIV/0!</v>
      </c>
      <c r="F21" s="363">
        <f>'合并资产负债表 '!H17</f>
        <v>0</v>
      </c>
      <c r="G21" s="363" t="e">
        <f>'合并资产负债表 '!P17</f>
        <v>#DIV/0!</v>
      </c>
      <c r="H21" s="363">
        <f>'合并资产负债表 '!I17</f>
        <v>0</v>
      </c>
      <c r="I21" s="364" t="e">
        <f>'合并资产负债表 '!Q17</f>
        <v>#DIV/0!</v>
      </c>
      <c r="K21" s="362" t="str">
        <f>注释!B50</f>
        <v>持有待售负债</v>
      </c>
      <c r="L21" s="363">
        <f>'合并资产负债表 '!F51</f>
        <v>0</v>
      </c>
      <c r="M21" s="363" t="e">
        <f>'合并资产负债表 '!N51</f>
        <v>#DIV/0!</v>
      </c>
      <c r="N21" s="363">
        <f>'合并资产负债表 '!G51</f>
        <v>0</v>
      </c>
      <c r="O21" s="363" t="e">
        <f>'合并资产负债表 '!O51</f>
        <v>#DIV/0!</v>
      </c>
      <c r="P21" s="363">
        <f>'合并资产负债表 '!H51</f>
        <v>0</v>
      </c>
      <c r="Q21" s="363" t="e">
        <f>'合并资产负债表 '!P51</f>
        <v>#DIV/0!</v>
      </c>
      <c r="R21" s="363">
        <f>'合并资产负债表 '!I51</f>
        <v>0</v>
      </c>
      <c r="S21" s="364" t="e">
        <f>'合并资产负债表 '!Q51</f>
        <v>#DIV/0!</v>
      </c>
    </row>
    <row r="22" spans="1:19">
      <c r="A22" s="362" t="str">
        <f>'合并资产负债表 '!A18</f>
        <v>其他流动资产</v>
      </c>
      <c r="B22" s="363">
        <f>'合并资产负债表 '!F18</f>
        <v>0</v>
      </c>
      <c r="C22" s="363" t="e">
        <f>'合并资产负债表 '!N18</f>
        <v>#DIV/0!</v>
      </c>
      <c r="D22" s="363">
        <f>'合并资产负债表 '!G18</f>
        <v>0</v>
      </c>
      <c r="E22" s="363" t="e">
        <f>'合并资产负债表 '!O18</f>
        <v>#DIV/0!</v>
      </c>
      <c r="F22" s="363">
        <f>'合并资产负债表 '!H18</f>
        <v>0</v>
      </c>
      <c r="G22" s="363" t="e">
        <f>'合并资产负债表 '!P18</f>
        <v>#DIV/0!</v>
      </c>
      <c r="H22" s="363">
        <f>'合并资产负债表 '!I18</f>
        <v>0</v>
      </c>
      <c r="I22" s="364" t="e">
        <f>'合并资产负债表 '!Q18</f>
        <v>#DIV/0!</v>
      </c>
      <c r="K22" s="362" t="str">
        <f>注释!B51</f>
        <v>一年内到期的非流动负债</v>
      </c>
      <c r="L22" s="363">
        <f>'合并资产负债表 '!F52</f>
        <v>0</v>
      </c>
      <c r="M22" s="363" t="e">
        <f>'合并资产负债表 '!N52</f>
        <v>#DIV/0!</v>
      </c>
      <c r="N22" s="363">
        <f>'合并资产负债表 '!G52</f>
        <v>0</v>
      </c>
      <c r="O22" s="363" t="e">
        <f>'合并资产负债表 '!O52</f>
        <v>#DIV/0!</v>
      </c>
      <c r="P22" s="363">
        <f>'合并资产负债表 '!H52</f>
        <v>0</v>
      </c>
      <c r="Q22" s="363" t="e">
        <f>'合并资产负债表 '!P52</f>
        <v>#DIV/0!</v>
      </c>
      <c r="R22" s="363">
        <f>'合并资产负债表 '!I52</f>
        <v>0</v>
      </c>
      <c r="S22" s="364" t="e">
        <f>'合并资产负债表 '!Q52</f>
        <v>#DIV/0!</v>
      </c>
    </row>
    <row r="23" spans="1:19">
      <c r="A23" s="369" t="str">
        <f>'合并资产负债表 '!A19</f>
        <v>流动资产合计</v>
      </c>
      <c r="B23" s="372">
        <f>'合并资产负债表 '!F19</f>
        <v>0</v>
      </c>
      <c r="C23" s="372" t="e">
        <f>'合并资产负债表 '!N19</f>
        <v>#DIV/0!</v>
      </c>
      <c r="D23" s="372">
        <f>'合并资产负债表 '!G19</f>
        <v>0</v>
      </c>
      <c r="E23" s="372" t="e">
        <f>'合并资产负债表 '!O19</f>
        <v>#DIV/0!</v>
      </c>
      <c r="F23" s="372">
        <f>'合并资产负债表 '!H19</f>
        <v>0</v>
      </c>
      <c r="G23" s="372" t="e">
        <f>'合并资产负债表 '!P19</f>
        <v>#DIV/0!</v>
      </c>
      <c r="H23" s="372">
        <f>'合并资产负债表 '!I19</f>
        <v>0</v>
      </c>
      <c r="I23" s="373" t="e">
        <f>'合并资产负债表 '!Q19</f>
        <v>#DIV/0!</v>
      </c>
      <c r="K23" s="362" t="str">
        <f>注释!B52</f>
        <v>其他流动负债</v>
      </c>
      <c r="L23" s="363">
        <f>'合并资产负债表 '!F53</f>
        <v>0</v>
      </c>
      <c r="M23" s="363" t="e">
        <f>'合并资产负债表 '!N53</f>
        <v>#DIV/0!</v>
      </c>
      <c r="N23" s="363">
        <f>'合并资产负债表 '!G53</f>
        <v>0</v>
      </c>
      <c r="O23" s="363" t="e">
        <f>'合并资产负债表 '!O53</f>
        <v>#DIV/0!</v>
      </c>
      <c r="P23" s="363">
        <f>'合并资产负债表 '!H53</f>
        <v>0</v>
      </c>
      <c r="Q23" s="363" t="e">
        <f>'合并资产负债表 '!P53</f>
        <v>#DIV/0!</v>
      </c>
      <c r="R23" s="363">
        <f>'合并资产负债表 '!I53</f>
        <v>0</v>
      </c>
      <c r="S23" s="364" t="e">
        <f>'合并资产负债表 '!Q53</f>
        <v>#DIV/0!</v>
      </c>
    </row>
    <row r="24" spans="1:19">
      <c r="A24" s="369" t="str">
        <f>'合并资产负债表 '!A20</f>
        <v>非流动资产：</v>
      </c>
      <c r="B24" s="372"/>
      <c r="C24" s="372"/>
      <c r="D24" s="372"/>
      <c r="E24" s="372"/>
      <c r="F24" s="372"/>
      <c r="G24" s="372"/>
      <c r="H24" s="372"/>
      <c r="I24" s="373"/>
      <c r="K24" s="369" t="str">
        <f>注释!B53</f>
        <v>流动负债合计</v>
      </c>
      <c r="L24" s="372">
        <f>'合并资产负债表 '!F54</f>
        <v>0</v>
      </c>
      <c r="M24" s="372" t="e">
        <f>'合并资产负债表 '!N54</f>
        <v>#DIV/0!</v>
      </c>
      <c r="N24" s="372">
        <f>'合并资产负债表 '!G54</f>
        <v>0</v>
      </c>
      <c r="O24" s="372" t="e">
        <f>'合并资产负债表 '!O54</f>
        <v>#DIV/0!</v>
      </c>
      <c r="P24" s="372">
        <f>'合并资产负债表 '!H54</f>
        <v>0</v>
      </c>
      <c r="Q24" s="372" t="e">
        <f>'合并资产负债表 '!P54</f>
        <v>#DIV/0!</v>
      </c>
      <c r="R24" s="372">
        <f>'合并资产负债表 '!I54</f>
        <v>0</v>
      </c>
      <c r="S24" s="373" t="e">
        <f>'合并资产负债表 '!Q54</f>
        <v>#DIV/0!</v>
      </c>
    </row>
    <row r="25" spans="1:19">
      <c r="A25" s="362" t="str">
        <f>'合并资产负债表 '!A21</f>
        <v>可供出售金融资产</v>
      </c>
      <c r="B25" s="363">
        <f>'合并资产负债表 '!F21</f>
        <v>0</v>
      </c>
      <c r="C25" s="363" t="e">
        <f>'合并资产负债表 '!N21</f>
        <v>#DIV/0!</v>
      </c>
      <c r="D25" s="363">
        <f>'合并资产负债表 '!G21</f>
        <v>0</v>
      </c>
      <c r="E25" s="363" t="e">
        <f>'合并资产负债表 '!O21</f>
        <v>#DIV/0!</v>
      </c>
      <c r="F25" s="363">
        <f>'合并资产负债表 '!H21</f>
        <v>0</v>
      </c>
      <c r="G25" s="363" t="e">
        <f>'合并资产负债表 '!P21</f>
        <v>#DIV/0!</v>
      </c>
      <c r="H25" s="363">
        <f>'合并资产负债表 '!I21</f>
        <v>0</v>
      </c>
      <c r="I25" s="364" t="e">
        <f>'合并资产负债表 '!Q21</f>
        <v>#DIV/0!</v>
      </c>
      <c r="K25" s="369" t="str">
        <f>注释!B54</f>
        <v>非流动负债：</v>
      </c>
      <c r="L25" s="372">
        <f>'合并资产负债表 '!F55</f>
        <v>0</v>
      </c>
      <c r="M25" s="372">
        <f>'合并资产负债表 '!N55</f>
        <v>0</v>
      </c>
      <c r="N25" s="372">
        <f>'合并资产负债表 '!G55</f>
        <v>0</v>
      </c>
      <c r="O25" s="372">
        <f>'合并资产负债表 '!O55</f>
        <v>0</v>
      </c>
      <c r="P25" s="372">
        <f>'合并资产负债表 '!H55</f>
        <v>0</v>
      </c>
      <c r="Q25" s="372">
        <f>'合并资产负债表 '!P55</f>
        <v>0</v>
      </c>
      <c r="R25" s="372">
        <f>'合并资产负债表 '!I55</f>
        <v>0</v>
      </c>
      <c r="S25" s="373">
        <f>'合并资产负债表 '!Q55</f>
        <v>0</v>
      </c>
    </row>
    <row r="26" spans="1:19">
      <c r="A26" s="362" t="str">
        <f>'合并资产负债表 '!A22</f>
        <v>持有至到期投资</v>
      </c>
      <c r="B26" s="363">
        <f>'合并资产负债表 '!F22</f>
        <v>0</v>
      </c>
      <c r="C26" s="363" t="e">
        <f>'合并资产负债表 '!N22</f>
        <v>#DIV/0!</v>
      </c>
      <c r="D26" s="363">
        <f>'合并资产负债表 '!G22</f>
        <v>0</v>
      </c>
      <c r="E26" s="363" t="e">
        <f>'合并资产负债表 '!O22</f>
        <v>#DIV/0!</v>
      </c>
      <c r="F26" s="363">
        <f>'合并资产负债表 '!H22</f>
        <v>0</v>
      </c>
      <c r="G26" s="363" t="e">
        <f>'合并资产负债表 '!P22</f>
        <v>#DIV/0!</v>
      </c>
      <c r="H26" s="363">
        <f>'合并资产负债表 '!I22</f>
        <v>0</v>
      </c>
      <c r="I26" s="364" t="e">
        <f>'合并资产负债表 '!Q22</f>
        <v>#DIV/0!</v>
      </c>
      <c r="K26" s="362" t="str">
        <f>注释!B55</f>
        <v>长期借款</v>
      </c>
      <c r="L26" s="363">
        <f>'合并资产负债表 '!F56</f>
        <v>0</v>
      </c>
      <c r="M26" s="363" t="e">
        <f>'合并资产负债表 '!N56</f>
        <v>#DIV/0!</v>
      </c>
      <c r="N26" s="363">
        <f>'合并资产负债表 '!G56</f>
        <v>0</v>
      </c>
      <c r="O26" s="363" t="e">
        <f>'合并资产负债表 '!O56</f>
        <v>#DIV/0!</v>
      </c>
      <c r="P26" s="363">
        <f>'合并资产负债表 '!H56</f>
        <v>0</v>
      </c>
      <c r="Q26" s="363" t="e">
        <f>'合并资产负债表 '!P56</f>
        <v>#DIV/0!</v>
      </c>
      <c r="R26" s="363">
        <f>'合并资产负债表 '!I56</f>
        <v>0</v>
      </c>
      <c r="S26" s="364" t="e">
        <f>'合并资产负债表 '!Q56</f>
        <v>#DIV/0!</v>
      </c>
    </row>
    <row r="27" spans="1:19">
      <c r="A27" s="362" t="str">
        <f>'合并资产负债表 '!A23</f>
        <v>长期应收款</v>
      </c>
      <c r="B27" s="363">
        <f>'合并资产负债表 '!F23</f>
        <v>0</v>
      </c>
      <c r="C27" s="363" t="e">
        <f>'合并资产负债表 '!N23</f>
        <v>#DIV/0!</v>
      </c>
      <c r="D27" s="363">
        <f>'合并资产负债表 '!G23</f>
        <v>0</v>
      </c>
      <c r="E27" s="363" t="e">
        <f>'合并资产负债表 '!O23</f>
        <v>#DIV/0!</v>
      </c>
      <c r="F27" s="363">
        <f>'合并资产负债表 '!H23</f>
        <v>0</v>
      </c>
      <c r="G27" s="363" t="e">
        <f>'合并资产负债表 '!P23</f>
        <v>#DIV/0!</v>
      </c>
      <c r="H27" s="363">
        <f>'合并资产负债表 '!I23</f>
        <v>0</v>
      </c>
      <c r="I27" s="364" t="e">
        <f>'合并资产负债表 '!Q23</f>
        <v>#DIV/0!</v>
      </c>
      <c r="K27" s="362" t="str">
        <f>注释!B56</f>
        <v>应付债券</v>
      </c>
      <c r="L27" s="363">
        <f>'合并资产负债表 '!F57</f>
        <v>0</v>
      </c>
      <c r="M27" s="363" t="e">
        <f>'合并资产负债表 '!N57</f>
        <v>#DIV/0!</v>
      </c>
      <c r="N27" s="363">
        <f>'合并资产负债表 '!G57</f>
        <v>0</v>
      </c>
      <c r="O27" s="363" t="e">
        <f>'合并资产负债表 '!O57</f>
        <v>#DIV/0!</v>
      </c>
      <c r="P27" s="363">
        <f>'合并资产负债表 '!H57</f>
        <v>0</v>
      </c>
      <c r="Q27" s="363" t="e">
        <f>'合并资产负债表 '!P57</f>
        <v>#DIV/0!</v>
      </c>
      <c r="R27" s="363">
        <f>'合并资产负债表 '!I57</f>
        <v>0</v>
      </c>
      <c r="S27" s="364" t="e">
        <f>'合并资产负债表 '!Q57</f>
        <v>#DIV/0!</v>
      </c>
    </row>
    <row r="28" spans="1:19">
      <c r="A28" s="362" t="str">
        <f>'合并资产负债表 '!A24</f>
        <v>长期股权投资</v>
      </c>
      <c r="B28" s="363">
        <f>'合并资产负债表 '!F24</f>
        <v>0</v>
      </c>
      <c r="C28" s="363" t="e">
        <f>'合并资产负债表 '!N24</f>
        <v>#DIV/0!</v>
      </c>
      <c r="D28" s="363">
        <f>'合并资产负债表 '!G24</f>
        <v>0</v>
      </c>
      <c r="E28" s="363" t="e">
        <f>'合并资产负债表 '!O24</f>
        <v>#DIV/0!</v>
      </c>
      <c r="F28" s="363">
        <f>'合并资产负债表 '!H24</f>
        <v>0</v>
      </c>
      <c r="G28" s="363" t="e">
        <f>'合并资产负债表 '!P24</f>
        <v>#DIV/0!</v>
      </c>
      <c r="H28" s="363">
        <f>'合并资产负债表 '!I24</f>
        <v>0</v>
      </c>
      <c r="I28" s="364" t="e">
        <f>'合并资产负债表 '!Q24</f>
        <v>#DIV/0!</v>
      </c>
      <c r="K28" s="362" t="str">
        <f>注释!B59</f>
        <v>长期应付款</v>
      </c>
      <c r="L28" s="363">
        <f>'合并资产负债表 '!F60</f>
        <v>0</v>
      </c>
      <c r="M28" s="363" t="e">
        <f>'合并资产负债表 '!N60</f>
        <v>#DIV/0!</v>
      </c>
      <c r="N28" s="363">
        <f>'合并资产负债表 '!G60</f>
        <v>0</v>
      </c>
      <c r="O28" s="363" t="e">
        <f>'合并资产负债表 '!O60</f>
        <v>#DIV/0!</v>
      </c>
      <c r="P28" s="363">
        <f>'合并资产负债表 '!H60</f>
        <v>0</v>
      </c>
      <c r="Q28" s="363" t="e">
        <f>'合并资产负债表 '!P60</f>
        <v>#DIV/0!</v>
      </c>
      <c r="R28" s="363">
        <f>'合并资产负债表 '!I60</f>
        <v>0</v>
      </c>
      <c r="S28" s="364" t="e">
        <f>'合并资产负债表 '!Q60</f>
        <v>#DIV/0!</v>
      </c>
    </row>
    <row r="29" spans="1:19">
      <c r="A29" s="362" t="str">
        <f>'合并资产负债表 '!A25</f>
        <v>投资性房地产</v>
      </c>
      <c r="B29" s="363">
        <f>'合并资产负债表 '!F25</f>
        <v>0</v>
      </c>
      <c r="C29" s="363" t="e">
        <f>'合并资产负债表 '!N25</f>
        <v>#DIV/0!</v>
      </c>
      <c r="D29" s="363">
        <f>'合并资产负债表 '!G25</f>
        <v>0</v>
      </c>
      <c r="E29" s="363" t="e">
        <f>'合并资产负债表 '!O25</f>
        <v>#DIV/0!</v>
      </c>
      <c r="F29" s="363">
        <f>'合并资产负债表 '!H25</f>
        <v>0</v>
      </c>
      <c r="G29" s="363" t="e">
        <f>'合并资产负债表 '!P25</f>
        <v>#DIV/0!</v>
      </c>
      <c r="H29" s="363">
        <f>'合并资产负债表 '!I25</f>
        <v>0</v>
      </c>
      <c r="I29" s="364" t="e">
        <f>'合并资产负债表 '!Q25</f>
        <v>#DIV/0!</v>
      </c>
      <c r="K29" s="362" t="str">
        <f>注释!B62</f>
        <v>预计负债</v>
      </c>
      <c r="L29" s="363">
        <f>'合并资产负债表 '!F63</f>
        <v>0</v>
      </c>
      <c r="M29" s="363" t="e">
        <f>'合并资产负债表 '!N63</f>
        <v>#DIV/0!</v>
      </c>
      <c r="N29" s="363">
        <f>'合并资产负债表 '!G63</f>
        <v>0</v>
      </c>
      <c r="O29" s="363" t="e">
        <f>'合并资产负债表 '!O63</f>
        <v>#DIV/0!</v>
      </c>
      <c r="P29" s="363">
        <f>'合并资产负债表 '!H63</f>
        <v>0</v>
      </c>
      <c r="Q29" s="363" t="e">
        <f>'合并资产负债表 '!P63</f>
        <v>#DIV/0!</v>
      </c>
      <c r="R29" s="363">
        <f>'合并资产负债表 '!I63</f>
        <v>0</v>
      </c>
      <c r="S29" s="364" t="e">
        <f>'合并资产负债表 '!Q63</f>
        <v>#DIV/0!</v>
      </c>
    </row>
    <row r="30" spans="1:19">
      <c r="A30" s="362" t="str">
        <f>'合并资产负债表 '!A26</f>
        <v>固定资产</v>
      </c>
      <c r="B30" s="363">
        <f>'合并资产负债表 '!F26</f>
        <v>0</v>
      </c>
      <c r="C30" s="363" t="e">
        <f>'合并资产负债表 '!N26</f>
        <v>#DIV/0!</v>
      </c>
      <c r="D30" s="363">
        <f>'合并资产负债表 '!G26</f>
        <v>0</v>
      </c>
      <c r="E30" s="363" t="e">
        <f>'合并资产负债表 '!O26</f>
        <v>#DIV/0!</v>
      </c>
      <c r="F30" s="363">
        <f>'合并资产负债表 '!H26</f>
        <v>0</v>
      </c>
      <c r="G30" s="363" t="e">
        <f>'合并资产负债表 '!P26</f>
        <v>#DIV/0!</v>
      </c>
      <c r="H30" s="363">
        <f>'合并资产负债表 '!I26</f>
        <v>0</v>
      </c>
      <c r="I30" s="364" t="e">
        <f>'合并资产负债表 '!Q26</f>
        <v>#DIV/0!</v>
      </c>
      <c r="K30" s="362" t="str">
        <f>注释!B63</f>
        <v>递延收益</v>
      </c>
      <c r="L30" s="363">
        <f>'合并资产负债表 '!F64</f>
        <v>0</v>
      </c>
      <c r="M30" s="363" t="e">
        <f>'合并资产负债表 '!N64</f>
        <v>#DIV/0!</v>
      </c>
      <c r="N30" s="363">
        <f>'合并资产负债表 '!G64</f>
        <v>0</v>
      </c>
      <c r="O30" s="363" t="e">
        <f>'合并资产负债表 '!O64</f>
        <v>#DIV/0!</v>
      </c>
      <c r="P30" s="363">
        <f>'合并资产负债表 '!H64</f>
        <v>0</v>
      </c>
      <c r="Q30" s="363" t="e">
        <f>'合并资产负债表 '!P64</f>
        <v>#DIV/0!</v>
      </c>
      <c r="R30" s="363">
        <f>'合并资产负债表 '!I64</f>
        <v>0</v>
      </c>
      <c r="S30" s="364" t="e">
        <f>'合并资产负债表 '!Q64</f>
        <v>#DIV/0!</v>
      </c>
    </row>
    <row r="31" spans="1:19">
      <c r="A31" s="362" t="str">
        <f>'合并资产负债表 '!A27</f>
        <v>在建工程</v>
      </c>
      <c r="B31" s="363">
        <f>'合并资产负债表 '!F27</f>
        <v>0</v>
      </c>
      <c r="C31" s="363" t="e">
        <f>'合并资产负债表 '!N27</f>
        <v>#DIV/0!</v>
      </c>
      <c r="D31" s="363">
        <f>'合并资产负债表 '!G27</f>
        <v>0</v>
      </c>
      <c r="E31" s="363" t="e">
        <f>'合并资产负债表 '!O27</f>
        <v>#DIV/0!</v>
      </c>
      <c r="F31" s="363">
        <f>'合并资产负债表 '!H27</f>
        <v>0</v>
      </c>
      <c r="G31" s="363" t="e">
        <f>'合并资产负债表 '!P27</f>
        <v>#DIV/0!</v>
      </c>
      <c r="H31" s="363">
        <f>'合并资产负债表 '!I27</f>
        <v>0</v>
      </c>
      <c r="I31" s="364" t="e">
        <f>'合并资产负债表 '!Q27</f>
        <v>#DIV/0!</v>
      </c>
      <c r="K31" s="362" t="str">
        <f>注释!B64</f>
        <v>递延所得税负债</v>
      </c>
      <c r="L31" s="363">
        <f>'合并资产负债表 '!F65</f>
        <v>0</v>
      </c>
      <c r="M31" s="363" t="e">
        <f>'合并资产负债表 '!N65</f>
        <v>#DIV/0!</v>
      </c>
      <c r="N31" s="363">
        <f>'合并资产负债表 '!G65</f>
        <v>0</v>
      </c>
      <c r="O31" s="363" t="e">
        <f>'合并资产负债表 '!O65</f>
        <v>#DIV/0!</v>
      </c>
      <c r="P31" s="363">
        <f>'合并资产负债表 '!H65</f>
        <v>0</v>
      </c>
      <c r="Q31" s="363" t="e">
        <f>'合并资产负债表 '!P65</f>
        <v>#DIV/0!</v>
      </c>
      <c r="R31" s="363">
        <f>'合并资产负债表 '!I65</f>
        <v>0</v>
      </c>
      <c r="S31" s="364" t="e">
        <f>'合并资产负债表 '!Q65</f>
        <v>#DIV/0!</v>
      </c>
    </row>
    <row r="32" spans="1:19">
      <c r="A32" s="362" t="str">
        <f>'合并资产负债表 '!A28</f>
        <v>生产性生物资产</v>
      </c>
      <c r="B32" s="363">
        <f>'合并资产负债表 '!F28</f>
        <v>0</v>
      </c>
      <c r="C32" s="363" t="e">
        <f>'合并资产负债表 '!N28</f>
        <v>#DIV/0!</v>
      </c>
      <c r="D32" s="363">
        <f>'合并资产负债表 '!G28</f>
        <v>0</v>
      </c>
      <c r="E32" s="363" t="e">
        <f>'合并资产负债表 '!O28</f>
        <v>#DIV/0!</v>
      </c>
      <c r="F32" s="363">
        <f>'合并资产负债表 '!H28</f>
        <v>0</v>
      </c>
      <c r="G32" s="363" t="e">
        <f>'合并资产负债表 '!P28</f>
        <v>#DIV/0!</v>
      </c>
      <c r="H32" s="363">
        <f>'合并资产负债表 '!I28</f>
        <v>0</v>
      </c>
      <c r="I32" s="364" t="e">
        <f>'合并资产负债表 '!Q28</f>
        <v>#DIV/0!</v>
      </c>
      <c r="K32" s="362" t="str">
        <f>注释!B65</f>
        <v>其他非流动负债</v>
      </c>
      <c r="L32" s="363">
        <f>'合并资产负债表 '!F66</f>
        <v>0</v>
      </c>
      <c r="M32" s="363" t="e">
        <f>'合并资产负债表 '!N66</f>
        <v>#DIV/0!</v>
      </c>
      <c r="N32" s="363">
        <f>'合并资产负债表 '!G66</f>
        <v>0</v>
      </c>
      <c r="O32" s="363" t="e">
        <f>'合并资产负债表 '!O66</f>
        <v>#DIV/0!</v>
      </c>
      <c r="P32" s="363">
        <f>'合并资产负债表 '!H66</f>
        <v>0</v>
      </c>
      <c r="Q32" s="363" t="e">
        <f>'合并资产负债表 '!P66</f>
        <v>#DIV/0!</v>
      </c>
      <c r="R32" s="363">
        <f>'合并资产负债表 '!I66</f>
        <v>0</v>
      </c>
      <c r="S32" s="364" t="e">
        <f>'合并资产负债表 '!Q66</f>
        <v>#DIV/0!</v>
      </c>
    </row>
    <row r="33" spans="1:19">
      <c r="A33" s="362" t="str">
        <f>'合并资产负债表 '!A29</f>
        <v>油气资产</v>
      </c>
      <c r="B33" s="363">
        <f>'合并资产负债表 '!F29</f>
        <v>0</v>
      </c>
      <c r="C33" s="363" t="e">
        <f>'合并资产负债表 '!N29</f>
        <v>#DIV/0!</v>
      </c>
      <c r="D33" s="363">
        <f>'合并资产负债表 '!G29</f>
        <v>0</v>
      </c>
      <c r="E33" s="363" t="e">
        <f>'合并资产负债表 '!O29</f>
        <v>#DIV/0!</v>
      </c>
      <c r="F33" s="363">
        <f>'合并资产负债表 '!H29</f>
        <v>0</v>
      </c>
      <c r="G33" s="363" t="e">
        <f>'合并资产负债表 '!P29</f>
        <v>#DIV/0!</v>
      </c>
      <c r="H33" s="363">
        <f>'合并资产负债表 '!I29</f>
        <v>0</v>
      </c>
      <c r="I33" s="364" t="e">
        <f>'合并资产负债表 '!Q29</f>
        <v>#DIV/0!</v>
      </c>
      <c r="K33" s="369" t="str">
        <f>注释!B66</f>
        <v>非流动负债合计</v>
      </c>
      <c r="L33" s="372">
        <f>'合并资产负债表 '!F67</f>
        <v>0</v>
      </c>
      <c r="M33" s="372" t="e">
        <f>'合并资产负债表 '!N67</f>
        <v>#DIV/0!</v>
      </c>
      <c r="N33" s="372">
        <f>'合并资产负债表 '!G67</f>
        <v>0</v>
      </c>
      <c r="O33" s="372" t="e">
        <f>'合并资产负债表 '!O67</f>
        <v>#DIV/0!</v>
      </c>
      <c r="P33" s="372">
        <f>'合并资产负债表 '!H67</f>
        <v>0</v>
      </c>
      <c r="Q33" s="372" t="e">
        <f>'合并资产负债表 '!P67</f>
        <v>#DIV/0!</v>
      </c>
      <c r="R33" s="372">
        <f>'合并资产负债表 '!I67</f>
        <v>0</v>
      </c>
      <c r="S33" s="373" t="e">
        <f>'合并资产负债表 '!Q67</f>
        <v>#DIV/0!</v>
      </c>
    </row>
    <row r="34" spans="1:19" ht="13.5" thickBot="1">
      <c r="A34" s="362" t="str">
        <f>'合并资产负债表 '!A30</f>
        <v>无形资产</v>
      </c>
      <c r="B34" s="363">
        <f>'合并资产负债表 '!F30</f>
        <v>0</v>
      </c>
      <c r="C34" s="363" t="e">
        <f>'合并资产负债表 '!N30</f>
        <v>#DIV/0!</v>
      </c>
      <c r="D34" s="363">
        <f>'合并资产负债表 '!G30</f>
        <v>0</v>
      </c>
      <c r="E34" s="363" t="e">
        <f>'合并资产负债表 '!O30</f>
        <v>#DIV/0!</v>
      </c>
      <c r="F34" s="363">
        <f>'合并资产负债表 '!H30</f>
        <v>0</v>
      </c>
      <c r="G34" s="363" t="e">
        <f>'合并资产负债表 '!P30</f>
        <v>#DIV/0!</v>
      </c>
      <c r="H34" s="363">
        <f>'合并资产负债表 '!I30</f>
        <v>0</v>
      </c>
      <c r="I34" s="364" t="e">
        <f>'合并资产负债表 '!Q30</f>
        <v>#DIV/0!</v>
      </c>
      <c r="K34" s="365" t="str">
        <f>注释!B67</f>
        <v>负债合计</v>
      </c>
      <c r="L34" s="366">
        <f>'合并资产负债表 '!F68</f>
        <v>0</v>
      </c>
      <c r="M34" s="366" t="e">
        <f>'合并资产负债表 '!N68</f>
        <v>#DIV/0!</v>
      </c>
      <c r="N34" s="366">
        <f>'合并资产负债表 '!G68</f>
        <v>0</v>
      </c>
      <c r="O34" s="366" t="e">
        <f>'合并资产负债表 '!O68</f>
        <v>#DIV/0!</v>
      </c>
      <c r="P34" s="366">
        <f>'合并资产负债表 '!H68</f>
        <v>0</v>
      </c>
      <c r="Q34" s="366" t="e">
        <f>'合并资产负债表 '!P68</f>
        <v>#DIV/0!</v>
      </c>
      <c r="R34" s="366">
        <f>'合并资产负债表 '!I68</f>
        <v>0</v>
      </c>
      <c r="S34" s="367" t="e">
        <f>'合并资产负债表 '!Q68</f>
        <v>#DIV/0!</v>
      </c>
    </row>
    <row r="35" spans="1:19">
      <c r="A35" s="362" t="str">
        <f>'合并资产负债表 '!A31</f>
        <v>开发支出</v>
      </c>
      <c r="B35" s="363">
        <f>'合并资产负债表 '!F31</f>
        <v>0</v>
      </c>
      <c r="C35" s="363" t="e">
        <f>'合并资产负债表 '!N31</f>
        <v>#DIV/0!</v>
      </c>
      <c r="D35" s="363">
        <f>'合并资产负债表 '!G31</f>
        <v>0</v>
      </c>
      <c r="E35" s="363" t="e">
        <f>'合并资产负债表 '!O31</f>
        <v>#DIV/0!</v>
      </c>
      <c r="F35" s="363">
        <f>'合并资产负债表 '!H31</f>
        <v>0</v>
      </c>
      <c r="G35" s="363" t="e">
        <f>'合并资产负债表 '!P31</f>
        <v>#DIV/0!</v>
      </c>
      <c r="H35" s="363">
        <f>'合并资产负债表 '!I31</f>
        <v>0</v>
      </c>
      <c r="I35" s="364" t="e">
        <f>'合并资产负债表 '!Q31</f>
        <v>#DIV/0!</v>
      </c>
      <c r="K35" s="374"/>
      <c r="L35" s="375"/>
      <c r="M35" s="375"/>
      <c r="N35" s="375"/>
      <c r="O35" s="375"/>
      <c r="P35" s="375"/>
      <c r="Q35" s="375"/>
      <c r="R35" s="375"/>
      <c r="S35" s="375"/>
    </row>
    <row r="36" spans="1:19">
      <c r="A36" s="362" t="str">
        <f>'合并资产负债表 '!A32</f>
        <v>商誉</v>
      </c>
      <c r="B36" s="363">
        <f>'合并资产负债表 '!F32</f>
        <v>0</v>
      </c>
      <c r="C36" s="363" t="e">
        <f>'合并资产负债表 '!N32</f>
        <v>#DIV/0!</v>
      </c>
      <c r="D36" s="363">
        <f>'合并资产负债表 '!G32</f>
        <v>0</v>
      </c>
      <c r="E36" s="363" t="e">
        <f>'合并资产负债表 '!O32</f>
        <v>#DIV/0!</v>
      </c>
      <c r="F36" s="363">
        <f>'合并资产负债表 '!H32</f>
        <v>0</v>
      </c>
      <c r="G36" s="363" t="e">
        <f>'合并资产负债表 '!P32</f>
        <v>#DIV/0!</v>
      </c>
      <c r="H36" s="363">
        <f>'合并资产负债表 '!I32</f>
        <v>0</v>
      </c>
      <c r="I36" s="364" t="e">
        <f>'合并资产负债表 '!Q32</f>
        <v>#DIV/0!</v>
      </c>
      <c r="K36" s="374"/>
      <c r="L36" s="375"/>
      <c r="M36" s="375"/>
      <c r="N36" s="375"/>
      <c r="O36" s="375"/>
      <c r="P36" s="375"/>
      <c r="Q36" s="375"/>
      <c r="R36" s="375"/>
      <c r="S36" s="375"/>
    </row>
    <row r="37" spans="1:19">
      <c r="A37" s="362" t="str">
        <f>'合并资产负债表 '!A33</f>
        <v>长期待摊费用</v>
      </c>
      <c r="B37" s="363">
        <f>'合并资产负债表 '!F33</f>
        <v>0</v>
      </c>
      <c r="C37" s="363" t="e">
        <f>'合并资产负债表 '!N33</f>
        <v>#DIV/0!</v>
      </c>
      <c r="D37" s="363">
        <f>'合并资产负债表 '!G33</f>
        <v>0</v>
      </c>
      <c r="E37" s="363" t="e">
        <f>'合并资产负债表 '!O33</f>
        <v>#DIV/0!</v>
      </c>
      <c r="F37" s="363">
        <f>'合并资产负债表 '!H33</f>
        <v>0</v>
      </c>
      <c r="G37" s="363" t="e">
        <f>'合并资产负债表 '!P33</f>
        <v>#DIV/0!</v>
      </c>
      <c r="H37" s="363">
        <f>'合并资产负债表 '!I33</f>
        <v>0</v>
      </c>
      <c r="I37" s="364" t="e">
        <f>'合并资产负债表 '!Q33</f>
        <v>#DIV/0!</v>
      </c>
      <c r="K37" s="374"/>
      <c r="L37" s="375"/>
      <c r="M37" s="375"/>
      <c r="N37" s="375"/>
      <c r="O37" s="375"/>
      <c r="P37" s="375"/>
      <c r="Q37" s="375"/>
      <c r="R37" s="375"/>
      <c r="S37" s="375"/>
    </row>
    <row r="38" spans="1:19">
      <c r="A38" s="362" t="str">
        <f>'合并资产负债表 '!A34</f>
        <v>递延所得税资产</v>
      </c>
      <c r="B38" s="363">
        <f>'合并资产负债表 '!F34</f>
        <v>0</v>
      </c>
      <c r="C38" s="363" t="e">
        <f>'合并资产负债表 '!N34</f>
        <v>#DIV/0!</v>
      </c>
      <c r="D38" s="363">
        <f>'合并资产负债表 '!G34</f>
        <v>0</v>
      </c>
      <c r="E38" s="363" t="e">
        <f>'合并资产负债表 '!O34</f>
        <v>#DIV/0!</v>
      </c>
      <c r="F38" s="363">
        <f>'合并资产负债表 '!H34</f>
        <v>0</v>
      </c>
      <c r="G38" s="363" t="e">
        <f>'合并资产负债表 '!P34</f>
        <v>#DIV/0!</v>
      </c>
      <c r="H38" s="363">
        <f>'合并资产负债表 '!I34</f>
        <v>0</v>
      </c>
      <c r="I38" s="364" t="e">
        <f>'合并资产负债表 '!Q34</f>
        <v>#DIV/0!</v>
      </c>
      <c r="K38" s="374"/>
      <c r="L38" s="375"/>
      <c r="M38" s="375"/>
      <c r="N38" s="375"/>
      <c r="O38" s="375"/>
      <c r="P38" s="375"/>
      <c r="Q38" s="375"/>
      <c r="R38" s="375"/>
      <c r="S38" s="375"/>
    </row>
    <row r="39" spans="1:19">
      <c r="A39" s="362" t="str">
        <f>'合并资产负债表 '!A35</f>
        <v>其他非流动资产</v>
      </c>
      <c r="B39" s="363">
        <f>'合并资产负债表 '!F35</f>
        <v>0</v>
      </c>
      <c r="C39" s="363" t="e">
        <f>'合并资产负债表 '!N35</f>
        <v>#DIV/0!</v>
      </c>
      <c r="D39" s="363">
        <f>'合并资产负债表 '!G35</f>
        <v>0</v>
      </c>
      <c r="E39" s="363" t="e">
        <f>'合并资产负债表 '!O35</f>
        <v>#DIV/0!</v>
      </c>
      <c r="F39" s="363">
        <f>'合并资产负债表 '!H35</f>
        <v>0</v>
      </c>
      <c r="G39" s="363" t="e">
        <f>'合并资产负债表 '!P35</f>
        <v>#DIV/0!</v>
      </c>
      <c r="H39" s="363">
        <f>'合并资产负债表 '!I35</f>
        <v>0</v>
      </c>
      <c r="I39" s="364" t="e">
        <f>'合并资产负债表 '!Q35</f>
        <v>#DIV/0!</v>
      </c>
      <c r="K39" s="374"/>
      <c r="L39" s="375"/>
      <c r="M39" s="375"/>
      <c r="N39" s="375"/>
      <c r="O39" s="375"/>
      <c r="P39" s="375"/>
      <c r="Q39" s="375"/>
      <c r="R39" s="375"/>
      <c r="S39" s="375"/>
    </row>
    <row r="40" spans="1:19">
      <c r="A40" s="369" t="str">
        <f>'合并资产负债表 '!A36</f>
        <v>非流动资产合计</v>
      </c>
      <c r="B40" s="372">
        <f>'合并资产负债表 '!F36</f>
        <v>0</v>
      </c>
      <c r="C40" s="372" t="e">
        <f>'合并资产负债表 '!N36</f>
        <v>#DIV/0!</v>
      </c>
      <c r="D40" s="372">
        <f>'合并资产负债表 '!G36</f>
        <v>0</v>
      </c>
      <c r="E40" s="372" t="e">
        <f>'合并资产负债表 '!O36</f>
        <v>#DIV/0!</v>
      </c>
      <c r="F40" s="372">
        <f>'合并资产负债表 '!H36</f>
        <v>0</v>
      </c>
      <c r="G40" s="372" t="e">
        <f>'合并资产负债表 '!P36</f>
        <v>#DIV/0!</v>
      </c>
      <c r="H40" s="372">
        <f>'合并资产负债表 '!I36</f>
        <v>0</v>
      </c>
      <c r="I40" s="373" t="e">
        <f>'合并资产负债表 '!Q36</f>
        <v>#DIV/0!</v>
      </c>
      <c r="K40" s="374"/>
      <c r="L40" s="375"/>
      <c r="M40" s="375"/>
      <c r="N40" s="375"/>
      <c r="O40" s="375"/>
      <c r="P40" s="375"/>
      <c r="Q40" s="375"/>
      <c r="R40" s="375"/>
      <c r="S40" s="375"/>
    </row>
    <row r="41" spans="1:19" ht="13.5" thickBot="1">
      <c r="A41" s="365" t="str">
        <f>'合并资产负债表 '!A37</f>
        <v>资产总计</v>
      </c>
      <c r="B41" s="366">
        <f>'合并资产负债表 '!F37</f>
        <v>0</v>
      </c>
      <c r="C41" s="366" t="e">
        <f>'合并资产负债表 '!N37</f>
        <v>#DIV/0!</v>
      </c>
      <c r="D41" s="366">
        <f>'合并资产负债表 '!G37</f>
        <v>0</v>
      </c>
      <c r="E41" s="366" t="e">
        <f>'合并资产负债表 '!O37</f>
        <v>#DIV/0!</v>
      </c>
      <c r="F41" s="366">
        <f>'合并资产负债表 '!H37</f>
        <v>0</v>
      </c>
      <c r="G41" s="366" t="e">
        <f>'合并资产负债表 '!P37</f>
        <v>#DIV/0!</v>
      </c>
      <c r="H41" s="366">
        <f>'合并资产负债表 '!I37</f>
        <v>0</v>
      </c>
      <c r="I41" s="367" t="e">
        <f>'合并资产负债表 '!Q37</f>
        <v>#DIV/0!</v>
      </c>
      <c r="K41" s="374"/>
      <c r="L41" s="375"/>
      <c r="M41" s="375"/>
      <c r="N41" s="375"/>
      <c r="O41" s="375"/>
      <c r="P41" s="375"/>
      <c r="Q41" s="375"/>
      <c r="R41" s="375"/>
      <c r="S41" s="375"/>
    </row>
    <row r="43" spans="1:19" ht="13.5" thickBot="1">
      <c r="A43" s="737" t="s">
        <v>1702</v>
      </c>
      <c r="B43" s="737"/>
      <c r="C43" s="737"/>
      <c r="D43" s="737"/>
      <c r="E43" s="737"/>
      <c r="F43" s="737"/>
      <c r="G43" s="737"/>
      <c r="H43" s="737"/>
      <c r="I43" s="737"/>
      <c r="K43" s="737" t="s">
        <v>1703</v>
      </c>
      <c r="L43" s="737"/>
      <c r="M43" s="737"/>
      <c r="N43" s="737"/>
      <c r="O43" s="737"/>
      <c r="P43" s="737"/>
      <c r="Q43" s="737"/>
      <c r="R43" s="737"/>
      <c r="S43" s="737"/>
    </row>
    <row r="44" spans="1:19">
      <c r="A44" s="738" t="str">
        <f>A2</f>
        <v>项目</v>
      </c>
      <c r="B44" s="746">
        <f>B9</f>
        <v>0</v>
      </c>
      <c r="C44" s="746"/>
      <c r="D44" s="746">
        <f t="shared" ref="D44:I44" si="6">D9</f>
        <v>0</v>
      </c>
      <c r="E44" s="746">
        <f t="shared" si="6"/>
        <v>0</v>
      </c>
      <c r="F44" s="746">
        <f t="shared" si="6"/>
        <v>0</v>
      </c>
      <c r="G44" s="746">
        <f t="shared" si="6"/>
        <v>0</v>
      </c>
      <c r="H44" s="746">
        <f t="shared" si="6"/>
        <v>0</v>
      </c>
      <c r="I44" s="747">
        <f t="shared" si="6"/>
        <v>0</v>
      </c>
      <c r="K44" s="738" t="str">
        <f>A44</f>
        <v>项目</v>
      </c>
      <c r="L44" s="740">
        <f>B44</f>
        <v>0</v>
      </c>
      <c r="M44" s="740"/>
      <c r="N44" s="740">
        <f>D44</f>
        <v>0</v>
      </c>
      <c r="O44" s="740"/>
      <c r="P44" s="740">
        <f>F44</f>
        <v>0</v>
      </c>
      <c r="Q44" s="740"/>
      <c r="R44" s="740">
        <f>H44</f>
        <v>0</v>
      </c>
      <c r="S44" s="741"/>
    </row>
    <row r="45" spans="1:19">
      <c r="A45" s="739"/>
      <c r="B45" s="360" t="s">
        <v>1699</v>
      </c>
      <c r="C45" s="360" t="s">
        <v>82</v>
      </c>
      <c r="D45" s="360" t="s">
        <v>1699</v>
      </c>
      <c r="E45" s="360" t="s">
        <v>82</v>
      </c>
      <c r="F45" s="360" t="s">
        <v>1699</v>
      </c>
      <c r="G45" s="360" t="s">
        <v>82</v>
      </c>
      <c r="H45" s="360" t="s">
        <v>1699</v>
      </c>
      <c r="I45" s="361" t="s">
        <v>82</v>
      </c>
      <c r="K45" s="739"/>
      <c r="L45" s="360" t="s">
        <v>1699</v>
      </c>
      <c r="M45" s="360" t="s">
        <v>82</v>
      </c>
      <c r="N45" s="360" t="s">
        <v>1699</v>
      </c>
      <c r="O45" s="360" t="s">
        <v>82</v>
      </c>
      <c r="P45" s="360" t="s">
        <v>1699</v>
      </c>
      <c r="Q45" s="360" t="s">
        <v>82</v>
      </c>
      <c r="R45" s="360" t="s">
        <v>1699</v>
      </c>
      <c r="S45" s="361" t="s">
        <v>82</v>
      </c>
    </row>
    <row r="46" spans="1:19">
      <c r="A46" s="362" t="str">
        <f t="shared" ref="A46:B52" si="7">A12</f>
        <v>货币资金</v>
      </c>
      <c r="B46" s="363">
        <f t="shared" si="7"/>
        <v>0</v>
      </c>
      <c r="C46" s="363" t="e">
        <f>'合并资产负债表 '!J5</f>
        <v>#DIV/0!</v>
      </c>
      <c r="D46" s="363">
        <f t="shared" ref="D46:D52" si="8">D12</f>
        <v>0</v>
      </c>
      <c r="E46" s="363" t="e">
        <f>'合并资产负债表 '!K5</f>
        <v>#DIV/0!</v>
      </c>
      <c r="F46" s="363">
        <f t="shared" ref="F46:F52" si="9">F12</f>
        <v>0</v>
      </c>
      <c r="G46" s="363" t="e">
        <f>'合并资产负债表 '!L5</f>
        <v>#DIV/0!</v>
      </c>
      <c r="H46" s="363">
        <f t="shared" ref="H46:H52" si="10">H12</f>
        <v>0</v>
      </c>
      <c r="I46" s="364" t="e">
        <f>'合并资产负债表 '!M5</f>
        <v>#DIV/0!</v>
      </c>
      <c r="K46" s="362" t="str">
        <f t="shared" ref="K46:L58" si="11">K12</f>
        <v>短期借款</v>
      </c>
      <c r="L46" s="363">
        <f t="shared" si="11"/>
        <v>0</v>
      </c>
      <c r="M46" s="363" t="e">
        <f>'合并资产负债表 '!J39</f>
        <v>#DIV/0!</v>
      </c>
      <c r="N46" s="363">
        <f t="shared" ref="N46:N58" si="12">N12</f>
        <v>0</v>
      </c>
      <c r="O46" s="363" t="e">
        <f>'合并资产负债表 '!K39</f>
        <v>#DIV/0!</v>
      </c>
      <c r="P46" s="363">
        <f t="shared" ref="P46:P58" si="13">P12</f>
        <v>0</v>
      </c>
      <c r="Q46" s="363" t="e">
        <f>'合并资产负债表 '!L39</f>
        <v>#DIV/0!</v>
      </c>
      <c r="R46" s="363">
        <f t="shared" ref="R46:R58" si="14">R12</f>
        <v>0</v>
      </c>
      <c r="S46" s="364" t="e">
        <f>'合并资产负债表 '!M39</f>
        <v>#DIV/0!</v>
      </c>
    </row>
    <row r="47" spans="1:19">
      <c r="A47" s="362" t="str">
        <f t="shared" si="7"/>
        <v>以公允价值计量且其变动计入当期损益的金融资产</v>
      </c>
      <c r="B47" s="363">
        <f t="shared" si="7"/>
        <v>0</v>
      </c>
      <c r="C47" s="363" t="e">
        <f>'合并资产负债表 '!J6</f>
        <v>#DIV/0!</v>
      </c>
      <c r="D47" s="363">
        <f t="shared" si="8"/>
        <v>0</v>
      </c>
      <c r="E47" s="363" t="e">
        <f>'合并资产负债表 '!K6</f>
        <v>#DIV/0!</v>
      </c>
      <c r="F47" s="363">
        <f t="shared" si="9"/>
        <v>0</v>
      </c>
      <c r="G47" s="363" t="e">
        <f>'合并资产负债表 '!L6</f>
        <v>#DIV/0!</v>
      </c>
      <c r="H47" s="363">
        <f t="shared" si="10"/>
        <v>0</v>
      </c>
      <c r="I47" s="364" t="e">
        <f>'合并资产负债表 '!M6</f>
        <v>#DIV/0!</v>
      </c>
      <c r="K47" s="362" t="str">
        <f t="shared" si="11"/>
        <v>以公允价值计量且其变动计入当期损益的金融负债</v>
      </c>
      <c r="L47" s="363">
        <f t="shared" si="11"/>
        <v>0</v>
      </c>
      <c r="M47" s="363" t="e">
        <f>'合并资产负债表 '!J40</f>
        <v>#DIV/0!</v>
      </c>
      <c r="N47" s="363">
        <f t="shared" si="12"/>
        <v>0</v>
      </c>
      <c r="O47" s="363" t="e">
        <f>'合并资产负债表 '!K40</f>
        <v>#DIV/0!</v>
      </c>
      <c r="P47" s="363">
        <f t="shared" si="13"/>
        <v>0</v>
      </c>
      <c r="Q47" s="363" t="e">
        <f>'合并资产负债表 '!L40</f>
        <v>#DIV/0!</v>
      </c>
      <c r="R47" s="363">
        <f t="shared" si="14"/>
        <v>0</v>
      </c>
      <c r="S47" s="364" t="e">
        <f>'合并资产负债表 '!M40</f>
        <v>#DIV/0!</v>
      </c>
    </row>
    <row r="48" spans="1:19">
      <c r="A48" s="362" t="str">
        <f t="shared" si="7"/>
        <v>衍生金融资产</v>
      </c>
      <c r="B48" s="363">
        <f t="shared" si="7"/>
        <v>0</v>
      </c>
      <c r="C48" s="363" t="e">
        <f>'合并资产负债表 '!J7</f>
        <v>#DIV/0!</v>
      </c>
      <c r="D48" s="363">
        <f t="shared" si="8"/>
        <v>0</v>
      </c>
      <c r="E48" s="363" t="e">
        <f>'合并资产负债表 '!K7</f>
        <v>#DIV/0!</v>
      </c>
      <c r="F48" s="363">
        <f t="shared" si="9"/>
        <v>0</v>
      </c>
      <c r="G48" s="363" t="e">
        <f>'合并资产负债表 '!L7</f>
        <v>#DIV/0!</v>
      </c>
      <c r="H48" s="363">
        <f t="shared" si="10"/>
        <v>0</v>
      </c>
      <c r="I48" s="364" t="e">
        <f>'合并资产负债表 '!M7</f>
        <v>#DIV/0!</v>
      </c>
      <c r="K48" s="362" t="str">
        <f t="shared" si="11"/>
        <v>衍生金融负债</v>
      </c>
      <c r="L48" s="363">
        <f t="shared" si="11"/>
        <v>0</v>
      </c>
      <c r="M48" s="363" t="e">
        <f>'合并资产负债表 '!J41</f>
        <v>#DIV/0!</v>
      </c>
      <c r="N48" s="363">
        <f t="shared" si="12"/>
        <v>0</v>
      </c>
      <c r="O48" s="363" t="e">
        <f>'合并资产负债表 '!K41</f>
        <v>#DIV/0!</v>
      </c>
      <c r="P48" s="363">
        <f t="shared" si="13"/>
        <v>0</v>
      </c>
      <c r="Q48" s="363" t="e">
        <f>'合并资产负债表 '!L41</f>
        <v>#DIV/0!</v>
      </c>
      <c r="R48" s="363">
        <f t="shared" si="14"/>
        <v>0</v>
      </c>
      <c r="S48" s="364" t="e">
        <f>'合并资产负债表 '!M41</f>
        <v>#DIV/0!</v>
      </c>
    </row>
    <row r="49" spans="1:19">
      <c r="A49" s="362" t="str">
        <f t="shared" si="7"/>
        <v>应收票据</v>
      </c>
      <c r="B49" s="363">
        <f t="shared" si="7"/>
        <v>0</v>
      </c>
      <c r="C49" s="363" t="e">
        <f>'合并资产负债表 '!J8</f>
        <v>#DIV/0!</v>
      </c>
      <c r="D49" s="363">
        <f t="shared" si="8"/>
        <v>0</v>
      </c>
      <c r="E49" s="363" t="e">
        <f>'合并资产负债表 '!K8</f>
        <v>#DIV/0!</v>
      </c>
      <c r="F49" s="363">
        <f t="shared" si="9"/>
        <v>0</v>
      </c>
      <c r="G49" s="363" t="e">
        <f>'合并资产负债表 '!L8</f>
        <v>#DIV/0!</v>
      </c>
      <c r="H49" s="363">
        <f t="shared" si="10"/>
        <v>0</v>
      </c>
      <c r="I49" s="364" t="e">
        <f>'合并资产负债表 '!M8</f>
        <v>#DIV/0!</v>
      </c>
      <c r="K49" s="362" t="str">
        <f t="shared" si="11"/>
        <v>应付票据</v>
      </c>
      <c r="L49" s="363">
        <f t="shared" si="11"/>
        <v>0</v>
      </c>
      <c r="M49" s="363" t="e">
        <f>'合并资产负债表 '!J42</f>
        <v>#DIV/0!</v>
      </c>
      <c r="N49" s="363">
        <f t="shared" si="12"/>
        <v>0</v>
      </c>
      <c r="O49" s="363" t="e">
        <f>'合并资产负债表 '!K42</f>
        <v>#DIV/0!</v>
      </c>
      <c r="P49" s="363">
        <f t="shared" si="13"/>
        <v>0</v>
      </c>
      <c r="Q49" s="363" t="e">
        <f>'合并资产负债表 '!L42</f>
        <v>#DIV/0!</v>
      </c>
      <c r="R49" s="363">
        <f t="shared" si="14"/>
        <v>0</v>
      </c>
      <c r="S49" s="364" t="e">
        <f>'合并资产负债表 '!M42</f>
        <v>#DIV/0!</v>
      </c>
    </row>
    <row r="50" spans="1:19">
      <c r="A50" s="362" t="str">
        <f t="shared" si="7"/>
        <v>应收账款</v>
      </c>
      <c r="B50" s="363">
        <f t="shared" si="7"/>
        <v>0</v>
      </c>
      <c r="C50" s="363" t="e">
        <f>'合并资产负债表 '!J9</f>
        <v>#DIV/0!</v>
      </c>
      <c r="D50" s="363">
        <f t="shared" si="8"/>
        <v>0</v>
      </c>
      <c r="E50" s="363" t="e">
        <f>'合并资产负债表 '!K9</f>
        <v>#DIV/0!</v>
      </c>
      <c r="F50" s="363">
        <f t="shared" si="9"/>
        <v>0</v>
      </c>
      <c r="G50" s="363" t="e">
        <f>'合并资产负债表 '!L9</f>
        <v>#DIV/0!</v>
      </c>
      <c r="H50" s="363">
        <f t="shared" si="10"/>
        <v>0</v>
      </c>
      <c r="I50" s="364" t="e">
        <f>'合并资产负债表 '!M9</f>
        <v>#DIV/0!</v>
      </c>
      <c r="K50" s="362" t="str">
        <f t="shared" si="11"/>
        <v>应付账款</v>
      </c>
      <c r="L50" s="363">
        <f t="shared" si="11"/>
        <v>0</v>
      </c>
      <c r="M50" s="363" t="e">
        <f>'合并资产负债表 '!J43</f>
        <v>#DIV/0!</v>
      </c>
      <c r="N50" s="363">
        <f t="shared" si="12"/>
        <v>0</v>
      </c>
      <c r="O50" s="363" t="e">
        <f>'合并资产负债表 '!K43</f>
        <v>#DIV/0!</v>
      </c>
      <c r="P50" s="363">
        <f t="shared" si="13"/>
        <v>0</v>
      </c>
      <c r="Q50" s="363" t="e">
        <f>'合并资产负债表 '!L43</f>
        <v>#DIV/0!</v>
      </c>
      <c r="R50" s="363">
        <f t="shared" si="14"/>
        <v>0</v>
      </c>
      <c r="S50" s="364" t="e">
        <f>'合并资产负债表 '!M43</f>
        <v>#DIV/0!</v>
      </c>
    </row>
    <row r="51" spans="1:19">
      <c r="A51" s="362" t="str">
        <f t="shared" si="7"/>
        <v>预付款项</v>
      </c>
      <c r="B51" s="363">
        <f t="shared" si="7"/>
        <v>0</v>
      </c>
      <c r="C51" s="363" t="e">
        <f>'合并资产负债表 '!J10</f>
        <v>#DIV/0!</v>
      </c>
      <c r="D51" s="363">
        <f t="shared" si="8"/>
        <v>0</v>
      </c>
      <c r="E51" s="363" t="e">
        <f>'合并资产负债表 '!K10</f>
        <v>#DIV/0!</v>
      </c>
      <c r="F51" s="363">
        <f t="shared" si="9"/>
        <v>0</v>
      </c>
      <c r="G51" s="363" t="e">
        <f>'合并资产负债表 '!L10</f>
        <v>#DIV/0!</v>
      </c>
      <c r="H51" s="363">
        <f t="shared" si="10"/>
        <v>0</v>
      </c>
      <c r="I51" s="364" t="e">
        <f>'合并资产负债表 '!M10</f>
        <v>#DIV/0!</v>
      </c>
      <c r="K51" s="362" t="str">
        <f t="shared" si="11"/>
        <v>预收款项</v>
      </c>
      <c r="L51" s="363">
        <f t="shared" si="11"/>
        <v>0</v>
      </c>
      <c r="M51" s="363" t="e">
        <f>'合并资产负债表 '!J44</f>
        <v>#DIV/0!</v>
      </c>
      <c r="N51" s="363">
        <f t="shared" si="12"/>
        <v>0</v>
      </c>
      <c r="O51" s="363" t="e">
        <f>'合并资产负债表 '!K44</f>
        <v>#DIV/0!</v>
      </c>
      <c r="P51" s="363">
        <f t="shared" si="13"/>
        <v>0</v>
      </c>
      <c r="Q51" s="363" t="e">
        <f>'合并资产负债表 '!L44</f>
        <v>#DIV/0!</v>
      </c>
      <c r="R51" s="363">
        <f t="shared" si="14"/>
        <v>0</v>
      </c>
      <c r="S51" s="364" t="e">
        <f>'合并资产负债表 '!M44</f>
        <v>#DIV/0!</v>
      </c>
    </row>
    <row r="52" spans="1:19">
      <c r="A52" s="362" t="str">
        <f t="shared" si="7"/>
        <v>其他应收款</v>
      </c>
      <c r="B52" s="363">
        <f t="shared" si="7"/>
        <v>0</v>
      </c>
      <c r="C52" s="363" t="e">
        <f>'合并资产负债表 '!J11</f>
        <v>#DIV/0!</v>
      </c>
      <c r="D52" s="363">
        <f t="shared" si="8"/>
        <v>0</v>
      </c>
      <c r="E52" s="363" t="e">
        <f>'合并资产负债表 '!K11</f>
        <v>#DIV/0!</v>
      </c>
      <c r="F52" s="363">
        <f t="shared" si="9"/>
        <v>0</v>
      </c>
      <c r="G52" s="363" t="e">
        <f>'合并资产负债表 '!L11</f>
        <v>#DIV/0!</v>
      </c>
      <c r="H52" s="363">
        <f t="shared" si="10"/>
        <v>0</v>
      </c>
      <c r="I52" s="364" t="e">
        <f>'合并资产负债表 '!M11</f>
        <v>#DIV/0!</v>
      </c>
      <c r="K52" s="362" t="str">
        <f t="shared" si="11"/>
        <v>应付职工薪酬</v>
      </c>
      <c r="L52" s="363">
        <f t="shared" si="11"/>
        <v>0</v>
      </c>
      <c r="M52" s="363" t="e">
        <f>'合并资产负债表 '!J45</f>
        <v>#DIV/0!</v>
      </c>
      <c r="N52" s="363">
        <f t="shared" si="12"/>
        <v>0</v>
      </c>
      <c r="O52" s="363" t="e">
        <f>'合并资产负债表 '!K45</f>
        <v>#DIV/0!</v>
      </c>
      <c r="P52" s="363">
        <f t="shared" si="13"/>
        <v>0</v>
      </c>
      <c r="Q52" s="363" t="e">
        <f>'合并资产负债表 '!L45</f>
        <v>#DIV/0!</v>
      </c>
      <c r="R52" s="363">
        <f t="shared" si="14"/>
        <v>0</v>
      </c>
      <c r="S52" s="364" t="e">
        <f>'合并资产负债表 '!M45</f>
        <v>#DIV/0!</v>
      </c>
    </row>
    <row r="53" spans="1:19">
      <c r="A53" s="362" t="str">
        <f t="shared" ref="A53:B56" si="15">A19</f>
        <v>存货</v>
      </c>
      <c r="B53" s="363">
        <f t="shared" si="15"/>
        <v>0</v>
      </c>
      <c r="C53" s="363" t="e">
        <f>'合并资产负债表 '!J15</f>
        <v>#DIV/0!</v>
      </c>
      <c r="D53" s="363">
        <f t="shared" ref="D53:D57" si="16">D19</f>
        <v>0</v>
      </c>
      <c r="E53" s="363" t="e">
        <f>'合并资产负债表 '!K15</f>
        <v>#DIV/0!</v>
      </c>
      <c r="F53" s="363">
        <f t="shared" ref="F53:F57" si="17">F19</f>
        <v>0</v>
      </c>
      <c r="G53" s="363" t="e">
        <f>'合并资产负债表 '!L15</f>
        <v>#DIV/0!</v>
      </c>
      <c r="H53" s="363">
        <f t="shared" ref="H53:H57" si="18">H19</f>
        <v>0</v>
      </c>
      <c r="I53" s="364" t="e">
        <f>'合并资产负债表 '!M15</f>
        <v>#DIV/0!</v>
      </c>
      <c r="K53" s="362" t="str">
        <f t="shared" si="11"/>
        <v>应交税费</v>
      </c>
      <c r="L53" s="363">
        <f t="shared" si="11"/>
        <v>0</v>
      </c>
      <c r="M53" s="363" t="e">
        <f>'合并资产负债表 '!J46</f>
        <v>#DIV/0!</v>
      </c>
      <c r="N53" s="363">
        <f t="shared" si="12"/>
        <v>0</v>
      </c>
      <c r="O53" s="363" t="e">
        <f>'合并资产负债表 '!K46</f>
        <v>#DIV/0!</v>
      </c>
      <c r="P53" s="363">
        <f t="shared" si="13"/>
        <v>0</v>
      </c>
      <c r="Q53" s="363" t="e">
        <f>'合并资产负债表 '!L46</f>
        <v>#DIV/0!</v>
      </c>
      <c r="R53" s="363">
        <f t="shared" si="14"/>
        <v>0</v>
      </c>
      <c r="S53" s="364" t="e">
        <f>'合并资产负债表 '!M46</f>
        <v>#DIV/0!</v>
      </c>
    </row>
    <row r="54" spans="1:19">
      <c r="A54" s="362" t="str">
        <f t="shared" si="15"/>
        <v>持有待售资产</v>
      </c>
      <c r="B54" s="363">
        <f t="shared" si="15"/>
        <v>0</v>
      </c>
      <c r="C54" s="363" t="e">
        <f>'合并资产负债表 '!J16</f>
        <v>#DIV/0!</v>
      </c>
      <c r="D54" s="363">
        <f t="shared" si="16"/>
        <v>0</v>
      </c>
      <c r="E54" s="363" t="e">
        <f>'合并资产负债表 '!K16</f>
        <v>#DIV/0!</v>
      </c>
      <c r="F54" s="363">
        <f t="shared" si="17"/>
        <v>0</v>
      </c>
      <c r="G54" s="363" t="e">
        <f>'合并资产负债表 '!L16</f>
        <v>#DIV/0!</v>
      </c>
      <c r="H54" s="363">
        <f t="shared" si="18"/>
        <v>0</v>
      </c>
      <c r="I54" s="364" t="e">
        <f>'合并资产负债表 '!M16</f>
        <v>#DIV/0!</v>
      </c>
      <c r="K54" s="362" t="str">
        <f t="shared" si="11"/>
        <v>其他应付款</v>
      </c>
      <c r="L54" s="363">
        <f t="shared" si="11"/>
        <v>0</v>
      </c>
      <c r="M54" s="363" t="e">
        <f>'合并资产负债表 '!J47</f>
        <v>#DIV/0!</v>
      </c>
      <c r="N54" s="363">
        <f t="shared" si="12"/>
        <v>0</v>
      </c>
      <c r="O54" s="363" t="e">
        <f>'合并资产负债表 '!K47</f>
        <v>#DIV/0!</v>
      </c>
      <c r="P54" s="363">
        <f t="shared" si="13"/>
        <v>0</v>
      </c>
      <c r="Q54" s="363" t="e">
        <f>'合并资产负债表 '!L47</f>
        <v>#DIV/0!</v>
      </c>
      <c r="R54" s="363">
        <f t="shared" si="14"/>
        <v>0</v>
      </c>
      <c r="S54" s="364" t="e">
        <f>'合并资产负债表 '!M47</f>
        <v>#DIV/0!</v>
      </c>
    </row>
    <row r="55" spans="1:19">
      <c r="A55" s="362" t="str">
        <f t="shared" si="15"/>
        <v>一年内到期的非流动资产</v>
      </c>
      <c r="B55" s="363">
        <f t="shared" si="15"/>
        <v>0</v>
      </c>
      <c r="C55" s="363" t="e">
        <f>'合并资产负债表 '!J17</f>
        <v>#DIV/0!</v>
      </c>
      <c r="D55" s="363">
        <f t="shared" si="16"/>
        <v>0</v>
      </c>
      <c r="E55" s="363" t="e">
        <f>'合并资产负债表 '!K17</f>
        <v>#DIV/0!</v>
      </c>
      <c r="F55" s="363">
        <f t="shared" si="17"/>
        <v>0</v>
      </c>
      <c r="G55" s="363" t="e">
        <f>'合并资产负债表 '!L17</f>
        <v>#DIV/0!</v>
      </c>
      <c r="H55" s="363">
        <f t="shared" si="18"/>
        <v>0</v>
      </c>
      <c r="I55" s="364" t="e">
        <f>'合并资产负债表 '!M17</f>
        <v>#DIV/0!</v>
      </c>
      <c r="K55" s="362" t="str">
        <f t="shared" si="11"/>
        <v>持有待售负债</v>
      </c>
      <c r="L55" s="363">
        <f t="shared" si="11"/>
        <v>0</v>
      </c>
      <c r="M55" s="363" t="e">
        <f>'合并资产负债表 '!J51</f>
        <v>#DIV/0!</v>
      </c>
      <c r="N55" s="363">
        <f t="shared" si="12"/>
        <v>0</v>
      </c>
      <c r="O55" s="363" t="e">
        <f>'合并资产负债表 '!K51</f>
        <v>#DIV/0!</v>
      </c>
      <c r="P55" s="363">
        <f t="shared" si="13"/>
        <v>0</v>
      </c>
      <c r="Q55" s="363" t="e">
        <f>'合并资产负债表 '!L51</f>
        <v>#DIV/0!</v>
      </c>
      <c r="R55" s="363">
        <f t="shared" si="14"/>
        <v>0</v>
      </c>
      <c r="S55" s="364" t="e">
        <f>'合并资产负债表 '!M51</f>
        <v>#DIV/0!</v>
      </c>
    </row>
    <row r="56" spans="1:19">
      <c r="A56" s="362" t="str">
        <f t="shared" si="15"/>
        <v>其他流动资产</v>
      </c>
      <c r="B56" s="363">
        <f t="shared" si="15"/>
        <v>0</v>
      </c>
      <c r="C56" s="363" t="e">
        <f>'合并资产负债表 '!J18</f>
        <v>#DIV/0!</v>
      </c>
      <c r="D56" s="363">
        <f t="shared" si="16"/>
        <v>0</v>
      </c>
      <c r="E56" s="363" t="e">
        <f>'合并资产负债表 '!K18</f>
        <v>#DIV/0!</v>
      </c>
      <c r="F56" s="363">
        <f t="shared" si="17"/>
        <v>0</v>
      </c>
      <c r="G56" s="363" t="e">
        <f>'合并资产负债表 '!L18</f>
        <v>#DIV/0!</v>
      </c>
      <c r="H56" s="363">
        <f t="shared" si="18"/>
        <v>0</v>
      </c>
      <c r="I56" s="364" t="e">
        <f>'合并资产负债表 '!M18</f>
        <v>#DIV/0!</v>
      </c>
      <c r="K56" s="362" t="str">
        <f t="shared" si="11"/>
        <v>一年内到期的非流动负债</v>
      </c>
      <c r="L56" s="363">
        <f t="shared" si="11"/>
        <v>0</v>
      </c>
      <c r="M56" s="363" t="e">
        <f>'合并资产负债表 '!J52</f>
        <v>#DIV/0!</v>
      </c>
      <c r="N56" s="363">
        <f t="shared" si="12"/>
        <v>0</v>
      </c>
      <c r="O56" s="363" t="e">
        <f>'合并资产负债表 '!K52</f>
        <v>#DIV/0!</v>
      </c>
      <c r="P56" s="363">
        <f t="shared" si="13"/>
        <v>0</v>
      </c>
      <c r="Q56" s="363" t="e">
        <f>'合并资产负债表 '!L52</f>
        <v>#DIV/0!</v>
      </c>
      <c r="R56" s="363">
        <f t="shared" si="14"/>
        <v>0</v>
      </c>
      <c r="S56" s="364" t="e">
        <f>'合并资产负债表 '!M52</f>
        <v>#DIV/0!</v>
      </c>
    </row>
    <row r="57" spans="1:19" ht="13.5" thickBot="1">
      <c r="A57" s="365" t="str">
        <f>A23</f>
        <v>流动资产合计</v>
      </c>
      <c r="B57" s="366">
        <f>B23</f>
        <v>0</v>
      </c>
      <c r="C57" s="366" t="e">
        <f>'合并资产负债表 '!J19</f>
        <v>#DIV/0!</v>
      </c>
      <c r="D57" s="366">
        <f t="shared" si="16"/>
        <v>0</v>
      </c>
      <c r="E57" s="366" t="e">
        <f>'合并资产负债表 '!K19</f>
        <v>#DIV/0!</v>
      </c>
      <c r="F57" s="366">
        <f t="shared" si="17"/>
        <v>0</v>
      </c>
      <c r="G57" s="366" t="e">
        <f>'合并资产负债表 '!L19</f>
        <v>#DIV/0!</v>
      </c>
      <c r="H57" s="366">
        <f t="shared" si="18"/>
        <v>0</v>
      </c>
      <c r="I57" s="367" t="e">
        <f>'合并资产负债表 '!M19</f>
        <v>#DIV/0!</v>
      </c>
      <c r="K57" s="362" t="str">
        <f t="shared" si="11"/>
        <v>其他流动负债</v>
      </c>
      <c r="L57" s="363">
        <f t="shared" si="11"/>
        <v>0</v>
      </c>
      <c r="M57" s="363" t="e">
        <f>'合并资产负债表 '!J53</f>
        <v>#DIV/0!</v>
      </c>
      <c r="N57" s="363">
        <f t="shared" si="12"/>
        <v>0</v>
      </c>
      <c r="O57" s="363" t="e">
        <f>'合并资产负债表 '!K53</f>
        <v>#DIV/0!</v>
      </c>
      <c r="P57" s="363">
        <f t="shared" si="13"/>
        <v>0</v>
      </c>
      <c r="Q57" s="363" t="e">
        <f>'合并资产负债表 '!L53</f>
        <v>#DIV/0!</v>
      </c>
      <c r="R57" s="363">
        <f t="shared" si="14"/>
        <v>0</v>
      </c>
      <c r="S57" s="364" t="e">
        <f>'合并资产负债表 '!M53</f>
        <v>#DIV/0!</v>
      </c>
    </row>
    <row r="58" spans="1:19">
      <c r="A58" s="374"/>
      <c r="B58" s="375"/>
      <c r="C58" s="375"/>
      <c r="D58" s="375"/>
      <c r="E58" s="375"/>
      <c r="F58" s="375"/>
      <c r="G58" s="375"/>
      <c r="H58" s="375"/>
      <c r="I58" s="375"/>
      <c r="K58" s="369" t="str">
        <f t="shared" si="11"/>
        <v>流动负债合计</v>
      </c>
      <c r="L58" s="372">
        <f t="shared" si="11"/>
        <v>0</v>
      </c>
      <c r="M58" s="372" t="e">
        <f>'合并资产负债表 '!J54</f>
        <v>#DIV/0!</v>
      </c>
      <c r="N58" s="372">
        <f t="shared" si="12"/>
        <v>0</v>
      </c>
      <c r="O58" s="372" t="e">
        <f>'合并资产负债表 '!K54</f>
        <v>#DIV/0!</v>
      </c>
      <c r="P58" s="372">
        <f t="shared" si="13"/>
        <v>0</v>
      </c>
      <c r="Q58" s="372" t="e">
        <f>'合并资产负债表 '!L54</f>
        <v>#DIV/0!</v>
      </c>
      <c r="R58" s="372">
        <f t="shared" si="14"/>
        <v>0</v>
      </c>
      <c r="S58" s="373" t="e">
        <f>'合并资产负债表 '!M54</f>
        <v>#DIV/0!</v>
      </c>
    </row>
    <row r="59" spans="1:19">
      <c r="A59" s="374"/>
      <c r="B59" s="375"/>
      <c r="C59" s="375"/>
      <c r="D59" s="375"/>
      <c r="E59" s="375"/>
      <c r="F59" s="375"/>
      <c r="G59" s="375"/>
      <c r="H59" s="375"/>
      <c r="I59" s="375"/>
      <c r="K59" s="376"/>
      <c r="L59" s="375"/>
      <c r="M59" s="375"/>
      <c r="N59" s="375"/>
      <c r="O59" s="375"/>
      <c r="P59" s="375"/>
      <c r="Q59" s="375"/>
      <c r="R59" s="375"/>
      <c r="S59" s="375"/>
    </row>
    <row r="60" spans="1:19" s="28" customFormat="1">
      <c r="A60" s="359"/>
      <c r="B60" s="359"/>
      <c r="C60" s="359"/>
      <c r="D60" s="359"/>
      <c r="E60" s="359"/>
      <c r="F60" s="359"/>
      <c r="G60" s="359"/>
      <c r="H60" s="359"/>
      <c r="I60" s="359"/>
      <c r="K60" s="359"/>
      <c r="L60" s="359"/>
      <c r="M60" s="359"/>
      <c r="N60" s="359"/>
      <c r="O60" s="359"/>
      <c r="P60" s="359"/>
      <c r="Q60" s="359"/>
      <c r="R60" s="359"/>
      <c r="S60" s="359"/>
    </row>
    <row r="61" spans="1:19" s="28" customFormat="1" ht="13.5" thickBot="1">
      <c r="A61" s="737" t="s">
        <v>1704</v>
      </c>
      <c r="B61" s="737"/>
      <c r="C61" s="737"/>
      <c r="D61" s="737"/>
      <c r="E61" s="737"/>
      <c r="F61" s="737"/>
      <c r="G61" s="737"/>
      <c r="H61" s="737"/>
      <c r="I61" s="737"/>
      <c r="K61" s="737" t="s">
        <v>1705</v>
      </c>
      <c r="L61" s="737"/>
      <c r="M61" s="737"/>
      <c r="N61" s="737"/>
      <c r="O61" s="737"/>
      <c r="P61" s="737"/>
      <c r="Q61" s="737"/>
      <c r="R61" s="737"/>
      <c r="S61" s="737"/>
    </row>
    <row r="62" spans="1:19">
      <c r="A62" s="742" t="str">
        <f>A44</f>
        <v>项目</v>
      </c>
      <c r="B62" s="744">
        <f>B44</f>
        <v>0</v>
      </c>
      <c r="C62" s="744">
        <f t="shared" ref="C62:H62" si="19">C44</f>
        <v>0</v>
      </c>
      <c r="D62" s="744">
        <f t="shared" si="19"/>
        <v>0</v>
      </c>
      <c r="E62" s="744">
        <f t="shared" si="19"/>
        <v>0</v>
      </c>
      <c r="F62" s="744">
        <f t="shared" si="19"/>
        <v>0</v>
      </c>
      <c r="G62" s="744">
        <f t="shared" si="19"/>
        <v>0</v>
      </c>
      <c r="H62" s="744">
        <f t="shared" si="19"/>
        <v>0</v>
      </c>
      <c r="I62" s="745"/>
      <c r="K62" s="738" t="str">
        <f>K44</f>
        <v>项目</v>
      </c>
      <c r="L62" s="740">
        <f t="shared" ref="L62:S62" si="20">L44</f>
        <v>0</v>
      </c>
      <c r="M62" s="740"/>
      <c r="N62" s="740">
        <f t="shared" si="20"/>
        <v>0</v>
      </c>
      <c r="O62" s="740">
        <f t="shared" si="20"/>
        <v>0</v>
      </c>
      <c r="P62" s="740">
        <f t="shared" si="20"/>
        <v>0</v>
      </c>
      <c r="Q62" s="740">
        <f t="shared" si="20"/>
        <v>0</v>
      </c>
      <c r="R62" s="740">
        <f t="shared" si="20"/>
        <v>0</v>
      </c>
      <c r="S62" s="741">
        <f t="shared" si="20"/>
        <v>0</v>
      </c>
    </row>
    <row r="63" spans="1:19">
      <c r="A63" s="743"/>
      <c r="B63" s="360" t="s">
        <v>1699</v>
      </c>
      <c r="C63" s="360" t="s">
        <v>82</v>
      </c>
      <c r="D63" s="360" t="s">
        <v>1699</v>
      </c>
      <c r="E63" s="360" t="s">
        <v>82</v>
      </c>
      <c r="F63" s="360" t="s">
        <v>1699</v>
      </c>
      <c r="G63" s="360" t="s">
        <v>82</v>
      </c>
      <c r="H63" s="360" t="s">
        <v>1699</v>
      </c>
      <c r="I63" s="361" t="s">
        <v>82</v>
      </c>
      <c r="K63" s="739"/>
      <c r="L63" s="360" t="s">
        <v>1699</v>
      </c>
      <c r="M63" s="360" t="s">
        <v>82</v>
      </c>
      <c r="N63" s="360" t="s">
        <v>1699</v>
      </c>
      <c r="O63" s="360" t="s">
        <v>82</v>
      </c>
      <c r="P63" s="360" t="s">
        <v>1699</v>
      </c>
      <c r="Q63" s="360" t="s">
        <v>82</v>
      </c>
      <c r="R63" s="360" t="s">
        <v>1699</v>
      </c>
      <c r="S63" s="361" t="s">
        <v>82</v>
      </c>
    </row>
    <row r="64" spans="1:19">
      <c r="A64" s="362" t="str">
        <f>A25</f>
        <v>可供出售金融资产</v>
      </c>
      <c r="B64" s="363">
        <f>B25</f>
        <v>0</v>
      </c>
      <c r="C64" s="363" t="e">
        <f>'合并资产负债表 '!J21</f>
        <v>#DIV/0!</v>
      </c>
      <c r="D64" s="363">
        <f>D25</f>
        <v>0</v>
      </c>
      <c r="E64" s="363" t="e">
        <f>'合并资产负债表 '!K21</f>
        <v>#DIV/0!</v>
      </c>
      <c r="F64" s="363">
        <f>F25</f>
        <v>0</v>
      </c>
      <c r="G64" s="363" t="e">
        <f>'合并资产负债表 '!L21</f>
        <v>#DIV/0!</v>
      </c>
      <c r="H64" s="363">
        <f>H25</f>
        <v>0</v>
      </c>
      <c r="I64" s="364" t="e">
        <f>'合并资产负债表 '!M21</f>
        <v>#DIV/0!</v>
      </c>
      <c r="K64" s="362" t="str">
        <f t="shared" ref="K64:L71" si="21">K26</f>
        <v>长期借款</v>
      </c>
      <c r="L64" s="363">
        <f t="shared" si="21"/>
        <v>0</v>
      </c>
      <c r="M64" s="363" t="e">
        <f>'合并资产负债表 '!J56</f>
        <v>#DIV/0!</v>
      </c>
      <c r="N64" s="363">
        <f t="shared" ref="N64:N71" si="22">N26</f>
        <v>0</v>
      </c>
      <c r="O64" s="363" t="e">
        <f>'合并资产负债表 '!K56</f>
        <v>#DIV/0!</v>
      </c>
      <c r="P64" s="363">
        <f t="shared" ref="P64:P71" si="23">P26</f>
        <v>0</v>
      </c>
      <c r="Q64" s="363" t="e">
        <f>'合并资产负债表 '!L56</f>
        <v>#DIV/0!</v>
      </c>
      <c r="R64" s="363">
        <f t="shared" ref="R64:R71" si="24">R26</f>
        <v>0</v>
      </c>
      <c r="S64" s="364" t="e">
        <f>'合并资产负债表 '!M56</f>
        <v>#DIV/0!</v>
      </c>
    </row>
    <row r="65" spans="1:19">
      <c r="A65" s="362" t="str">
        <f t="shared" ref="A65:B79" si="25">A26</f>
        <v>持有至到期投资</v>
      </c>
      <c r="B65" s="363">
        <f t="shared" si="25"/>
        <v>0</v>
      </c>
      <c r="C65" s="363" t="e">
        <f>'合并资产负债表 '!J22</f>
        <v>#DIV/0!</v>
      </c>
      <c r="D65" s="363">
        <f t="shared" ref="D65" si="26">D26</f>
        <v>0</v>
      </c>
      <c r="E65" s="363" t="e">
        <f>'合并资产负债表 '!K22</f>
        <v>#DIV/0!</v>
      </c>
      <c r="F65" s="363">
        <f t="shared" ref="F65" si="27">F26</f>
        <v>0</v>
      </c>
      <c r="G65" s="363" t="e">
        <f>'合并资产负债表 '!L22</f>
        <v>#DIV/0!</v>
      </c>
      <c r="H65" s="363">
        <f t="shared" ref="H65" si="28">H26</f>
        <v>0</v>
      </c>
      <c r="I65" s="364" t="e">
        <f>'合并资产负债表 '!M22</f>
        <v>#DIV/0!</v>
      </c>
      <c r="K65" s="362" t="str">
        <f t="shared" si="21"/>
        <v>应付债券</v>
      </c>
      <c r="L65" s="363">
        <f t="shared" si="21"/>
        <v>0</v>
      </c>
      <c r="M65" s="363" t="e">
        <f>'合并资产负债表 '!J57</f>
        <v>#DIV/0!</v>
      </c>
      <c r="N65" s="363">
        <f t="shared" si="22"/>
        <v>0</v>
      </c>
      <c r="O65" s="363" t="e">
        <f>'合并资产负债表 '!K57</f>
        <v>#DIV/0!</v>
      </c>
      <c r="P65" s="363">
        <f t="shared" si="23"/>
        <v>0</v>
      </c>
      <c r="Q65" s="363" t="e">
        <f>'合并资产负债表 '!L57</f>
        <v>#DIV/0!</v>
      </c>
      <c r="R65" s="363">
        <f t="shared" si="24"/>
        <v>0</v>
      </c>
      <c r="S65" s="364" t="e">
        <f>'合并资产负债表 '!M57</f>
        <v>#DIV/0!</v>
      </c>
    </row>
    <row r="66" spans="1:19">
      <c r="A66" s="362" t="str">
        <f t="shared" si="25"/>
        <v>长期应收款</v>
      </c>
      <c r="B66" s="363">
        <f t="shared" si="25"/>
        <v>0</v>
      </c>
      <c r="C66" s="363" t="e">
        <f>'合并资产负债表 '!J23</f>
        <v>#DIV/0!</v>
      </c>
      <c r="D66" s="363">
        <f t="shared" ref="D66" si="29">D27</f>
        <v>0</v>
      </c>
      <c r="E66" s="363" t="e">
        <f>'合并资产负债表 '!K23</f>
        <v>#DIV/0!</v>
      </c>
      <c r="F66" s="363">
        <f t="shared" ref="F66" si="30">F27</f>
        <v>0</v>
      </c>
      <c r="G66" s="363" t="e">
        <f>'合并资产负债表 '!L23</f>
        <v>#DIV/0!</v>
      </c>
      <c r="H66" s="363">
        <f t="shared" ref="H66" si="31">H27</f>
        <v>0</v>
      </c>
      <c r="I66" s="364" t="e">
        <f>'合并资产负债表 '!M23</f>
        <v>#DIV/0!</v>
      </c>
      <c r="K66" s="362" t="str">
        <f t="shared" si="21"/>
        <v>长期应付款</v>
      </c>
      <c r="L66" s="363">
        <f t="shared" si="21"/>
        <v>0</v>
      </c>
      <c r="M66" s="363" t="e">
        <f>'合并资产负债表 '!J60</f>
        <v>#DIV/0!</v>
      </c>
      <c r="N66" s="363">
        <f t="shared" si="22"/>
        <v>0</v>
      </c>
      <c r="O66" s="363" t="e">
        <f>'合并资产负债表 '!K60</f>
        <v>#DIV/0!</v>
      </c>
      <c r="P66" s="363">
        <f t="shared" si="23"/>
        <v>0</v>
      </c>
      <c r="Q66" s="363" t="e">
        <f>'合并资产负债表 '!L60</f>
        <v>#DIV/0!</v>
      </c>
      <c r="R66" s="363">
        <f t="shared" si="24"/>
        <v>0</v>
      </c>
      <c r="S66" s="364" t="e">
        <f>'合并资产负债表 '!M60</f>
        <v>#DIV/0!</v>
      </c>
    </row>
    <row r="67" spans="1:19">
      <c r="A67" s="362" t="str">
        <f t="shared" si="25"/>
        <v>长期股权投资</v>
      </c>
      <c r="B67" s="363">
        <f t="shared" si="25"/>
        <v>0</v>
      </c>
      <c r="C67" s="363" t="e">
        <f>'合并资产负债表 '!J24</f>
        <v>#DIV/0!</v>
      </c>
      <c r="D67" s="363">
        <f t="shared" ref="D67" si="32">D28</f>
        <v>0</v>
      </c>
      <c r="E67" s="363" t="e">
        <f>'合并资产负债表 '!K24</f>
        <v>#DIV/0!</v>
      </c>
      <c r="F67" s="363">
        <f t="shared" ref="F67" si="33">F28</f>
        <v>0</v>
      </c>
      <c r="G67" s="363" t="e">
        <f>'合并资产负债表 '!L24</f>
        <v>#DIV/0!</v>
      </c>
      <c r="H67" s="363">
        <f t="shared" ref="H67" si="34">H28</f>
        <v>0</v>
      </c>
      <c r="I67" s="364" t="e">
        <f>'合并资产负债表 '!M24</f>
        <v>#DIV/0!</v>
      </c>
      <c r="K67" s="362" t="str">
        <f t="shared" si="21"/>
        <v>预计负债</v>
      </c>
      <c r="L67" s="363">
        <f t="shared" si="21"/>
        <v>0</v>
      </c>
      <c r="M67" s="363" t="e">
        <f>'合并资产负债表 '!J63</f>
        <v>#DIV/0!</v>
      </c>
      <c r="N67" s="363">
        <f t="shared" si="22"/>
        <v>0</v>
      </c>
      <c r="O67" s="363" t="e">
        <f>'合并资产负债表 '!K63</f>
        <v>#DIV/0!</v>
      </c>
      <c r="P67" s="363">
        <f t="shared" si="23"/>
        <v>0</v>
      </c>
      <c r="Q67" s="363" t="e">
        <f>'合并资产负债表 '!L63</f>
        <v>#DIV/0!</v>
      </c>
      <c r="R67" s="363">
        <f t="shared" si="24"/>
        <v>0</v>
      </c>
      <c r="S67" s="364" t="e">
        <f>'合并资产负债表 '!M63</f>
        <v>#DIV/0!</v>
      </c>
    </row>
    <row r="68" spans="1:19">
      <c r="A68" s="362" t="str">
        <f t="shared" si="25"/>
        <v>投资性房地产</v>
      </c>
      <c r="B68" s="363">
        <f t="shared" si="25"/>
        <v>0</v>
      </c>
      <c r="C68" s="363" t="e">
        <f>'合并资产负债表 '!J25</f>
        <v>#DIV/0!</v>
      </c>
      <c r="D68" s="363">
        <f t="shared" ref="D68" si="35">D29</f>
        <v>0</v>
      </c>
      <c r="E68" s="363" t="e">
        <f>'合并资产负债表 '!K25</f>
        <v>#DIV/0!</v>
      </c>
      <c r="F68" s="363">
        <f t="shared" ref="F68" si="36">F29</f>
        <v>0</v>
      </c>
      <c r="G68" s="363" t="e">
        <f>'合并资产负债表 '!L25</f>
        <v>#DIV/0!</v>
      </c>
      <c r="H68" s="363">
        <f t="shared" ref="H68" si="37">H29</f>
        <v>0</v>
      </c>
      <c r="I68" s="364" t="e">
        <f>'合并资产负债表 '!M25</f>
        <v>#DIV/0!</v>
      </c>
      <c r="K68" s="362" t="str">
        <f t="shared" si="21"/>
        <v>递延收益</v>
      </c>
      <c r="L68" s="363">
        <f t="shared" si="21"/>
        <v>0</v>
      </c>
      <c r="M68" s="363" t="e">
        <f>'合并资产负债表 '!J64</f>
        <v>#DIV/0!</v>
      </c>
      <c r="N68" s="363">
        <f t="shared" si="22"/>
        <v>0</v>
      </c>
      <c r="O68" s="363" t="e">
        <f>'合并资产负债表 '!K64</f>
        <v>#DIV/0!</v>
      </c>
      <c r="P68" s="363">
        <f t="shared" si="23"/>
        <v>0</v>
      </c>
      <c r="Q68" s="363" t="e">
        <f>'合并资产负债表 '!L64</f>
        <v>#DIV/0!</v>
      </c>
      <c r="R68" s="363">
        <f t="shared" si="24"/>
        <v>0</v>
      </c>
      <c r="S68" s="364" t="e">
        <f>'合并资产负债表 '!M64</f>
        <v>#DIV/0!</v>
      </c>
    </row>
    <row r="69" spans="1:19">
      <c r="A69" s="362" t="str">
        <f t="shared" si="25"/>
        <v>固定资产</v>
      </c>
      <c r="B69" s="363">
        <f t="shared" si="25"/>
        <v>0</v>
      </c>
      <c r="C69" s="363" t="e">
        <f>'合并资产负债表 '!J26</f>
        <v>#DIV/0!</v>
      </c>
      <c r="D69" s="363">
        <f t="shared" ref="D69" si="38">D30</f>
        <v>0</v>
      </c>
      <c r="E69" s="363" t="e">
        <f>'合并资产负债表 '!K26</f>
        <v>#DIV/0!</v>
      </c>
      <c r="F69" s="363">
        <f t="shared" ref="F69" si="39">F30</f>
        <v>0</v>
      </c>
      <c r="G69" s="363" t="e">
        <f>'合并资产负债表 '!L26</f>
        <v>#DIV/0!</v>
      </c>
      <c r="H69" s="363">
        <f t="shared" ref="H69" si="40">H30</f>
        <v>0</v>
      </c>
      <c r="I69" s="364" t="e">
        <f>'合并资产负债表 '!M26</f>
        <v>#DIV/0!</v>
      </c>
      <c r="K69" s="362" t="str">
        <f t="shared" si="21"/>
        <v>递延所得税负债</v>
      </c>
      <c r="L69" s="363">
        <f t="shared" si="21"/>
        <v>0</v>
      </c>
      <c r="M69" s="363" t="e">
        <f>'合并资产负债表 '!J65</f>
        <v>#DIV/0!</v>
      </c>
      <c r="N69" s="363">
        <f t="shared" si="22"/>
        <v>0</v>
      </c>
      <c r="O69" s="363" t="e">
        <f>'合并资产负债表 '!K65</f>
        <v>#DIV/0!</v>
      </c>
      <c r="P69" s="363">
        <f t="shared" si="23"/>
        <v>0</v>
      </c>
      <c r="Q69" s="363" t="e">
        <f>'合并资产负债表 '!L65</f>
        <v>#DIV/0!</v>
      </c>
      <c r="R69" s="363">
        <f t="shared" si="24"/>
        <v>0</v>
      </c>
      <c r="S69" s="364" t="e">
        <f>'合并资产负债表 '!M65</f>
        <v>#DIV/0!</v>
      </c>
    </row>
    <row r="70" spans="1:19">
      <c r="A70" s="362" t="str">
        <f t="shared" si="25"/>
        <v>在建工程</v>
      </c>
      <c r="B70" s="363">
        <f t="shared" si="25"/>
        <v>0</v>
      </c>
      <c r="C70" s="363" t="e">
        <f>'合并资产负债表 '!J27</f>
        <v>#DIV/0!</v>
      </c>
      <c r="D70" s="363">
        <f t="shared" ref="D70" si="41">D31</f>
        <v>0</v>
      </c>
      <c r="E70" s="363" t="e">
        <f>'合并资产负债表 '!K27</f>
        <v>#DIV/0!</v>
      </c>
      <c r="F70" s="363">
        <f t="shared" ref="F70" si="42">F31</f>
        <v>0</v>
      </c>
      <c r="G70" s="363" t="e">
        <f>'合并资产负债表 '!L27</f>
        <v>#DIV/0!</v>
      </c>
      <c r="H70" s="363">
        <f t="shared" ref="H70" si="43">H31</f>
        <v>0</v>
      </c>
      <c r="I70" s="364" t="e">
        <f>'合并资产负债表 '!M27</f>
        <v>#DIV/0!</v>
      </c>
      <c r="K70" s="362" t="str">
        <f t="shared" si="21"/>
        <v>其他非流动负债</v>
      </c>
      <c r="L70" s="363">
        <f t="shared" si="21"/>
        <v>0</v>
      </c>
      <c r="M70" s="363" t="e">
        <f>'合并资产负债表 '!J66</f>
        <v>#DIV/0!</v>
      </c>
      <c r="N70" s="363">
        <f t="shared" si="22"/>
        <v>0</v>
      </c>
      <c r="O70" s="363" t="e">
        <f>'合并资产负债表 '!K66</f>
        <v>#DIV/0!</v>
      </c>
      <c r="P70" s="363">
        <f t="shared" si="23"/>
        <v>0</v>
      </c>
      <c r="Q70" s="363" t="e">
        <f>'合并资产负债表 '!L66</f>
        <v>#DIV/0!</v>
      </c>
      <c r="R70" s="363">
        <f t="shared" si="24"/>
        <v>0</v>
      </c>
      <c r="S70" s="364" t="e">
        <f>'合并资产负债表 '!M66</f>
        <v>#DIV/0!</v>
      </c>
    </row>
    <row r="71" spans="1:19" ht="13.5" thickBot="1">
      <c r="A71" s="362" t="str">
        <f t="shared" si="25"/>
        <v>生产性生物资产</v>
      </c>
      <c r="B71" s="363">
        <f t="shared" si="25"/>
        <v>0</v>
      </c>
      <c r="C71" s="363" t="e">
        <f>'合并资产负债表 '!J28</f>
        <v>#DIV/0!</v>
      </c>
      <c r="D71" s="363">
        <f t="shared" ref="D71" si="44">D32</f>
        <v>0</v>
      </c>
      <c r="E71" s="363" t="e">
        <f>'合并资产负债表 '!K28</f>
        <v>#DIV/0!</v>
      </c>
      <c r="F71" s="363">
        <f t="shared" ref="F71" si="45">F32</f>
        <v>0</v>
      </c>
      <c r="G71" s="363" t="e">
        <f>'合并资产负债表 '!L28</f>
        <v>#DIV/0!</v>
      </c>
      <c r="H71" s="363">
        <f t="shared" ref="H71" si="46">H32</f>
        <v>0</v>
      </c>
      <c r="I71" s="364" t="e">
        <f>'合并资产负债表 '!M28</f>
        <v>#DIV/0!</v>
      </c>
      <c r="K71" s="365" t="str">
        <f t="shared" si="21"/>
        <v>非流动负债合计</v>
      </c>
      <c r="L71" s="366">
        <f t="shared" si="21"/>
        <v>0</v>
      </c>
      <c r="M71" s="366" t="e">
        <f>'合并资产负债表 '!J67</f>
        <v>#DIV/0!</v>
      </c>
      <c r="N71" s="366">
        <f t="shared" si="22"/>
        <v>0</v>
      </c>
      <c r="O71" s="366" t="e">
        <f>'合并资产负债表 '!K67</f>
        <v>#DIV/0!</v>
      </c>
      <c r="P71" s="366">
        <f t="shared" si="23"/>
        <v>0</v>
      </c>
      <c r="Q71" s="366" t="e">
        <f>'合并资产负债表 '!L67</f>
        <v>#DIV/0!</v>
      </c>
      <c r="R71" s="366">
        <f t="shared" si="24"/>
        <v>0</v>
      </c>
      <c r="S71" s="367" t="e">
        <f>'合并资产负债表 '!M67</f>
        <v>#DIV/0!</v>
      </c>
    </row>
    <row r="72" spans="1:19">
      <c r="A72" s="362" t="str">
        <f t="shared" si="25"/>
        <v>油气资产</v>
      </c>
      <c r="B72" s="363">
        <f t="shared" si="25"/>
        <v>0</v>
      </c>
      <c r="C72" s="363" t="e">
        <f>'合并资产负债表 '!J29</f>
        <v>#DIV/0!</v>
      </c>
      <c r="D72" s="363">
        <f t="shared" ref="D72" si="47">D33</f>
        <v>0</v>
      </c>
      <c r="E72" s="363" t="e">
        <f>'合并资产负债表 '!K29</f>
        <v>#DIV/0!</v>
      </c>
      <c r="F72" s="363">
        <f t="shared" ref="F72" si="48">F33</f>
        <v>0</v>
      </c>
      <c r="G72" s="363" t="e">
        <f>'合并资产负债表 '!L29</f>
        <v>#DIV/0!</v>
      </c>
      <c r="H72" s="363">
        <f t="shared" ref="H72" si="49">H33</f>
        <v>0</v>
      </c>
      <c r="I72" s="364" t="e">
        <f>'合并资产负债表 '!M29</f>
        <v>#DIV/0!</v>
      </c>
    </row>
    <row r="73" spans="1:19">
      <c r="A73" s="362" t="str">
        <f t="shared" si="25"/>
        <v>无形资产</v>
      </c>
      <c r="B73" s="363">
        <f t="shared" si="25"/>
        <v>0</v>
      </c>
      <c r="C73" s="363" t="e">
        <f>'合并资产负债表 '!J30</f>
        <v>#DIV/0!</v>
      </c>
      <c r="D73" s="363">
        <f t="shared" ref="D73" si="50">D34</f>
        <v>0</v>
      </c>
      <c r="E73" s="363" t="e">
        <f>'合并资产负债表 '!K30</f>
        <v>#DIV/0!</v>
      </c>
      <c r="F73" s="363">
        <f t="shared" ref="F73" si="51">F34</f>
        <v>0</v>
      </c>
      <c r="G73" s="363" t="e">
        <f>'合并资产负债表 '!L30</f>
        <v>#DIV/0!</v>
      </c>
      <c r="H73" s="363">
        <f t="shared" ref="H73" si="52">H34</f>
        <v>0</v>
      </c>
      <c r="I73" s="364" t="e">
        <f>'合并资产负债表 '!M30</f>
        <v>#DIV/0!</v>
      </c>
    </row>
    <row r="74" spans="1:19">
      <c r="A74" s="362" t="str">
        <f t="shared" si="25"/>
        <v>开发支出</v>
      </c>
      <c r="B74" s="363">
        <f t="shared" si="25"/>
        <v>0</v>
      </c>
      <c r="C74" s="363" t="e">
        <f>'合并资产负债表 '!J31</f>
        <v>#DIV/0!</v>
      </c>
      <c r="D74" s="363">
        <f t="shared" ref="D74" si="53">D35</f>
        <v>0</v>
      </c>
      <c r="E74" s="363" t="e">
        <f>'合并资产负债表 '!K31</f>
        <v>#DIV/0!</v>
      </c>
      <c r="F74" s="363">
        <f t="shared" ref="F74" si="54">F35</f>
        <v>0</v>
      </c>
      <c r="G74" s="363" t="e">
        <f>'合并资产负债表 '!L31</f>
        <v>#DIV/0!</v>
      </c>
      <c r="H74" s="363">
        <f t="shared" ref="H74" si="55">H35</f>
        <v>0</v>
      </c>
      <c r="I74" s="364" t="e">
        <f>'合并资产负债表 '!M31</f>
        <v>#DIV/0!</v>
      </c>
    </row>
    <row r="75" spans="1:19">
      <c r="A75" s="362" t="str">
        <f t="shared" si="25"/>
        <v>商誉</v>
      </c>
      <c r="B75" s="363">
        <f t="shared" si="25"/>
        <v>0</v>
      </c>
      <c r="C75" s="363" t="e">
        <f>'合并资产负债表 '!J32</f>
        <v>#DIV/0!</v>
      </c>
      <c r="D75" s="363">
        <f t="shared" ref="D75" si="56">D36</f>
        <v>0</v>
      </c>
      <c r="E75" s="363" t="e">
        <f>'合并资产负债表 '!K32</f>
        <v>#DIV/0!</v>
      </c>
      <c r="F75" s="363">
        <f t="shared" ref="F75" si="57">F36</f>
        <v>0</v>
      </c>
      <c r="G75" s="363" t="e">
        <f>'合并资产负债表 '!L32</f>
        <v>#DIV/0!</v>
      </c>
      <c r="H75" s="363">
        <f t="shared" ref="H75" si="58">H36</f>
        <v>0</v>
      </c>
      <c r="I75" s="364" t="e">
        <f>'合并资产负债表 '!M32</f>
        <v>#DIV/0!</v>
      </c>
    </row>
    <row r="76" spans="1:19">
      <c r="A76" s="362" t="str">
        <f t="shared" si="25"/>
        <v>长期待摊费用</v>
      </c>
      <c r="B76" s="363">
        <f t="shared" si="25"/>
        <v>0</v>
      </c>
      <c r="C76" s="363" t="e">
        <f>'合并资产负债表 '!J33</f>
        <v>#DIV/0!</v>
      </c>
      <c r="D76" s="363">
        <f t="shared" ref="D76" si="59">D37</f>
        <v>0</v>
      </c>
      <c r="E76" s="363" t="e">
        <f>'合并资产负债表 '!K33</f>
        <v>#DIV/0!</v>
      </c>
      <c r="F76" s="363">
        <f t="shared" ref="F76" si="60">F37</f>
        <v>0</v>
      </c>
      <c r="G76" s="363" t="e">
        <f>'合并资产负债表 '!L33</f>
        <v>#DIV/0!</v>
      </c>
      <c r="H76" s="363">
        <f t="shared" ref="H76" si="61">H37</f>
        <v>0</v>
      </c>
      <c r="I76" s="364" t="e">
        <f>'合并资产负债表 '!M33</f>
        <v>#DIV/0!</v>
      </c>
    </row>
    <row r="77" spans="1:19">
      <c r="A77" s="362" t="str">
        <f t="shared" si="25"/>
        <v>递延所得税资产</v>
      </c>
      <c r="B77" s="363">
        <f t="shared" si="25"/>
        <v>0</v>
      </c>
      <c r="C77" s="363" t="e">
        <f>'合并资产负债表 '!J34</f>
        <v>#DIV/0!</v>
      </c>
      <c r="D77" s="363">
        <f t="shared" ref="D77" si="62">D38</f>
        <v>0</v>
      </c>
      <c r="E77" s="363" t="e">
        <f>'合并资产负债表 '!K34</f>
        <v>#DIV/0!</v>
      </c>
      <c r="F77" s="363">
        <f t="shared" ref="F77" si="63">F38</f>
        <v>0</v>
      </c>
      <c r="G77" s="363" t="e">
        <f>'合并资产负债表 '!L34</f>
        <v>#DIV/0!</v>
      </c>
      <c r="H77" s="363">
        <f t="shared" ref="H77" si="64">H38</f>
        <v>0</v>
      </c>
      <c r="I77" s="364" t="e">
        <f>'合并资产负债表 '!M34</f>
        <v>#DIV/0!</v>
      </c>
    </row>
    <row r="78" spans="1:19">
      <c r="A78" s="362" t="str">
        <f>A39</f>
        <v>其他非流动资产</v>
      </c>
      <c r="B78" s="363">
        <f>B39</f>
        <v>0</v>
      </c>
      <c r="C78" s="363" t="e">
        <f>'合并资产负债表 '!J35</f>
        <v>#DIV/0!</v>
      </c>
      <c r="D78" s="363">
        <f>D39</f>
        <v>0</v>
      </c>
      <c r="E78" s="363" t="e">
        <f>'合并资产负债表 '!K35</f>
        <v>#DIV/0!</v>
      </c>
      <c r="F78" s="363">
        <f t="shared" ref="F78" si="65">F39</f>
        <v>0</v>
      </c>
      <c r="G78" s="363" t="e">
        <f>'合并资产负债表 '!L35</f>
        <v>#DIV/0!</v>
      </c>
      <c r="H78" s="363">
        <f t="shared" ref="H78" si="66">H39</f>
        <v>0</v>
      </c>
      <c r="I78" s="364" t="e">
        <f>'合并资产负债表 '!M35</f>
        <v>#DIV/0!</v>
      </c>
    </row>
    <row r="79" spans="1:19" ht="13.5" thickBot="1">
      <c r="A79" s="365" t="str">
        <f t="shared" si="25"/>
        <v>非流动资产合计</v>
      </c>
      <c r="B79" s="366">
        <f>B40</f>
        <v>0</v>
      </c>
      <c r="C79" s="366" t="e">
        <f>'合并资产负债表 '!J36</f>
        <v>#DIV/0!</v>
      </c>
      <c r="D79" s="366">
        <f>D40</f>
        <v>0</v>
      </c>
      <c r="E79" s="366" t="e">
        <f>'合并资产负债表 '!K36</f>
        <v>#DIV/0!</v>
      </c>
      <c r="F79" s="366">
        <f t="shared" ref="F79" si="67">F40</f>
        <v>0</v>
      </c>
      <c r="G79" s="366" t="e">
        <f>'合并资产负债表 '!L36</f>
        <v>#DIV/0!</v>
      </c>
      <c r="H79" s="366">
        <f t="shared" ref="H79" si="68">H40</f>
        <v>0</v>
      </c>
      <c r="I79" s="367" t="e">
        <f>'合并资产负债表 '!M36</f>
        <v>#DIV/0!</v>
      </c>
    </row>
  </sheetData>
  <mergeCells count="48">
    <mergeCell ref="K43:S43"/>
    <mergeCell ref="K44:K45"/>
    <mergeCell ref="L44:M44"/>
    <mergeCell ref="N44:O44"/>
    <mergeCell ref="P44:Q44"/>
    <mergeCell ref="R44:S44"/>
    <mergeCell ref="A1:I1"/>
    <mergeCell ref="A8:I8"/>
    <mergeCell ref="A9:A10"/>
    <mergeCell ref="A43:I43"/>
    <mergeCell ref="A44:A45"/>
    <mergeCell ref="A2:A3"/>
    <mergeCell ref="B2:C2"/>
    <mergeCell ref="D2:E2"/>
    <mergeCell ref="F2:G2"/>
    <mergeCell ref="H2:I2"/>
    <mergeCell ref="A61:I61"/>
    <mergeCell ref="B9:C9"/>
    <mergeCell ref="D9:E9"/>
    <mergeCell ref="F9:G9"/>
    <mergeCell ref="H9:I9"/>
    <mergeCell ref="B44:C44"/>
    <mergeCell ref="D44:E44"/>
    <mergeCell ref="F44:G44"/>
    <mergeCell ref="H44:I44"/>
    <mergeCell ref="A62:A63"/>
    <mergeCell ref="H62:I62"/>
    <mergeCell ref="F62:G62"/>
    <mergeCell ref="D62:E62"/>
    <mergeCell ref="B62:C62"/>
    <mergeCell ref="K2:K3"/>
    <mergeCell ref="K1:S1"/>
    <mergeCell ref="R9:S9"/>
    <mergeCell ref="P9:Q9"/>
    <mergeCell ref="N9:O9"/>
    <mergeCell ref="L9:M9"/>
    <mergeCell ref="K9:K10"/>
    <mergeCell ref="K8:S8"/>
    <mergeCell ref="L2:M2"/>
    <mergeCell ref="N2:O2"/>
    <mergeCell ref="P2:Q2"/>
    <mergeCell ref="R2:S2"/>
    <mergeCell ref="K61:S61"/>
    <mergeCell ref="K62:K63"/>
    <mergeCell ref="L62:M62"/>
    <mergeCell ref="N62:O62"/>
    <mergeCell ref="P62:Q62"/>
    <mergeCell ref="R62:S6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F055-4133-4124-A3A7-B505418CA744}">
  <sheetPr codeName="Sheet14"/>
  <dimension ref="A1:M12"/>
  <sheetViews>
    <sheetView workbookViewId="0">
      <selection activeCell="A15" sqref="A15:XFD15"/>
    </sheetView>
  </sheetViews>
  <sheetFormatPr defaultColWidth="8.75" defaultRowHeight="14.25"/>
  <cols>
    <col min="1" max="1" width="14.25" style="412" customWidth="1"/>
    <col min="2" max="3" width="15" style="412" customWidth="1"/>
    <col min="4" max="4" width="12.25" style="412" customWidth="1"/>
    <col min="5" max="5" width="15" style="412" customWidth="1"/>
    <col min="6" max="6" width="12.125" style="412" customWidth="1"/>
    <col min="7" max="7" width="8.75" style="412"/>
    <col min="8" max="8" width="15.625" style="412" customWidth="1"/>
    <col min="9" max="9" width="15.375" style="412" customWidth="1"/>
    <col min="10" max="10" width="15.5" style="412" customWidth="1"/>
    <col min="11" max="11" width="13.125" style="412" customWidth="1"/>
    <col min="12" max="12" width="11.5" style="412" customWidth="1"/>
    <col min="13" max="16384" width="8.75" style="412"/>
  </cols>
  <sheetData>
    <row r="1" spans="1:13" ht="15" thickBot="1">
      <c r="A1" s="748" t="s">
        <v>3682</v>
      </c>
      <c r="B1" s="748"/>
      <c r="C1" s="748"/>
      <c r="D1" s="748"/>
      <c r="E1" s="748"/>
      <c r="F1" s="748"/>
      <c r="H1" s="748" t="s">
        <v>3683</v>
      </c>
      <c r="I1" s="748"/>
      <c r="J1" s="748"/>
      <c r="K1" s="748"/>
      <c r="L1" s="748"/>
      <c r="M1" s="748"/>
    </row>
    <row r="2" spans="1:13" ht="25.5">
      <c r="A2" s="452" t="s">
        <v>0</v>
      </c>
      <c r="B2" s="453" t="s">
        <v>1772</v>
      </c>
      <c r="C2" s="453" t="s">
        <v>1773</v>
      </c>
      <c r="D2" s="459" t="s">
        <v>3124</v>
      </c>
      <c r="E2" s="453" t="s">
        <v>1769</v>
      </c>
      <c r="F2" s="460" t="s">
        <v>3124</v>
      </c>
      <c r="H2" s="452" t="s">
        <v>0</v>
      </c>
      <c r="I2" s="453" t="s">
        <v>1772</v>
      </c>
      <c r="J2" s="453" t="s">
        <v>1773</v>
      </c>
      <c r="K2" s="459" t="s">
        <v>3124</v>
      </c>
      <c r="L2" s="453" t="s">
        <v>1769</v>
      </c>
      <c r="M2" s="460" t="s">
        <v>3124</v>
      </c>
    </row>
    <row r="3" spans="1:13">
      <c r="A3" s="454" t="s">
        <v>44</v>
      </c>
      <c r="B3" s="413">
        <f>'合并资产负债表 '!F19</f>
        <v>0</v>
      </c>
      <c r="C3" s="413">
        <f>B3+必填信息!B25+必填信息!B26</f>
        <v>0</v>
      </c>
      <c r="D3" s="458" t="s">
        <v>3126</v>
      </c>
      <c r="E3" s="413">
        <f>C3-B3</f>
        <v>0</v>
      </c>
      <c r="F3" s="461" t="s">
        <v>3144</v>
      </c>
      <c r="H3" s="454" t="s">
        <v>44</v>
      </c>
      <c r="I3" s="413">
        <f>'合并资产负债表 '!G19</f>
        <v>0</v>
      </c>
      <c r="J3" s="413">
        <f>I3+必填信息!B25+必填信息!B26</f>
        <v>0</v>
      </c>
      <c r="K3" s="458" t="s">
        <v>3182</v>
      </c>
      <c r="L3" s="413">
        <f>J3-I3</f>
        <v>0</v>
      </c>
      <c r="M3" s="461" t="s">
        <v>3192</v>
      </c>
    </row>
    <row r="4" spans="1:13">
      <c r="A4" s="454" t="s">
        <v>53</v>
      </c>
      <c r="B4" s="413">
        <f>'合并资产负债表 '!F36</f>
        <v>0</v>
      </c>
      <c r="C4" s="413">
        <f>B4</f>
        <v>0</v>
      </c>
      <c r="D4" s="458" t="s">
        <v>3128</v>
      </c>
      <c r="E4" s="413">
        <f t="shared" ref="E4:E11" si="0">C4-B4</f>
        <v>0</v>
      </c>
      <c r="F4" s="461" t="s">
        <v>3146</v>
      </c>
      <c r="H4" s="454" t="s">
        <v>53</v>
      </c>
      <c r="I4" s="413">
        <f>'合并资产负债表 '!G36</f>
        <v>0</v>
      </c>
      <c r="J4" s="413">
        <f>I4</f>
        <v>0</v>
      </c>
      <c r="K4" s="458" t="s">
        <v>3183</v>
      </c>
      <c r="L4" s="413">
        <f t="shared" ref="L4:L11" si="1">J4-I4</f>
        <v>0</v>
      </c>
      <c r="M4" s="461" t="s">
        <v>3193</v>
      </c>
    </row>
    <row r="5" spans="1:13">
      <c r="A5" s="455" t="s">
        <v>54</v>
      </c>
      <c r="B5" s="414">
        <f>'合并资产负债表 '!F37</f>
        <v>0</v>
      </c>
      <c r="C5" s="414">
        <f>B5+必填信息!B25+必填信息!B26</f>
        <v>0</v>
      </c>
      <c r="D5" s="458" t="s">
        <v>3130</v>
      </c>
      <c r="E5" s="413">
        <f t="shared" si="0"/>
        <v>0</v>
      </c>
      <c r="F5" s="461" t="s">
        <v>3148</v>
      </c>
      <c r="H5" s="455" t="s">
        <v>54</v>
      </c>
      <c r="I5" s="413">
        <f>'合并资产负债表 '!G37</f>
        <v>0</v>
      </c>
      <c r="J5" s="414">
        <f>I5+必填信息!B25+必填信息!B26</f>
        <v>0</v>
      </c>
      <c r="K5" s="458" t="s">
        <v>3184</v>
      </c>
      <c r="L5" s="413">
        <f t="shared" si="1"/>
        <v>0</v>
      </c>
      <c r="M5" s="461" t="s">
        <v>3194</v>
      </c>
    </row>
    <row r="6" spans="1:13">
      <c r="A6" s="454" t="s">
        <v>61</v>
      </c>
      <c r="B6" s="413">
        <f>'合并资产负债表 '!F54</f>
        <v>0</v>
      </c>
      <c r="C6" s="413">
        <f>B6-必填信息!B24</f>
        <v>0</v>
      </c>
      <c r="D6" s="458" t="s">
        <v>3132</v>
      </c>
      <c r="E6" s="413">
        <f t="shared" si="0"/>
        <v>0</v>
      </c>
      <c r="F6" s="461" t="s">
        <v>3150</v>
      </c>
      <c r="H6" s="454" t="s">
        <v>61</v>
      </c>
      <c r="I6" s="413">
        <f>'合并资产负债表 '!G54</f>
        <v>0</v>
      </c>
      <c r="J6" s="413">
        <f>I6-必填信息!B24</f>
        <v>0</v>
      </c>
      <c r="K6" s="458" t="s">
        <v>3186</v>
      </c>
      <c r="L6" s="413">
        <f t="shared" si="1"/>
        <v>0</v>
      </c>
      <c r="M6" s="461" t="s">
        <v>3196</v>
      </c>
    </row>
    <row r="7" spans="1:13">
      <c r="A7" s="454" t="s">
        <v>65</v>
      </c>
      <c r="B7" s="413">
        <f>'合并资产负债表 '!F67</f>
        <v>0</v>
      </c>
      <c r="C7" s="413">
        <f>B7+必填信息!B23</f>
        <v>0</v>
      </c>
      <c r="D7" s="458" t="s">
        <v>3134</v>
      </c>
      <c r="E7" s="413">
        <f t="shared" si="0"/>
        <v>0</v>
      </c>
      <c r="F7" s="461" t="s">
        <v>3152</v>
      </c>
      <c r="H7" s="454" t="s">
        <v>65</v>
      </c>
      <c r="I7" s="413">
        <f>'合并资产负债表 '!G67</f>
        <v>0</v>
      </c>
      <c r="J7" s="413">
        <f>I7+必填信息!B23</f>
        <v>0</v>
      </c>
      <c r="K7" s="458" t="s">
        <v>3187</v>
      </c>
      <c r="L7" s="413">
        <f t="shared" si="1"/>
        <v>0</v>
      </c>
      <c r="M7" s="461" t="s">
        <v>3197</v>
      </c>
    </row>
    <row r="8" spans="1:13">
      <c r="A8" s="455" t="s">
        <v>66</v>
      </c>
      <c r="B8" s="414">
        <f>'合并资产负债表 '!F68</f>
        <v>0</v>
      </c>
      <c r="C8" s="414">
        <f>B8+必填信息!B23-必填信息!B24</f>
        <v>0</v>
      </c>
      <c r="D8" s="458" t="s">
        <v>3136</v>
      </c>
      <c r="E8" s="413">
        <f t="shared" si="0"/>
        <v>0</v>
      </c>
      <c r="F8" s="461" t="s">
        <v>3154</v>
      </c>
      <c r="H8" s="455" t="s">
        <v>66</v>
      </c>
      <c r="I8" s="413">
        <f>'合并资产负债表 '!G68</f>
        <v>0</v>
      </c>
      <c r="J8" s="414">
        <f>I8+必填信息!B23-必填信息!B24</f>
        <v>0</v>
      </c>
      <c r="K8" s="458" t="s">
        <v>3188</v>
      </c>
      <c r="L8" s="413">
        <f t="shared" si="1"/>
        <v>0</v>
      </c>
      <c r="M8" s="461" t="s">
        <v>3198</v>
      </c>
    </row>
    <row r="9" spans="1:13">
      <c r="A9" s="455" t="s">
        <v>184</v>
      </c>
      <c r="B9" s="414">
        <f>'合并资产负债表 '!F82</f>
        <v>0</v>
      </c>
      <c r="C9" s="414">
        <f>C5-C8</f>
        <v>0</v>
      </c>
      <c r="D9" s="458" t="s">
        <v>3138</v>
      </c>
      <c r="E9" s="413">
        <f t="shared" si="0"/>
        <v>0</v>
      </c>
      <c r="F9" s="461" t="s">
        <v>3156</v>
      </c>
      <c r="H9" s="455" t="s">
        <v>184</v>
      </c>
      <c r="I9" s="414">
        <f>'合并资产负债表 '!G82</f>
        <v>0</v>
      </c>
      <c r="J9" s="414">
        <f>J5-J8</f>
        <v>0</v>
      </c>
      <c r="K9" s="458" t="s">
        <v>3189</v>
      </c>
      <c r="L9" s="413">
        <f t="shared" si="1"/>
        <v>0</v>
      </c>
      <c r="M9" s="461" t="s">
        <v>3199</v>
      </c>
    </row>
    <row r="10" spans="1:13">
      <c r="A10" s="454" t="s">
        <v>1770</v>
      </c>
      <c r="B10" s="415" t="e">
        <f>B3/B6</f>
        <v>#DIV/0!</v>
      </c>
      <c r="C10" s="415" t="e">
        <f>C3/C6</f>
        <v>#DIV/0!</v>
      </c>
      <c r="D10" s="458" t="s">
        <v>3140</v>
      </c>
      <c r="E10" s="413" t="e">
        <f t="shared" si="0"/>
        <v>#DIV/0!</v>
      </c>
      <c r="F10" s="461" t="s">
        <v>3158</v>
      </c>
      <c r="H10" s="454" t="s">
        <v>1770</v>
      </c>
      <c r="I10" s="415" t="e">
        <f>'财务指标 '!I3</f>
        <v>#DIV/0!</v>
      </c>
      <c r="J10" s="415" t="e">
        <f>J3/J6</f>
        <v>#DIV/0!</v>
      </c>
      <c r="K10" s="458" t="s">
        <v>3190</v>
      </c>
      <c r="L10" s="413" t="e">
        <f t="shared" si="1"/>
        <v>#DIV/0!</v>
      </c>
      <c r="M10" s="461" t="s">
        <v>3200</v>
      </c>
    </row>
    <row r="11" spans="1:13" ht="15" thickBot="1">
      <c r="A11" s="456" t="s">
        <v>1771</v>
      </c>
      <c r="B11" s="457" t="e">
        <f>B8/B5*100</f>
        <v>#DIV/0!</v>
      </c>
      <c r="C11" s="457" t="e">
        <f>C8/C5*100</f>
        <v>#DIV/0!</v>
      </c>
      <c r="D11" s="462" t="s">
        <v>3142</v>
      </c>
      <c r="E11" s="463" t="e">
        <f t="shared" si="0"/>
        <v>#DIV/0!</v>
      </c>
      <c r="F11" s="464" t="s">
        <v>3160</v>
      </c>
      <c r="H11" s="456" t="s">
        <v>1771</v>
      </c>
      <c r="I11" s="457" t="e">
        <f>'财务指标 '!I5</f>
        <v>#DIV/0!</v>
      </c>
      <c r="J11" s="457" t="e">
        <f>J8/J5*100</f>
        <v>#DIV/0!</v>
      </c>
      <c r="K11" s="462" t="s">
        <v>3191</v>
      </c>
      <c r="L11" s="463" t="e">
        <f t="shared" si="1"/>
        <v>#DIV/0!</v>
      </c>
      <c r="M11" s="464" t="s">
        <v>3201</v>
      </c>
    </row>
    <row r="12" spans="1:13" ht="25.5">
      <c r="A12" s="618" t="s">
        <v>4029</v>
      </c>
      <c r="B12" s="617"/>
      <c r="C12" s="620" t="e">
        <f>C6/C8*100</f>
        <v>#DIV/0!</v>
      </c>
      <c r="D12" s="619" t="s">
        <v>4030</v>
      </c>
      <c r="J12" s="620" t="e">
        <f>J6/J8*100</f>
        <v>#DIV/0!</v>
      </c>
      <c r="K12" s="619" t="s">
        <v>4032</v>
      </c>
    </row>
  </sheetData>
  <mergeCells count="2">
    <mergeCell ref="H1:M1"/>
    <mergeCell ref="A1:F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0652-FB14-47E9-86B4-B708EACD9F5D}">
  <sheetPr codeName="Sheet7"/>
  <dimension ref="A1:N56"/>
  <sheetViews>
    <sheetView zoomScale="85" zoomScaleNormal="85" workbookViewId="0">
      <selection activeCell="D30" sqref="D30"/>
    </sheetView>
  </sheetViews>
  <sheetFormatPr defaultColWidth="11" defaultRowHeight="15"/>
  <cols>
    <col min="1" max="1" width="24.875" style="300" customWidth="1"/>
    <col min="2" max="2" width="19.375" style="300" customWidth="1"/>
    <col min="3" max="5" width="17" style="300" customWidth="1"/>
    <col min="6" max="6" width="4.75" style="300" customWidth="1"/>
    <col min="7" max="7" width="21.5" style="300" customWidth="1"/>
    <col min="8" max="11" width="18.375" style="300" customWidth="1"/>
    <col min="12" max="12" width="66.75" style="344" customWidth="1"/>
    <col min="13" max="16384" width="11" style="300"/>
  </cols>
  <sheetData>
    <row r="1" spans="1:14" s="326" customFormat="1" ht="15.75" thickBot="1">
      <c r="A1" s="300"/>
      <c r="B1" s="300"/>
      <c r="C1" s="300"/>
      <c r="D1" s="751" t="s">
        <v>1639</v>
      </c>
      <c r="E1" s="751"/>
      <c r="G1" s="749" t="s">
        <v>208</v>
      </c>
      <c r="H1" s="750"/>
      <c r="I1" s="750"/>
      <c r="J1" s="750"/>
      <c r="K1" s="750"/>
      <c r="L1" s="327"/>
      <c r="M1" s="300"/>
      <c r="N1" s="300"/>
    </row>
    <row r="2" spans="1:14" ht="15.75" thickBot="1">
      <c r="A2" s="301" t="s">
        <v>1640</v>
      </c>
      <c r="B2" s="302">
        <f>必填信息!B5</f>
        <v>0</v>
      </c>
      <c r="C2" s="302">
        <f>必填信息!B4</f>
        <v>0</v>
      </c>
      <c r="D2" s="302">
        <f>必填信息!B3</f>
        <v>0</v>
      </c>
      <c r="E2" s="303">
        <f>必填信息!B2</f>
        <v>0</v>
      </c>
      <c r="G2" s="328" t="s">
        <v>1673</v>
      </c>
      <c r="H2" s="329">
        <f>B2</f>
        <v>0</v>
      </c>
      <c r="I2" s="329">
        <f>C2</f>
        <v>0</v>
      </c>
      <c r="J2" s="330">
        <f>D2</f>
        <v>0</v>
      </c>
      <c r="K2" s="331">
        <f>E2</f>
        <v>0</v>
      </c>
      <c r="L2" s="332" t="s">
        <v>1674</v>
      </c>
      <c r="M2" s="326"/>
      <c r="N2" s="326"/>
    </row>
    <row r="3" spans="1:14">
      <c r="A3" s="304" t="s">
        <v>1641</v>
      </c>
      <c r="B3" s="305">
        <f>'合并资产负债表 '!F5</f>
        <v>0</v>
      </c>
      <c r="C3" s="305">
        <f>'合并资产负债表 '!G5</f>
        <v>0</v>
      </c>
      <c r="D3" s="305">
        <f>'合并资产负债表 '!H5</f>
        <v>0</v>
      </c>
      <c r="E3" s="305">
        <f>'合并资产负债表 '!I5</f>
        <v>0</v>
      </c>
      <c r="G3" s="410" t="s">
        <v>1750</v>
      </c>
      <c r="H3" s="334" t="e">
        <f>B6/B15</f>
        <v>#DIV/0!</v>
      </c>
      <c r="I3" s="334" t="e">
        <f>C6/C15</f>
        <v>#DIV/0!</v>
      </c>
      <c r="J3" s="334" t="e">
        <f>D6/D15</f>
        <v>#DIV/0!</v>
      </c>
      <c r="K3" s="335" t="e">
        <f>E6/E15</f>
        <v>#DIV/0!</v>
      </c>
      <c r="L3" s="327" t="s">
        <v>1675</v>
      </c>
    </row>
    <row r="4" spans="1:14">
      <c r="A4" s="306" t="s">
        <v>1642</v>
      </c>
      <c r="B4" s="307">
        <f>'合并资产负债表 '!F9</f>
        <v>0</v>
      </c>
      <c r="C4" s="307">
        <f>'合并资产负债表 '!G9</f>
        <v>0</v>
      </c>
      <c r="D4" s="307">
        <f>'合并资产负债表 '!H9</f>
        <v>0</v>
      </c>
      <c r="E4" s="307">
        <f>'合并资产负债表 '!I9</f>
        <v>0</v>
      </c>
      <c r="G4" s="410" t="s">
        <v>1751</v>
      </c>
      <c r="H4" s="334" t="e">
        <f>(B6-B5)/B15</f>
        <v>#DIV/0!</v>
      </c>
      <c r="I4" s="334" t="e">
        <f>(C6-C5)/C15</f>
        <v>#DIV/0!</v>
      </c>
      <c r="J4" s="334" t="e">
        <f>(D6-D5)/D15</f>
        <v>#DIV/0!</v>
      </c>
      <c r="K4" s="335" t="e">
        <f>(E6-E5)/E15</f>
        <v>#DIV/0!</v>
      </c>
      <c r="L4" s="327" t="s">
        <v>1676</v>
      </c>
    </row>
    <row r="5" spans="1:14">
      <c r="A5" s="306" t="s">
        <v>1643</v>
      </c>
      <c r="B5" s="307">
        <f>'合并资产负债表 '!F15</f>
        <v>0</v>
      </c>
      <c r="C5" s="307">
        <f>'合并资产负债表 '!G15</f>
        <v>0</v>
      </c>
      <c r="D5" s="307">
        <f>'合并资产负债表 '!H15</f>
        <v>0</v>
      </c>
      <c r="E5" s="307">
        <f>'合并资产负债表 '!I15</f>
        <v>0</v>
      </c>
      <c r="G5" s="410" t="s">
        <v>1752</v>
      </c>
      <c r="H5" s="334" t="e">
        <f>B17/B7*100</f>
        <v>#DIV/0!</v>
      </c>
      <c r="I5" s="334" t="e">
        <f t="shared" ref="I5:K5" si="0">C17/C7*100</f>
        <v>#DIV/0!</v>
      </c>
      <c r="J5" s="334" t="e">
        <f t="shared" si="0"/>
        <v>#DIV/0!</v>
      </c>
      <c r="K5" s="335" t="e">
        <f t="shared" si="0"/>
        <v>#DIV/0!</v>
      </c>
      <c r="L5" s="327" t="s">
        <v>1677</v>
      </c>
    </row>
    <row r="6" spans="1:14">
      <c r="A6" s="306" t="s">
        <v>1644</v>
      </c>
      <c r="B6" s="307">
        <f>'合并资产负债表 '!F19</f>
        <v>0</v>
      </c>
      <c r="C6" s="307">
        <f>'合并资产负债表 '!G19</f>
        <v>0</v>
      </c>
      <c r="D6" s="307">
        <f>'合并资产负债表 '!H19</f>
        <v>0</v>
      </c>
      <c r="E6" s="307">
        <f>'合并资产负债表 '!I19</f>
        <v>0</v>
      </c>
      <c r="G6" s="410" t="s">
        <v>1759</v>
      </c>
      <c r="H6" s="339">
        <f>SUM(B8:B14)</f>
        <v>0</v>
      </c>
      <c r="I6" s="339">
        <f t="shared" ref="I6:K6" si="1">SUM(C8:C14)</f>
        <v>0</v>
      </c>
      <c r="J6" s="339">
        <f t="shared" si="1"/>
        <v>0</v>
      </c>
      <c r="K6" s="340">
        <f t="shared" si="1"/>
        <v>0</v>
      </c>
      <c r="L6" s="327" t="s">
        <v>1684</v>
      </c>
    </row>
    <row r="7" spans="1:14">
      <c r="A7" s="306" t="s">
        <v>1645</v>
      </c>
      <c r="B7" s="307">
        <f>'合并资产负债表 '!F37</f>
        <v>0</v>
      </c>
      <c r="C7" s="307">
        <f>'合并资产负债表 '!G37</f>
        <v>0</v>
      </c>
      <c r="D7" s="307">
        <f>'合并资产负债表 '!H37</f>
        <v>0</v>
      </c>
      <c r="E7" s="307">
        <f>'合并资产负债表 '!I37</f>
        <v>0</v>
      </c>
      <c r="G7" s="410" t="s">
        <v>1760</v>
      </c>
      <c r="H7" s="334" t="e">
        <f>H6/(H6+B18)*100</f>
        <v>#DIV/0!</v>
      </c>
      <c r="I7" s="334" t="e">
        <f t="shared" ref="I7:K7" si="2">I6/(I6+C18)*100</f>
        <v>#DIV/0!</v>
      </c>
      <c r="J7" s="334" t="e">
        <f t="shared" si="2"/>
        <v>#DIV/0!</v>
      </c>
      <c r="K7" s="335" t="e">
        <f t="shared" si="2"/>
        <v>#DIV/0!</v>
      </c>
      <c r="L7" s="327" t="s">
        <v>1685</v>
      </c>
    </row>
    <row r="8" spans="1:14">
      <c r="A8" s="306" t="s">
        <v>1646</v>
      </c>
      <c r="B8" s="308">
        <f>'合并资产负债表 '!F56</f>
        <v>0</v>
      </c>
      <c r="C8" s="308">
        <f>'合并资产负债表 '!G56</f>
        <v>0</v>
      </c>
      <c r="D8" s="308">
        <f>'合并资产负债表 '!H56</f>
        <v>0</v>
      </c>
      <c r="E8" s="308">
        <f>'合并资产负债表 '!I56</f>
        <v>0</v>
      </c>
      <c r="G8" s="410" t="s">
        <v>1761</v>
      </c>
      <c r="H8" s="334" t="e">
        <f>B25/B19*100</f>
        <v>#DIV/0!</v>
      </c>
      <c r="I8" s="334" t="e">
        <f t="shared" ref="I8:K8" si="3">C25/C19*100</f>
        <v>#DIV/0!</v>
      </c>
      <c r="J8" s="334" t="e">
        <f t="shared" si="3"/>
        <v>#DIV/0!</v>
      </c>
      <c r="K8" s="335" t="e">
        <f t="shared" si="3"/>
        <v>#DIV/0!</v>
      </c>
      <c r="L8" s="327" t="s">
        <v>1686</v>
      </c>
    </row>
    <row r="9" spans="1:14">
      <c r="A9" s="306" t="s">
        <v>1647</v>
      </c>
      <c r="B9" s="308">
        <f>'合并资产负债表 '!F57</f>
        <v>0</v>
      </c>
      <c r="C9" s="308">
        <f>'合并资产负债表 '!G57</f>
        <v>0</v>
      </c>
      <c r="D9" s="308">
        <f>'合并资产负债表 '!H57</f>
        <v>0</v>
      </c>
      <c r="E9" s="308">
        <f>'合并资产负债表 '!I57</f>
        <v>0</v>
      </c>
      <c r="G9" s="410" t="s">
        <v>1762</v>
      </c>
      <c r="H9" s="334" t="e">
        <f>(B19-B21)/B19*100</f>
        <v>#DIV/0!</v>
      </c>
      <c r="I9" s="334" t="e">
        <f t="shared" ref="I9:K9" si="4">(C19-C21)/C19*100</f>
        <v>#DIV/0!</v>
      </c>
      <c r="J9" s="334" t="e">
        <f t="shared" si="4"/>
        <v>#DIV/0!</v>
      </c>
      <c r="K9" s="335" t="e">
        <f t="shared" si="4"/>
        <v>#DIV/0!</v>
      </c>
      <c r="L9" s="327" t="s">
        <v>1687</v>
      </c>
    </row>
    <row r="10" spans="1:14">
      <c r="A10" s="306" t="s">
        <v>1648</v>
      </c>
      <c r="B10" s="308">
        <f>'合并资产负债表 '!F39</f>
        <v>0</v>
      </c>
      <c r="C10" s="308">
        <f>'合并资产负债表 '!G39</f>
        <v>0</v>
      </c>
      <c r="D10" s="308">
        <f>'合并资产负债表 '!H39</f>
        <v>0</v>
      </c>
      <c r="E10" s="308">
        <f>'合并资产负债表 '!I39</f>
        <v>0</v>
      </c>
      <c r="G10" s="410" t="s">
        <v>1763</v>
      </c>
      <c r="H10" s="334" t="e">
        <f>(B20-B22)/B20*100</f>
        <v>#DIV/0!</v>
      </c>
      <c r="I10" s="334" t="e">
        <f t="shared" ref="I10:K10" si="5">(C20-C22)/C20*100</f>
        <v>#DIV/0!</v>
      </c>
      <c r="J10" s="334" t="e">
        <f t="shared" si="5"/>
        <v>#DIV/0!</v>
      </c>
      <c r="K10" s="335" t="e">
        <f t="shared" si="5"/>
        <v>#DIV/0!</v>
      </c>
      <c r="L10" s="327" t="s">
        <v>1688</v>
      </c>
    </row>
    <row r="11" spans="1:14">
      <c r="A11" s="306" t="s">
        <v>1649</v>
      </c>
      <c r="B11" s="308">
        <f>'合并资产负债表 '!F40</f>
        <v>0</v>
      </c>
      <c r="C11" s="308">
        <f>'合并资产负债表 '!G40</f>
        <v>0</v>
      </c>
      <c r="D11" s="308">
        <f>'合并资产负债表 '!H40</f>
        <v>0</v>
      </c>
      <c r="E11" s="308">
        <f>'合并资产负债表 '!I40</f>
        <v>0</v>
      </c>
      <c r="G11" s="410" t="s">
        <v>1756</v>
      </c>
      <c r="H11" s="334" t="e">
        <f>B25/((B7+C7)/2)*100</f>
        <v>#DIV/0!</v>
      </c>
      <c r="I11" s="334" t="e">
        <f t="shared" ref="I11:J11" si="6">C25/((C7+D7)/2)*100</f>
        <v>#DIV/0!</v>
      </c>
      <c r="J11" s="334" t="e">
        <f t="shared" si="6"/>
        <v>#DIV/0!</v>
      </c>
      <c r="K11" s="335" t="e">
        <f>E25/E7*100</f>
        <v>#DIV/0!</v>
      </c>
      <c r="L11" s="327" t="s">
        <v>1681</v>
      </c>
    </row>
    <row r="12" spans="1:14">
      <c r="A12" s="306" t="s">
        <v>1650</v>
      </c>
      <c r="B12" s="308">
        <f>'合并资产负债表 '!F42</f>
        <v>0</v>
      </c>
      <c r="C12" s="308">
        <f>'合并资产负债表 '!G42</f>
        <v>0</v>
      </c>
      <c r="D12" s="308">
        <f>'合并资产负债表 '!H42</f>
        <v>0</v>
      </c>
      <c r="E12" s="308">
        <f>'合并资产负债表 '!I42</f>
        <v>0</v>
      </c>
      <c r="F12" s="338"/>
      <c r="G12" s="410" t="s">
        <v>1757</v>
      </c>
      <c r="H12" s="334" t="e">
        <f>B25/((B18+C18)/2)*100</f>
        <v>#DIV/0!</v>
      </c>
      <c r="I12" s="334" t="e">
        <f t="shared" ref="I12:J12" si="7">C25/((C18+D18)/2)*100</f>
        <v>#DIV/0!</v>
      </c>
      <c r="J12" s="334" t="e">
        <f t="shared" si="7"/>
        <v>#DIV/0!</v>
      </c>
      <c r="K12" s="335" t="e">
        <f>E25/E18*100</f>
        <v>#DIV/0!</v>
      </c>
      <c r="L12" s="327" t="s">
        <v>1682</v>
      </c>
    </row>
    <row r="13" spans="1:14">
      <c r="A13" s="309" t="s">
        <v>1651</v>
      </c>
      <c r="B13" s="310"/>
      <c r="C13" s="310"/>
      <c r="D13" s="310"/>
      <c r="E13" s="310"/>
      <c r="G13" s="410" t="s">
        <v>1758</v>
      </c>
      <c r="H13" s="334" t="e">
        <f>(B24+B26+B27)/((B7+C7)/2)*100</f>
        <v>#DIV/0!</v>
      </c>
      <c r="I13" s="334" t="e">
        <f t="shared" ref="I13:J13" si="8">(C24+C26+C27)/((C7+D7)/2)*100</f>
        <v>#DIV/0!</v>
      </c>
      <c r="J13" s="334" t="e">
        <f t="shared" si="8"/>
        <v>#DIV/0!</v>
      </c>
      <c r="K13" s="335" t="e">
        <f>(E24+E26+E27)/E7*100</f>
        <v>#DIV/0!</v>
      </c>
      <c r="L13" s="327" t="s">
        <v>1683</v>
      </c>
    </row>
    <row r="14" spans="1:14">
      <c r="A14" s="306" t="s">
        <v>1652</v>
      </c>
      <c r="B14" s="308">
        <f>'合并资产负债表 '!F52</f>
        <v>0</v>
      </c>
      <c r="C14" s="308">
        <f>'合并资产负债表 '!G52</f>
        <v>0</v>
      </c>
      <c r="D14" s="308">
        <f>'合并资产负债表 '!H52</f>
        <v>0</v>
      </c>
      <c r="E14" s="308">
        <f>'合并资产负债表 '!I52</f>
        <v>0</v>
      </c>
      <c r="F14" s="341"/>
      <c r="G14" s="333" t="s">
        <v>1765</v>
      </c>
      <c r="H14" s="334">
        <f>B24+B26</f>
        <v>0</v>
      </c>
      <c r="I14" s="334">
        <f t="shared" ref="I14:K14" si="9">C24+C26</f>
        <v>0</v>
      </c>
      <c r="J14" s="334">
        <f t="shared" si="9"/>
        <v>0</v>
      </c>
      <c r="K14" s="335">
        <f t="shared" si="9"/>
        <v>0</v>
      </c>
      <c r="L14" s="327" t="s">
        <v>1690</v>
      </c>
    </row>
    <row r="15" spans="1:14">
      <c r="A15" s="306" t="s">
        <v>1653</v>
      </c>
      <c r="B15" s="307">
        <f>'合并资产负债表 '!F54</f>
        <v>0</v>
      </c>
      <c r="C15" s="307">
        <f>'合并资产负债表 '!G54</f>
        <v>0</v>
      </c>
      <c r="D15" s="307">
        <f>'合并资产负债表 '!H54</f>
        <v>0</v>
      </c>
      <c r="E15" s="307">
        <f>'合并资产负债表 '!I54</f>
        <v>0</v>
      </c>
      <c r="G15" s="333" t="s">
        <v>1766</v>
      </c>
      <c r="H15" s="342">
        <f>H14+B28+B29+B30</f>
        <v>0</v>
      </c>
      <c r="I15" s="342">
        <f t="shared" ref="I15:K15" si="10">I14+C28+C29+C30</f>
        <v>0</v>
      </c>
      <c r="J15" s="342">
        <f t="shared" si="10"/>
        <v>0</v>
      </c>
      <c r="K15" s="343">
        <f t="shared" si="10"/>
        <v>0</v>
      </c>
      <c r="L15" s="327" t="s">
        <v>1691</v>
      </c>
    </row>
    <row r="16" spans="1:14">
      <c r="A16" s="306" t="s">
        <v>1654</v>
      </c>
      <c r="B16" s="307">
        <f>'合并资产负债表 '!F67</f>
        <v>0</v>
      </c>
      <c r="C16" s="307">
        <f>'合并资产负债表 '!G67</f>
        <v>0</v>
      </c>
      <c r="D16" s="307">
        <f>'合并资产负债表 '!H67</f>
        <v>0</v>
      </c>
      <c r="E16" s="307">
        <f>'合并资产负债表 '!I67</f>
        <v>0</v>
      </c>
      <c r="G16" s="333" t="s">
        <v>1767</v>
      </c>
      <c r="H16" s="411" t="e">
        <f>H15/H6*100</f>
        <v>#DIV/0!</v>
      </c>
      <c r="I16" s="411" t="e">
        <f t="shared" ref="I16:K16" si="11">I15/I6*100</f>
        <v>#DIV/0!</v>
      </c>
      <c r="J16" s="411" t="e">
        <f t="shared" si="11"/>
        <v>#DIV/0!</v>
      </c>
      <c r="K16" s="417" t="e">
        <f t="shared" si="11"/>
        <v>#DIV/0!</v>
      </c>
      <c r="L16" s="327" t="s">
        <v>1692</v>
      </c>
    </row>
    <row r="17" spans="1:12">
      <c r="A17" s="306" t="s">
        <v>1655</v>
      </c>
      <c r="B17" s="307">
        <f>'合并资产负债表 '!F68</f>
        <v>0</v>
      </c>
      <c r="C17" s="307">
        <f>'合并资产负债表 '!G68</f>
        <v>0</v>
      </c>
      <c r="D17" s="307">
        <f>'合并资产负债表 '!H68</f>
        <v>0</v>
      </c>
      <c r="E17" s="307">
        <f>'合并资产负债表 '!I68</f>
        <v>0</v>
      </c>
      <c r="G17" s="333" t="s">
        <v>1768</v>
      </c>
      <c r="H17" s="342" t="e">
        <f>H15/(B26+B27)</f>
        <v>#DIV/0!</v>
      </c>
      <c r="I17" s="342" t="e">
        <f t="shared" ref="I17:K17" si="12">I15/(C26+C27)</f>
        <v>#DIV/0!</v>
      </c>
      <c r="J17" s="342" t="e">
        <f t="shared" si="12"/>
        <v>#DIV/0!</v>
      </c>
      <c r="K17" s="343" t="e">
        <f t="shared" si="12"/>
        <v>#DIV/0!</v>
      </c>
      <c r="L17" s="327" t="s">
        <v>1693</v>
      </c>
    </row>
    <row r="18" spans="1:12" ht="15.75" thickBot="1">
      <c r="A18" s="311" t="s">
        <v>1656</v>
      </c>
      <c r="B18" s="312">
        <f>'合并资产负债表 '!F82</f>
        <v>0</v>
      </c>
      <c r="C18" s="312">
        <f>'合并资产负债表 '!G82</f>
        <v>0</v>
      </c>
      <c r="D18" s="312">
        <f>'合并资产负债表 '!H82</f>
        <v>0</v>
      </c>
      <c r="E18" s="312">
        <f>'合并资产负债表 '!I82</f>
        <v>0</v>
      </c>
      <c r="G18" s="410" t="s">
        <v>1755</v>
      </c>
      <c r="H18" s="336" t="e">
        <f>(B24+B26)/(B26+B27)</f>
        <v>#DIV/0!</v>
      </c>
      <c r="I18" s="336" t="e">
        <f t="shared" ref="I18:K18" si="13">(C24+C26)/(C26+C27)</f>
        <v>#DIV/0!</v>
      </c>
      <c r="J18" s="336" t="e">
        <f t="shared" si="13"/>
        <v>#DIV/0!</v>
      </c>
      <c r="K18" s="337" t="e">
        <f t="shared" si="13"/>
        <v>#DIV/0!</v>
      </c>
      <c r="L18" s="327" t="s">
        <v>1680</v>
      </c>
    </row>
    <row r="19" spans="1:12">
      <c r="A19" s="313" t="s">
        <v>1657</v>
      </c>
      <c r="B19" s="314">
        <f>'合并利润表 '!F4</f>
        <v>0</v>
      </c>
      <c r="C19" s="314">
        <f>'合并利润表 '!G4</f>
        <v>0</v>
      </c>
      <c r="D19" s="314">
        <f>'合并利润表 '!H4</f>
        <v>0</v>
      </c>
      <c r="E19" s="314">
        <f>'合并利润表 '!I4</f>
        <v>0</v>
      </c>
      <c r="G19" s="410" t="s">
        <v>1753</v>
      </c>
      <c r="H19" s="334" t="e">
        <f>B19/(B4+C4)*2</f>
        <v>#DIV/0!</v>
      </c>
      <c r="I19" s="334" t="e">
        <f t="shared" ref="I19:J19" si="14">C19/(C4+D4)*2</f>
        <v>#DIV/0!</v>
      </c>
      <c r="J19" s="334" t="e">
        <f t="shared" si="14"/>
        <v>#DIV/0!</v>
      </c>
      <c r="K19" s="335" t="e">
        <f>E19/E4</f>
        <v>#DIV/0!</v>
      </c>
      <c r="L19" s="327" t="s">
        <v>1678</v>
      </c>
    </row>
    <row r="20" spans="1:12">
      <c r="A20" s="315" t="s">
        <v>1658</v>
      </c>
      <c r="B20" s="316">
        <f>必填信息!B15</f>
        <v>0</v>
      </c>
      <c r="C20" s="316">
        <f>必填信息!C15</f>
        <v>0</v>
      </c>
      <c r="D20" s="316">
        <f>必填信息!D15</f>
        <v>0</v>
      </c>
      <c r="E20" s="316">
        <f>必填信息!E15</f>
        <v>0</v>
      </c>
      <c r="G20" s="410" t="s">
        <v>1754</v>
      </c>
      <c r="H20" s="334" t="e">
        <f>B21/(B5+C5)*2</f>
        <v>#DIV/0!</v>
      </c>
      <c r="I20" s="334" t="e">
        <f>C21/(C5+D5)*2</f>
        <v>#DIV/0!</v>
      </c>
      <c r="J20" s="334" t="e">
        <f>D21/(D5+E5)*2</f>
        <v>#DIV/0!</v>
      </c>
      <c r="K20" s="335" t="e">
        <f>E21/E5</f>
        <v>#DIV/0!</v>
      </c>
      <c r="L20" s="327" t="s">
        <v>1679</v>
      </c>
    </row>
    <row r="21" spans="1:12" ht="15.75" thickBot="1">
      <c r="A21" s="315" t="s">
        <v>1659</v>
      </c>
      <c r="B21" s="316">
        <f>'合并利润表 '!F7</f>
        <v>0</v>
      </c>
      <c r="C21" s="316">
        <f>'合并利润表 '!G7</f>
        <v>0</v>
      </c>
      <c r="D21" s="316">
        <f>'合并利润表 '!H7</f>
        <v>0</v>
      </c>
      <c r="E21" s="316">
        <f>'合并利润表 '!I7</f>
        <v>0</v>
      </c>
      <c r="G21" s="418" t="s">
        <v>1764</v>
      </c>
      <c r="H21" s="419" t="e">
        <f>B19/(B7+C7)*2</f>
        <v>#DIV/0!</v>
      </c>
      <c r="I21" s="419" t="e">
        <f t="shared" ref="I21:J21" si="15">C19/(C7+D7)*2</f>
        <v>#DIV/0!</v>
      </c>
      <c r="J21" s="419" t="e">
        <f t="shared" si="15"/>
        <v>#DIV/0!</v>
      </c>
      <c r="K21" s="420" t="e">
        <f>E19/E7</f>
        <v>#DIV/0!</v>
      </c>
      <c r="L21" s="327" t="s">
        <v>1689</v>
      </c>
    </row>
    <row r="22" spans="1:12">
      <c r="A22" s="315" t="s">
        <v>1660</v>
      </c>
      <c r="B22" s="316">
        <f>必填信息!B16</f>
        <v>0</v>
      </c>
      <c r="C22" s="316">
        <f>必填信息!C16</f>
        <v>0</v>
      </c>
      <c r="D22" s="316">
        <f>必填信息!D16</f>
        <v>0</v>
      </c>
      <c r="E22" s="316">
        <f>必填信息!E16</f>
        <v>0</v>
      </c>
    </row>
    <row r="23" spans="1:12">
      <c r="A23" s="315" t="s">
        <v>1661</v>
      </c>
      <c r="B23" s="316">
        <f>'合并利润表 '!F21</f>
        <v>0</v>
      </c>
      <c r="C23" s="316">
        <f>'合并利润表 '!G21</f>
        <v>0</v>
      </c>
      <c r="D23" s="316">
        <f>'合并利润表 '!H21</f>
        <v>0</v>
      </c>
      <c r="E23" s="316">
        <f>'合并利润表 '!I21</f>
        <v>0</v>
      </c>
    </row>
    <row r="24" spans="1:12" ht="15.75" thickBot="1">
      <c r="A24" s="315" t="s">
        <v>1662</v>
      </c>
      <c r="B24" s="316">
        <f>'合并利润表 '!F24</f>
        <v>0</v>
      </c>
      <c r="C24" s="316">
        <f>'合并利润表 '!G24</f>
        <v>0</v>
      </c>
      <c r="D24" s="316">
        <f>'合并利润表 '!H24</f>
        <v>0</v>
      </c>
      <c r="E24" s="316">
        <f>'合并利润表 '!I24</f>
        <v>0</v>
      </c>
      <c r="G24" s="752" t="s">
        <v>1694</v>
      </c>
      <c r="H24" s="752"/>
      <c r="I24" s="752"/>
      <c r="J24" s="752"/>
      <c r="K24" s="752"/>
      <c r="L24" s="345"/>
    </row>
    <row r="25" spans="1:12" ht="15.75" thickBot="1">
      <c r="A25" s="317" t="s">
        <v>1663</v>
      </c>
      <c r="B25" s="318">
        <f>'合并利润表 '!F26</f>
        <v>0</v>
      </c>
      <c r="C25" s="318">
        <f>'合并利润表 '!G26</f>
        <v>0</v>
      </c>
      <c r="D25" s="318">
        <f>'合并利润表 '!H26</f>
        <v>0</v>
      </c>
      <c r="E25" s="318">
        <f>'合并利润表 '!I26</f>
        <v>0</v>
      </c>
      <c r="G25" s="346" t="s">
        <v>1673</v>
      </c>
      <c r="H25" s="347">
        <f>H2</f>
        <v>0</v>
      </c>
      <c r="I25" s="347">
        <f>I2</f>
        <v>0</v>
      </c>
      <c r="J25" s="348">
        <f>J2</f>
        <v>0</v>
      </c>
      <c r="K25" s="349"/>
      <c r="L25" s="350" t="s">
        <v>1674</v>
      </c>
    </row>
    <row r="26" spans="1:12">
      <c r="A26" s="319" t="s">
        <v>1664</v>
      </c>
      <c r="B26" s="305">
        <f>必填信息!B10</f>
        <v>0</v>
      </c>
      <c r="C26" s="305">
        <f>必填信息!C10</f>
        <v>0</v>
      </c>
      <c r="D26" s="305">
        <f>必填信息!D10</f>
        <v>0</v>
      </c>
      <c r="E26" s="305">
        <f>必填信息!E10</f>
        <v>0</v>
      </c>
      <c r="G26" s="421" t="s">
        <v>1750</v>
      </c>
      <c r="H26" s="351" t="e">
        <f>H3</f>
        <v>#DIV/0!</v>
      </c>
      <c r="I26" s="351" t="e">
        <f t="shared" ref="I26:J26" si="16">I3</f>
        <v>#DIV/0!</v>
      </c>
      <c r="J26" s="351" t="e">
        <f t="shared" si="16"/>
        <v>#DIV/0!</v>
      </c>
      <c r="K26" s="352"/>
      <c r="L26" s="345" t="s">
        <v>1675</v>
      </c>
    </row>
    <row r="27" spans="1:12">
      <c r="A27" s="306" t="s">
        <v>1665</v>
      </c>
      <c r="B27" s="308">
        <f>必填信息!B11</f>
        <v>0</v>
      </c>
      <c r="C27" s="308">
        <f>必填信息!C11</f>
        <v>0</v>
      </c>
      <c r="D27" s="308">
        <f>必填信息!D11</f>
        <v>0</v>
      </c>
      <c r="E27" s="308">
        <f>必填信息!E11</f>
        <v>0</v>
      </c>
      <c r="G27" s="421" t="s">
        <v>1751</v>
      </c>
      <c r="H27" s="351" t="e">
        <f t="shared" ref="H27:J27" si="17">H4</f>
        <v>#DIV/0!</v>
      </c>
      <c r="I27" s="351" t="e">
        <f t="shared" si="17"/>
        <v>#DIV/0!</v>
      </c>
      <c r="J27" s="351" t="e">
        <f t="shared" si="17"/>
        <v>#DIV/0!</v>
      </c>
      <c r="K27" s="352"/>
      <c r="L27" s="345" t="s">
        <v>1676</v>
      </c>
    </row>
    <row r="28" spans="1:12">
      <c r="A28" s="320" t="s">
        <v>1666</v>
      </c>
      <c r="B28" s="308">
        <f>必填信息!B12</f>
        <v>0</v>
      </c>
      <c r="C28" s="308">
        <f>必填信息!C12</f>
        <v>0</v>
      </c>
      <c r="D28" s="308">
        <f>必填信息!D12</f>
        <v>0</v>
      </c>
      <c r="E28" s="308">
        <f>必填信息!E12</f>
        <v>0</v>
      </c>
      <c r="G28" s="421" t="s">
        <v>1752</v>
      </c>
      <c r="H28" s="351" t="e">
        <f t="shared" ref="H28:J28" si="18">H5</f>
        <v>#DIV/0!</v>
      </c>
      <c r="I28" s="351" t="e">
        <f t="shared" si="18"/>
        <v>#DIV/0!</v>
      </c>
      <c r="J28" s="351" t="e">
        <f t="shared" si="18"/>
        <v>#DIV/0!</v>
      </c>
      <c r="K28" s="353"/>
      <c r="L28" s="345" t="s">
        <v>1677</v>
      </c>
    </row>
    <row r="29" spans="1:12">
      <c r="A29" s="320" t="s">
        <v>1667</v>
      </c>
      <c r="B29" s="308">
        <f>必填信息!B13</f>
        <v>0</v>
      </c>
      <c r="C29" s="308">
        <f>必填信息!C13</f>
        <v>0</v>
      </c>
      <c r="D29" s="308">
        <f>必填信息!D13</f>
        <v>0</v>
      </c>
      <c r="E29" s="308">
        <f>必填信息!E13</f>
        <v>0</v>
      </c>
      <c r="G29" s="421" t="s">
        <v>1759</v>
      </c>
      <c r="H29" s="351">
        <f t="shared" ref="H29:J29" si="19">H6</f>
        <v>0</v>
      </c>
      <c r="I29" s="351">
        <f t="shared" si="19"/>
        <v>0</v>
      </c>
      <c r="J29" s="351">
        <f t="shared" si="19"/>
        <v>0</v>
      </c>
      <c r="K29" s="352"/>
      <c r="L29" s="345" t="s">
        <v>1684</v>
      </c>
    </row>
    <row r="30" spans="1:12" ht="15.75" thickBot="1">
      <c r="A30" s="321" t="s">
        <v>1668</v>
      </c>
      <c r="B30" s="322">
        <f>必填信息!B14</f>
        <v>0</v>
      </c>
      <c r="C30" s="322">
        <f>必填信息!C14</f>
        <v>0</v>
      </c>
      <c r="D30" s="322">
        <f>必填信息!D14</f>
        <v>0</v>
      </c>
      <c r="E30" s="322">
        <f>必填信息!E14</f>
        <v>0</v>
      </c>
      <c r="G30" s="421" t="s">
        <v>1760</v>
      </c>
      <c r="H30" s="351" t="e">
        <f t="shared" ref="H30:J30" si="20">H7</f>
        <v>#DIV/0!</v>
      </c>
      <c r="I30" s="351" t="e">
        <f t="shared" si="20"/>
        <v>#DIV/0!</v>
      </c>
      <c r="J30" s="351" t="e">
        <f t="shared" si="20"/>
        <v>#DIV/0!</v>
      </c>
      <c r="K30" s="352"/>
      <c r="L30" s="345" t="s">
        <v>1685</v>
      </c>
    </row>
    <row r="31" spans="1:12" ht="27">
      <c r="A31" s="323" t="s">
        <v>1669</v>
      </c>
      <c r="B31" s="314">
        <f>合并现金流量表!F14</f>
        <v>0</v>
      </c>
      <c r="C31" s="314">
        <f>合并现金流量表!G14</f>
        <v>0</v>
      </c>
      <c r="D31" s="314">
        <f>合并现金流量表!H14</f>
        <v>0</v>
      </c>
      <c r="E31" s="314">
        <f>合并现金流量表!I14</f>
        <v>0</v>
      </c>
      <c r="G31" s="421" t="s">
        <v>1761</v>
      </c>
      <c r="H31" s="351" t="e">
        <f t="shared" ref="H31:J31" si="21">H8</f>
        <v>#DIV/0!</v>
      </c>
      <c r="I31" s="351" t="e">
        <f t="shared" si="21"/>
        <v>#DIV/0!</v>
      </c>
      <c r="J31" s="351" t="e">
        <f t="shared" si="21"/>
        <v>#DIV/0!</v>
      </c>
      <c r="K31" s="354"/>
      <c r="L31" s="345" t="s">
        <v>1686</v>
      </c>
    </row>
    <row r="32" spans="1:12" ht="27">
      <c r="A32" s="324" t="s">
        <v>1670</v>
      </c>
      <c r="B32" s="316">
        <f>合并现金流量表!F27</f>
        <v>0</v>
      </c>
      <c r="C32" s="316">
        <f>合并现金流量表!G27</f>
        <v>0</v>
      </c>
      <c r="D32" s="316">
        <f>合并现金流量表!H27</f>
        <v>0</v>
      </c>
      <c r="E32" s="316">
        <f>合并现金流量表!I27</f>
        <v>0</v>
      </c>
      <c r="G32" s="421" t="s">
        <v>1762</v>
      </c>
      <c r="H32" s="351" t="e">
        <f t="shared" ref="H32:J32" si="22">H9</f>
        <v>#DIV/0!</v>
      </c>
      <c r="I32" s="351" t="e">
        <f t="shared" si="22"/>
        <v>#DIV/0!</v>
      </c>
      <c r="J32" s="351" t="e">
        <f t="shared" si="22"/>
        <v>#DIV/0!</v>
      </c>
      <c r="K32" s="355"/>
      <c r="L32" s="345" t="s">
        <v>1687</v>
      </c>
    </row>
    <row r="33" spans="1:12" ht="27">
      <c r="A33" s="324" t="s">
        <v>1671</v>
      </c>
      <c r="B33" s="316">
        <f>合并现金流量表!F38</f>
        <v>0</v>
      </c>
      <c r="C33" s="316">
        <f>合并现金流量表!G38</f>
        <v>0</v>
      </c>
      <c r="D33" s="316">
        <f>合并现金流量表!H38</f>
        <v>0</v>
      </c>
      <c r="E33" s="316">
        <f>合并现金流量表!I38</f>
        <v>0</v>
      </c>
      <c r="G33" s="421" t="s">
        <v>1763</v>
      </c>
      <c r="H33" s="351" t="e">
        <f t="shared" ref="H33:J33" si="23">H10</f>
        <v>#DIV/0!</v>
      </c>
      <c r="I33" s="351" t="e">
        <f t="shared" si="23"/>
        <v>#DIV/0!</v>
      </c>
      <c r="J33" s="351" t="e">
        <f t="shared" si="23"/>
        <v>#DIV/0!</v>
      </c>
      <c r="K33" s="355"/>
      <c r="L33" s="345" t="s">
        <v>1688</v>
      </c>
    </row>
    <row r="34" spans="1:12" ht="15.75" thickBot="1">
      <c r="A34" s="325" t="s">
        <v>1672</v>
      </c>
      <c r="B34" s="318">
        <f>合并现金流量表!F40</f>
        <v>0</v>
      </c>
      <c r="C34" s="318">
        <f>合并现金流量表!G40</f>
        <v>0</v>
      </c>
      <c r="D34" s="318">
        <f>合并现金流量表!H40</f>
        <v>0</v>
      </c>
      <c r="E34" s="318">
        <f>合并现金流量表!I40</f>
        <v>0</v>
      </c>
      <c r="G34" s="421" t="s">
        <v>1756</v>
      </c>
      <c r="H34" s="351" t="e">
        <f t="shared" ref="H34:I34" si="24">H11</f>
        <v>#DIV/0!</v>
      </c>
      <c r="I34" s="351" t="e">
        <f t="shared" si="24"/>
        <v>#DIV/0!</v>
      </c>
      <c r="J34" s="423" t="e">
        <f>D25/D7*100</f>
        <v>#DIV/0!</v>
      </c>
      <c r="K34" s="355"/>
      <c r="L34" s="345" t="s">
        <v>1681</v>
      </c>
    </row>
    <row r="35" spans="1:12">
      <c r="G35" s="421" t="s">
        <v>1757</v>
      </c>
      <c r="H35" s="351" t="e">
        <f t="shared" ref="H35:I35" si="25">H12</f>
        <v>#DIV/0!</v>
      </c>
      <c r="I35" s="351" t="e">
        <f t="shared" si="25"/>
        <v>#DIV/0!</v>
      </c>
      <c r="J35" s="423" t="e">
        <f>D25/D18*100</f>
        <v>#DIV/0!</v>
      </c>
      <c r="K35" s="355"/>
      <c r="L35" s="345" t="s">
        <v>1682</v>
      </c>
    </row>
    <row r="36" spans="1:12">
      <c r="G36" s="421" t="s">
        <v>1758</v>
      </c>
      <c r="H36" s="351" t="e">
        <f t="shared" ref="H36:I36" si="26">H13</f>
        <v>#DIV/0!</v>
      </c>
      <c r="I36" s="351" t="e">
        <f t="shared" si="26"/>
        <v>#DIV/0!</v>
      </c>
      <c r="J36" s="423" t="e">
        <f>(D24+D26+D27)/D7*100</f>
        <v>#DIV/0!</v>
      </c>
      <c r="K36" s="355"/>
      <c r="L36" s="345" t="s">
        <v>1683</v>
      </c>
    </row>
    <row r="37" spans="1:12">
      <c r="G37" s="309" t="s">
        <v>1765</v>
      </c>
      <c r="H37" s="351">
        <f t="shared" ref="H37:J37" si="27">H14</f>
        <v>0</v>
      </c>
      <c r="I37" s="351">
        <f t="shared" si="27"/>
        <v>0</v>
      </c>
      <c r="J37" s="351">
        <f t="shared" si="27"/>
        <v>0</v>
      </c>
      <c r="K37" s="355"/>
      <c r="L37" s="345" t="s">
        <v>1690</v>
      </c>
    </row>
    <row r="38" spans="1:12">
      <c r="G38" s="309" t="s">
        <v>1766</v>
      </c>
      <c r="H38" s="351">
        <f t="shared" ref="H38:J38" si="28">H15</f>
        <v>0</v>
      </c>
      <c r="I38" s="351">
        <f t="shared" si="28"/>
        <v>0</v>
      </c>
      <c r="J38" s="351">
        <f t="shared" si="28"/>
        <v>0</v>
      </c>
      <c r="K38" s="355"/>
      <c r="L38" s="345" t="s">
        <v>1691</v>
      </c>
    </row>
    <row r="39" spans="1:12">
      <c r="G39" s="309" t="s">
        <v>1767</v>
      </c>
      <c r="H39" s="351" t="e">
        <f t="shared" ref="H39:J39" si="29">H16</f>
        <v>#DIV/0!</v>
      </c>
      <c r="I39" s="351" t="e">
        <f t="shared" si="29"/>
        <v>#DIV/0!</v>
      </c>
      <c r="J39" s="351" t="e">
        <f t="shared" si="29"/>
        <v>#DIV/0!</v>
      </c>
      <c r="K39" s="355"/>
      <c r="L39" s="345" t="s">
        <v>1692</v>
      </c>
    </row>
    <row r="40" spans="1:12">
      <c r="G40" s="309" t="s">
        <v>1768</v>
      </c>
      <c r="H40" s="351" t="e">
        <f t="shared" ref="H40:J40" si="30">H17</f>
        <v>#DIV/0!</v>
      </c>
      <c r="I40" s="351" t="e">
        <f t="shared" si="30"/>
        <v>#DIV/0!</v>
      </c>
      <c r="J40" s="351" t="e">
        <f t="shared" si="30"/>
        <v>#DIV/0!</v>
      </c>
      <c r="K40" s="355"/>
      <c r="L40" s="345" t="s">
        <v>1693</v>
      </c>
    </row>
    <row r="41" spans="1:12">
      <c r="G41" s="421" t="s">
        <v>1755</v>
      </c>
      <c r="H41" s="351" t="e">
        <f t="shared" ref="H41:J41" si="31">H18</f>
        <v>#DIV/0!</v>
      </c>
      <c r="I41" s="351" t="e">
        <f t="shared" si="31"/>
        <v>#DIV/0!</v>
      </c>
      <c r="J41" s="351" t="e">
        <f t="shared" si="31"/>
        <v>#DIV/0!</v>
      </c>
      <c r="K41" s="352"/>
      <c r="L41" s="602" t="s">
        <v>1680</v>
      </c>
    </row>
    <row r="42" spans="1:12">
      <c r="G42" s="421" t="s">
        <v>1753</v>
      </c>
      <c r="H42" s="351" t="e">
        <f t="shared" ref="H42:I42" si="32">H19</f>
        <v>#DIV/0!</v>
      </c>
      <c r="I42" s="351" t="e">
        <f t="shared" si="32"/>
        <v>#DIV/0!</v>
      </c>
      <c r="J42" s="423" t="e">
        <f>D19/D4</f>
        <v>#DIV/0!</v>
      </c>
      <c r="K42" s="352"/>
      <c r="L42" s="345" t="s">
        <v>1678</v>
      </c>
    </row>
    <row r="43" spans="1:12">
      <c r="G43" s="421" t="s">
        <v>1754</v>
      </c>
      <c r="H43" s="351" t="e">
        <f t="shared" ref="H43:I43" si="33">H20</f>
        <v>#DIV/0!</v>
      </c>
      <c r="I43" s="351" t="e">
        <f t="shared" si="33"/>
        <v>#DIV/0!</v>
      </c>
      <c r="J43" s="423" t="e">
        <f>D21/D5</f>
        <v>#DIV/0!</v>
      </c>
      <c r="K43" s="356"/>
      <c r="L43" s="345" t="s">
        <v>1679</v>
      </c>
    </row>
    <row r="44" spans="1:12" ht="15.75" thickBot="1">
      <c r="G44" s="422" t="s">
        <v>1764</v>
      </c>
      <c r="H44" s="351" t="e">
        <f t="shared" ref="H44:I44" si="34">H21</f>
        <v>#DIV/0!</v>
      </c>
      <c r="I44" s="351" t="e">
        <f t="shared" si="34"/>
        <v>#DIV/0!</v>
      </c>
      <c r="J44" s="423" t="e">
        <f>D19/D7</f>
        <v>#DIV/0!</v>
      </c>
      <c r="K44" s="356"/>
      <c r="L44" s="345" t="s">
        <v>1689</v>
      </c>
    </row>
    <row r="45" spans="1:12">
      <c r="L45" s="300"/>
    </row>
    <row r="56" spans="2:2">
      <c r="B56" s="357"/>
    </row>
  </sheetData>
  <mergeCells count="3">
    <mergeCell ref="G1:K1"/>
    <mergeCell ref="D1:E1"/>
    <mergeCell ref="G24:K24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CDB1A-652E-49A3-881B-2EBEEFF56079}">
  <sheetPr codeName="Sheet15"/>
  <dimension ref="A1:F15"/>
  <sheetViews>
    <sheetView workbookViewId="0">
      <selection activeCell="C15" sqref="C15"/>
    </sheetView>
  </sheetViews>
  <sheetFormatPr defaultRowHeight="14.25"/>
  <cols>
    <col min="1" max="3" width="22.875" customWidth="1"/>
    <col min="4" max="4" width="22.875" style="436" customWidth="1"/>
  </cols>
  <sheetData>
    <row r="1" spans="1:6">
      <c r="C1" s="621" t="s">
        <v>71</v>
      </c>
      <c r="D1" s="626"/>
    </row>
    <row r="2" spans="1:6">
      <c r="A2" s="622" t="s">
        <v>0</v>
      </c>
      <c r="B2" s="623" t="s">
        <v>1196</v>
      </c>
      <c r="C2" s="623" t="s">
        <v>1195</v>
      </c>
      <c r="D2" s="627"/>
    </row>
    <row r="3" spans="1:6">
      <c r="A3" s="622" t="s">
        <v>4062</v>
      </c>
      <c r="B3" s="623"/>
      <c r="C3" s="623"/>
      <c r="D3" s="627"/>
    </row>
    <row r="4" spans="1:6">
      <c r="A4" s="622" t="s">
        <v>1620</v>
      </c>
      <c r="B4" s="623"/>
      <c r="C4" s="623"/>
      <c r="D4" s="627"/>
    </row>
    <row r="5" spans="1:6">
      <c r="A5" s="622" t="s">
        <v>1623</v>
      </c>
      <c r="B5" s="623"/>
      <c r="C5" s="623"/>
      <c r="D5" s="627"/>
    </row>
    <row r="6" spans="1:6">
      <c r="A6" s="624" t="s">
        <v>54</v>
      </c>
      <c r="B6" s="630"/>
      <c r="C6" s="630"/>
      <c r="D6" s="628"/>
      <c r="E6" t="s">
        <v>4041</v>
      </c>
      <c r="F6" t="s">
        <v>4042</v>
      </c>
    </row>
    <row r="7" spans="1:6">
      <c r="A7" s="624" t="s">
        <v>66</v>
      </c>
      <c r="B7" s="630"/>
      <c r="C7" s="630"/>
      <c r="D7" s="628"/>
      <c r="E7" t="s">
        <v>4043</v>
      </c>
      <c r="F7" t="s">
        <v>4044</v>
      </c>
    </row>
    <row r="8" spans="1:6">
      <c r="A8" s="624" t="s">
        <v>184</v>
      </c>
      <c r="B8" s="630"/>
      <c r="C8" s="630"/>
      <c r="D8" s="625"/>
      <c r="E8" t="s">
        <v>4045</v>
      </c>
      <c r="F8" t="s">
        <v>4046</v>
      </c>
    </row>
    <row r="9" spans="1:6">
      <c r="A9" s="624" t="s">
        <v>4034</v>
      </c>
      <c r="B9" s="630"/>
      <c r="C9" s="630"/>
      <c r="D9" s="628"/>
      <c r="E9" t="s">
        <v>4047</v>
      </c>
      <c r="F9" t="s">
        <v>4048</v>
      </c>
    </row>
    <row r="10" spans="1:6">
      <c r="A10" s="624" t="s">
        <v>4035</v>
      </c>
      <c r="B10" s="630"/>
      <c r="C10" s="630"/>
      <c r="D10" s="628"/>
      <c r="E10" t="s">
        <v>4049</v>
      </c>
      <c r="F10" t="s">
        <v>4050</v>
      </c>
    </row>
    <row r="11" spans="1:6">
      <c r="A11" s="624" t="s">
        <v>4036</v>
      </c>
      <c r="B11" s="630"/>
      <c r="C11" s="630"/>
      <c r="D11" s="628"/>
      <c r="E11" t="s">
        <v>4051</v>
      </c>
      <c r="F11" t="s">
        <v>4052</v>
      </c>
    </row>
    <row r="12" spans="1:6">
      <c r="A12" s="624" t="s">
        <v>4037</v>
      </c>
      <c r="B12" s="631" t="e">
        <f>B11/((B8+C8)/2)*100</f>
        <v>#DIV/0!</v>
      </c>
      <c r="C12" s="631" t="e">
        <f>C11/((C8+D8)/2)*100</f>
        <v>#DIV/0!</v>
      </c>
      <c r="D12" s="628"/>
      <c r="E12" t="s">
        <v>4053</v>
      </c>
      <c r="F12" t="s">
        <v>4054</v>
      </c>
    </row>
    <row r="13" spans="1:6">
      <c r="A13" s="624" t="s">
        <v>4038</v>
      </c>
      <c r="B13" s="631" t="e">
        <f>B7/B6*100</f>
        <v>#DIV/0!</v>
      </c>
      <c r="C13" s="631" t="e">
        <f>C7/C6*100</f>
        <v>#DIV/0!</v>
      </c>
      <c r="D13" s="628"/>
      <c r="E13" t="s">
        <v>4055</v>
      </c>
      <c r="F13" t="s">
        <v>4056</v>
      </c>
    </row>
    <row r="14" spans="1:6">
      <c r="A14" s="624" t="s">
        <v>4039</v>
      </c>
      <c r="B14" s="629" t="e">
        <f>B4/B5</f>
        <v>#DIV/0!</v>
      </c>
      <c r="C14" s="629" t="e">
        <f>C4/C5</f>
        <v>#DIV/0!</v>
      </c>
      <c r="D14" s="628"/>
      <c r="E14" t="s">
        <v>4057</v>
      </c>
      <c r="F14" t="s">
        <v>4058</v>
      </c>
    </row>
    <row r="15" spans="1:6">
      <c r="A15" s="624" t="s">
        <v>4040</v>
      </c>
      <c r="B15" s="629" t="e">
        <f>(B4-B3)/B5</f>
        <v>#DIV/0!</v>
      </c>
      <c r="C15" s="629" t="e">
        <f>(C4-C3)/C5</f>
        <v>#DIV/0!</v>
      </c>
      <c r="D15" s="628"/>
      <c r="E15" t="s">
        <v>4059</v>
      </c>
      <c r="F15" t="s">
        <v>4060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36F3-9895-424B-9D28-22D96935E245}">
  <sheetPr codeName="Sheet8"/>
  <dimension ref="A1:J31"/>
  <sheetViews>
    <sheetView zoomScale="90" zoomScaleNormal="90" workbookViewId="0">
      <pane xSplit="1" ySplit="2" topLeftCell="B24" activePane="bottomRight" state="frozen"/>
      <selection pane="topRight" activeCell="B1" sqref="B1"/>
      <selection pane="bottomLeft" activeCell="A2" sqref="A2"/>
      <selection pane="bottomRight" activeCell="G31" sqref="G21:G31"/>
    </sheetView>
  </sheetViews>
  <sheetFormatPr defaultColWidth="8.75" defaultRowHeight="15.75"/>
  <cols>
    <col min="1" max="1" width="19.75" style="397" customWidth="1"/>
    <col min="2" max="2" width="20.625" style="397" customWidth="1"/>
    <col min="3" max="3" width="16.5" style="397" customWidth="1"/>
    <col min="4" max="4" width="17.875" style="397" customWidth="1"/>
    <col min="5" max="5" width="15.375" style="397" customWidth="1"/>
    <col min="6" max="6" width="8.75" style="397"/>
    <col min="7" max="7" width="26.375" style="408" customWidth="1"/>
    <col min="8" max="8" width="20.75" style="397" customWidth="1"/>
    <col min="9" max="9" width="16.125" style="397" customWidth="1"/>
    <col min="10" max="10" width="15.125" style="397" customWidth="1"/>
    <col min="11" max="16384" width="8.75" style="397"/>
  </cols>
  <sheetData>
    <row r="1" spans="1:10" ht="16.5" thickBot="1">
      <c r="A1" s="753" t="s">
        <v>1717</v>
      </c>
      <c r="B1" s="753"/>
      <c r="C1" s="753"/>
      <c r="D1" s="753"/>
      <c r="E1" s="753"/>
      <c r="G1" s="754" t="s">
        <v>1718</v>
      </c>
      <c r="H1" s="754"/>
      <c r="I1" s="754"/>
      <c r="J1" s="754"/>
    </row>
    <row r="2" spans="1:10" ht="34.15" customHeight="1">
      <c r="A2" s="398" t="s">
        <v>1719</v>
      </c>
      <c r="B2" s="399">
        <f>'财务指标 '!B2</f>
        <v>0</v>
      </c>
      <c r="C2" s="399">
        <f>'财务指标 '!C2</f>
        <v>0</v>
      </c>
      <c r="D2" s="399">
        <f>'财务指标 '!D2</f>
        <v>0</v>
      </c>
      <c r="E2" s="400">
        <f>'财务指标 '!E2</f>
        <v>0</v>
      </c>
      <c r="G2" s="401" t="str">
        <f>A2</f>
        <v>项目</v>
      </c>
      <c r="H2" s="402">
        <f t="shared" ref="H2:J3" si="0">B2</f>
        <v>0</v>
      </c>
      <c r="I2" s="402">
        <f t="shared" si="0"/>
        <v>0</v>
      </c>
      <c r="J2" s="403">
        <f t="shared" si="0"/>
        <v>0</v>
      </c>
    </row>
    <row r="3" spans="1:10">
      <c r="A3" s="404" t="s">
        <v>1720</v>
      </c>
      <c r="B3" s="392">
        <f>'财务指标 '!B7</f>
        <v>0</v>
      </c>
      <c r="C3" s="392">
        <f>'财务指标 '!C7</f>
        <v>0</v>
      </c>
      <c r="D3" s="392">
        <f>'财务指标 '!D7</f>
        <v>0</v>
      </c>
      <c r="E3" s="393">
        <f>'财务指标 '!E7</f>
        <v>0</v>
      </c>
      <c r="G3" s="405" t="str">
        <f t="shared" ref="G3:G27" si="1">A3</f>
        <v>总资产（万元）</v>
      </c>
      <c r="H3" s="392">
        <f>B3</f>
        <v>0</v>
      </c>
      <c r="I3" s="392">
        <f t="shared" si="0"/>
        <v>0</v>
      </c>
      <c r="J3" s="393">
        <f t="shared" si="0"/>
        <v>0</v>
      </c>
    </row>
    <row r="4" spans="1:10">
      <c r="A4" s="404" t="s">
        <v>1721</v>
      </c>
      <c r="B4" s="392">
        <f>'财务指标 '!B17</f>
        <v>0</v>
      </c>
      <c r="C4" s="392">
        <f>'财务指标 '!C17</f>
        <v>0</v>
      </c>
      <c r="D4" s="392">
        <f>'财务指标 '!D17</f>
        <v>0</v>
      </c>
      <c r="E4" s="393">
        <f>'财务指标 '!E17</f>
        <v>0</v>
      </c>
      <c r="G4" s="405" t="str">
        <f t="shared" si="1"/>
        <v>总负债（万元）</v>
      </c>
      <c r="H4" s="392">
        <f t="shared" ref="H4:H11" si="2">B4</f>
        <v>0</v>
      </c>
      <c r="I4" s="392">
        <f t="shared" ref="I4:I12" si="3">C4</f>
        <v>0</v>
      </c>
      <c r="J4" s="393">
        <f t="shared" ref="J4:J12" si="4">D4</f>
        <v>0</v>
      </c>
    </row>
    <row r="5" spans="1:10">
      <c r="A5" s="404" t="s">
        <v>1722</v>
      </c>
      <c r="B5" s="392">
        <f>'财务指标 '!H6</f>
        <v>0</v>
      </c>
      <c r="C5" s="392">
        <f>'财务指标 '!I6</f>
        <v>0</v>
      </c>
      <c r="D5" s="392">
        <f>'财务指标 '!J6</f>
        <v>0</v>
      </c>
      <c r="E5" s="393">
        <f>'财务指标 '!K6</f>
        <v>0</v>
      </c>
      <c r="G5" s="405" t="str">
        <f t="shared" si="1"/>
        <v>全部债务（万元）</v>
      </c>
      <c r="H5" s="392">
        <f t="shared" si="2"/>
        <v>0</v>
      </c>
      <c r="I5" s="392">
        <f t="shared" si="3"/>
        <v>0</v>
      </c>
      <c r="J5" s="393">
        <f t="shared" si="4"/>
        <v>0</v>
      </c>
    </row>
    <row r="6" spans="1:10">
      <c r="A6" s="404" t="s">
        <v>1723</v>
      </c>
      <c r="B6" s="392">
        <f>'财务指标 '!B18</f>
        <v>0</v>
      </c>
      <c r="C6" s="392">
        <f>'财务指标 '!C18</f>
        <v>0</v>
      </c>
      <c r="D6" s="392">
        <f>'财务指标 '!D18</f>
        <v>0</v>
      </c>
      <c r="E6" s="393">
        <f>'财务指标 '!E18</f>
        <v>0</v>
      </c>
      <c r="G6" s="405" t="str">
        <f t="shared" si="1"/>
        <v>所有者权益（万元）</v>
      </c>
      <c r="H6" s="392">
        <f t="shared" si="2"/>
        <v>0</v>
      </c>
      <c r="I6" s="392">
        <f t="shared" si="3"/>
        <v>0</v>
      </c>
      <c r="J6" s="393">
        <f t="shared" si="4"/>
        <v>0</v>
      </c>
    </row>
    <row r="7" spans="1:10">
      <c r="A7" s="404" t="s">
        <v>1724</v>
      </c>
      <c r="B7" s="392">
        <f>'财务指标 '!B19</f>
        <v>0</v>
      </c>
      <c r="C7" s="392">
        <f>'财务指标 '!C19</f>
        <v>0</v>
      </c>
      <c r="D7" s="392">
        <f>'财务指标 '!D19</f>
        <v>0</v>
      </c>
      <c r="E7" s="393">
        <f>'财务指标 '!E19</f>
        <v>0</v>
      </c>
      <c r="G7" s="405" t="str">
        <f t="shared" si="1"/>
        <v>营业总收入（万元）</v>
      </c>
      <c r="H7" s="392">
        <f t="shared" si="2"/>
        <v>0</v>
      </c>
      <c r="I7" s="392">
        <f t="shared" si="3"/>
        <v>0</v>
      </c>
      <c r="J7" s="393">
        <f t="shared" si="4"/>
        <v>0</v>
      </c>
    </row>
    <row r="8" spans="1:10">
      <c r="A8" s="404" t="s">
        <v>1725</v>
      </c>
      <c r="B8" s="392">
        <f>'财务指标 '!B24</f>
        <v>0</v>
      </c>
      <c r="C8" s="392">
        <f>'财务指标 '!C24</f>
        <v>0</v>
      </c>
      <c r="D8" s="392">
        <f>'财务指标 '!D24</f>
        <v>0</v>
      </c>
      <c r="E8" s="393">
        <f>'财务指标 '!E24</f>
        <v>0</v>
      </c>
      <c r="G8" s="405" t="str">
        <f t="shared" si="1"/>
        <v>利润总额（万元）</v>
      </c>
      <c r="H8" s="392">
        <f t="shared" si="2"/>
        <v>0</v>
      </c>
      <c r="I8" s="392">
        <f t="shared" si="3"/>
        <v>0</v>
      </c>
      <c r="J8" s="393">
        <f t="shared" si="4"/>
        <v>0</v>
      </c>
    </row>
    <row r="9" spans="1:10">
      <c r="A9" s="404" t="s">
        <v>1726</v>
      </c>
      <c r="B9" s="392">
        <f>'财务指标 '!B25</f>
        <v>0</v>
      </c>
      <c r="C9" s="392">
        <f>'财务指标 '!C25</f>
        <v>0</v>
      </c>
      <c r="D9" s="392">
        <f>'财务指标 '!D25</f>
        <v>0</v>
      </c>
      <c r="E9" s="393">
        <f>'财务指标 '!E25</f>
        <v>0</v>
      </c>
      <c r="G9" s="405" t="str">
        <f t="shared" si="1"/>
        <v>净利润（万元）</v>
      </c>
      <c r="H9" s="392">
        <f t="shared" si="2"/>
        <v>0</v>
      </c>
      <c r="I9" s="392">
        <f t="shared" si="3"/>
        <v>0</v>
      </c>
      <c r="J9" s="393">
        <f t="shared" si="4"/>
        <v>0</v>
      </c>
    </row>
    <row r="10" spans="1:10" ht="31.5">
      <c r="A10" s="406" t="s">
        <v>1727</v>
      </c>
      <c r="B10" s="394">
        <f>必填信息!B17</f>
        <v>0</v>
      </c>
      <c r="C10" s="394">
        <f>必填信息!C17</f>
        <v>0</v>
      </c>
      <c r="D10" s="394">
        <f>必填信息!D17</f>
        <v>0</v>
      </c>
      <c r="E10" s="542">
        <f>必填信息!E17</f>
        <v>0</v>
      </c>
      <c r="G10" s="406" t="str">
        <f t="shared" si="1"/>
        <v>扣除非经常性损益后的净利润（万元）</v>
      </c>
      <c r="H10" s="392">
        <f t="shared" si="2"/>
        <v>0</v>
      </c>
      <c r="I10" s="392">
        <f t="shared" si="3"/>
        <v>0</v>
      </c>
      <c r="J10" s="393">
        <f t="shared" si="4"/>
        <v>0</v>
      </c>
    </row>
    <row r="11" spans="1:10" ht="31.5">
      <c r="A11" s="404" t="s">
        <v>1728</v>
      </c>
      <c r="B11" s="392">
        <f>'合并利润表 '!F31</f>
        <v>0</v>
      </c>
      <c r="C11" s="392">
        <f>'合并利润表 '!G31</f>
        <v>0</v>
      </c>
      <c r="D11" s="392">
        <f>'合并利润表 '!H31</f>
        <v>0</v>
      </c>
      <c r="E11" s="393">
        <f>'合并利润表 '!I31</f>
        <v>0</v>
      </c>
      <c r="G11" s="406" t="str">
        <f t="shared" si="1"/>
        <v>归属于母公司所有者的净利润（万元）</v>
      </c>
      <c r="H11" s="392">
        <f t="shared" si="2"/>
        <v>0</v>
      </c>
      <c r="I11" s="392">
        <f t="shared" si="3"/>
        <v>0</v>
      </c>
      <c r="J11" s="393">
        <f t="shared" si="4"/>
        <v>0</v>
      </c>
    </row>
    <row r="12" spans="1:10" ht="31.5">
      <c r="A12" s="404" t="s">
        <v>1729</v>
      </c>
      <c r="B12" s="392">
        <f>'财务指标 '!B31</f>
        <v>0</v>
      </c>
      <c r="C12" s="392">
        <f>'财务指标 '!C31</f>
        <v>0</v>
      </c>
      <c r="D12" s="392">
        <f>'财务指标 '!D31</f>
        <v>0</v>
      </c>
      <c r="E12" s="393">
        <f>'财务指标 '!E31</f>
        <v>0</v>
      </c>
      <c r="G12" s="406" t="str">
        <f>A12</f>
        <v>经营活动产生现金流量净额（万元）</v>
      </c>
      <c r="H12" s="392">
        <f>B12</f>
        <v>0</v>
      </c>
      <c r="I12" s="392">
        <f t="shared" si="3"/>
        <v>0</v>
      </c>
      <c r="J12" s="393">
        <f t="shared" si="4"/>
        <v>0</v>
      </c>
    </row>
    <row r="13" spans="1:10" ht="31.5">
      <c r="A13" s="404" t="s">
        <v>1730</v>
      </c>
      <c r="B13" s="392">
        <f>'财务指标 '!B32</f>
        <v>0</v>
      </c>
      <c r="C13" s="392">
        <f>'财务指标 '!C32</f>
        <v>0</v>
      </c>
      <c r="D13" s="392">
        <f>'财务指标 '!D32</f>
        <v>0</v>
      </c>
      <c r="E13" s="393">
        <f>'财务指标 '!E32</f>
        <v>0</v>
      </c>
      <c r="G13" s="406" t="str">
        <f t="shared" si="1"/>
        <v>投资活动产生现金流量净额（万元）</v>
      </c>
      <c r="H13" s="392">
        <f t="shared" ref="H13:H19" si="5">B13</f>
        <v>0</v>
      </c>
      <c r="I13" s="392">
        <f t="shared" ref="I13:I26" si="6">C13</f>
        <v>0</v>
      </c>
      <c r="J13" s="393">
        <f t="shared" ref="J13:J25" si="7">D13</f>
        <v>0</v>
      </c>
    </row>
    <row r="14" spans="1:10" ht="31.5">
      <c r="A14" s="404" t="s">
        <v>1731</v>
      </c>
      <c r="B14" s="392">
        <f>'财务指标 '!B33</f>
        <v>0</v>
      </c>
      <c r="C14" s="392">
        <f>'财务指标 '!C33</f>
        <v>0</v>
      </c>
      <c r="D14" s="392">
        <f>'财务指标 '!D33</f>
        <v>0</v>
      </c>
      <c r="E14" s="393">
        <f>'财务指标 '!E33</f>
        <v>0</v>
      </c>
      <c r="G14" s="406" t="str">
        <f t="shared" si="1"/>
        <v>筹资活动产生现金流量净额（万元）</v>
      </c>
      <c r="H14" s="392">
        <f t="shared" si="5"/>
        <v>0</v>
      </c>
      <c r="I14" s="392">
        <f t="shared" si="6"/>
        <v>0</v>
      </c>
      <c r="J14" s="393">
        <f t="shared" si="7"/>
        <v>0</v>
      </c>
    </row>
    <row r="15" spans="1:10">
      <c r="A15" s="552" t="s">
        <v>1770</v>
      </c>
      <c r="B15" s="392" t="e">
        <f>'财务指标 '!H3</f>
        <v>#DIV/0!</v>
      </c>
      <c r="C15" s="392" t="e">
        <f>'财务指标 '!I3</f>
        <v>#DIV/0!</v>
      </c>
      <c r="D15" s="392" t="e">
        <f>'财务指标 '!J3</f>
        <v>#DIV/0!</v>
      </c>
      <c r="E15" s="393" t="e">
        <f>'财务指标 '!K3</f>
        <v>#DIV/0!</v>
      </c>
      <c r="G15" s="405" t="str">
        <f>A15</f>
        <v>流动比率</v>
      </c>
      <c r="H15" s="392" t="e">
        <f>B15</f>
        <v>#DIV/0!</v>
      </c>
      <c r="I15" s="392" t="e">
        <f t="shared" si="6"/>
        <v>#DIV/0!</v>
      </c>
      <c r="J15" s="393" t="e">
        <f t="shared" si="7"/>
        <v>#DIV/0!</v>
      </c>
    </row>
    <row r="16" spans="1:10">
      <c r="A16" s="552" t="s">
        <v>3494</v>
      </c>
      <c r="B16" s="392" t="e">
        <f>'财务指标 '!H4</f>
        <v>#DIV/0!</v>
      </c>
      <c r="C16" s="392" t="e">
        <f>'财务指标 '!I4</f>
        <v>#DIV/0!</v>
      </c>
      <c r="D16" s="392" t="e">
        <f>'财务指标 '!J4</f>
        <v>#DIV/0!</v>
      </c>
      <c r="E16" s="393" t="e">
        <f>'财务指标 '!K4</f>
        <v>#DIV/0!</v>
      </c>
      <c r="G16" s="405" t="str">
        <f t="shared" si="1"/>
        <v>速动比率</v>
      </c>
      <c r="H16" s="392" t="e">
        <f t="shared" si="5"/>
        <v>#DIV/0!</v>
      </c>
      <c r="I16" s="392" t="e">
        <f t="shared" si="6"/>
        <v>#DIV/0!</v>
      </c>
      <c r="J16" s="393" t="e">
        <f t="shared" si="7"/>
        <v>#DIV/0!</v>
      </c>
    </row>
    <row r="17" spans="1:10">
      <c r="A17" s="404" t="s">
        <v>1732</v>
      </c>
      <c r="B17" s="424" t="e">
        <f>'财务指标 '!H5</f>
        <v>#DIV/0!</v>
      </c>
      <c r="C17" s="424" t="e">
        <f>'财务指标 '!I5</f>
        <v>#DIV/0!</v>
      </c>
      <c r="D17" s="424" t="e">
        <f>'财务指标 '!J5</f>
        <v>#DIV/0!</v>
      </c>
      <c r="E17" s="425" t="e">
        <f>'财务指标 '!K5</f>
        <v>#DIV/0!</v>
      </c>
      <c r="G17" s="405" t="str">
        <f t="shared" si="1"/>
        <v>资产负债率（%）</v>
      </c>
      <c r="H17" s="424" t="e">
        <f t="shared" si="5"/>
        <v>#DIV/0!</v>
      </c>
      <c r="I17" s="424" t="e">
        <f t="shared" si="6"/>
        <v>#DIV/0!</v>
      </c>
      <c r="J17" s="425" t="e">
        <f t="shared" si="7"/>
        <v>#DIV/0!</v>
      </c>
    </row>
    <row r="18" spans="1:10">
      <c r="A18" s="404" t="s">
        <v>1733</v>
      </c>
      <c r="B18" s="426" t="e">
        <f>'财务指标 '!H7</f>
        <v>#DIV/0!</v>
      </c>
      <c r="C18" s="426" t="e">
        <f>'财务指标 '!I7</f>
        <v>#DIV/0!</v>
      </c>
      <c r="D18" s="426" t="e">
        <f>'财务指标 '!J7</f>
        <v>#DIV/0!</v>
      </c>
      <c r="E18" s="543" t="e">
        <f>'财务指标 '!K7</f>
        <v>#DIV/0!</v>
      </c>
      <c r="G18" s="405" t="str">
        <f t="shared" si="1"/>
        <v>债务资本比率（%）</v>
      </c>
      <c r="H18" s="424" t="e">
        <f t="shared" si="5"/>
        <v>#DIV/0!</v>
      </c>
      <c r="I18" s="424" t="e">
        <f t="shared" si="6"/>
        <v>#DIV/0!</v>
      </c>
      <c r="J18" s="425" t="e">
        <f t="shared" si="7"/>
        <v>#DIV/0!</v>
      </c>
    </row>
    <row r="19" spans="1:10">
      <c r="A19" s="404" t="s">
        <v>1734</v>
      </c>
      <c r="B19" s="392" t="e">
        <f>'财务指标 '!H10</f>
        <v>#DIV/0!</v>
      </c>
      <c r="C19" s="392" t="e">
        <f>'财务指标 '!I10</f>
        <v>#DIV/0!</v>
      </c>
      <c r="D19" s="392" t="e">
        <f>'财务指标 '!J10</f>
        <v>#DIV/0!</v>
      </c>
      <c r="E19" s="393" t="e">
        <f>'财务指标 '!K10</f>
        <v>#DIV/0!</v>
      </c>
      <c r="G19" s="405" t="str">
        <f t="shared" si="1"/>
        <v>营业毛利率（%）</v>
      </c>
      <c r="H19" s="424" t="e">
        <f t="shared" si="5"/>
        <v>#DIV/0!</v>
      </c>
      <c r="I19" s="424" t="e">
        <f t="shared" si="6"/>
        <v>#DIV/0!</v>
      </c>
      <c r="J19" s="425" t="e">
        <f t="shared" si="7"/>
        <v>#DIV/0!</v>
      </c>
    </row>
    <row r="20" spans="1:10" ht="30">
      <c r="A20" s="406" t="s">
        <v>1735</v>
      </c>
      <c r="B20" s="395" t="e">
        <f>'财务指标 '!H13</f>
        <v>#DIV/0!</v>
      </c>
      <c r="C20" s="395" t="e">
        <f>'财务指标 '!I13</f>
        <v>#DIV/0!</v>
      </c>
      <c r="D20" s="395" t="e">
        <f>'财务指标 '!J13</f>
        <v>#DIV/0!</v>
      </c>
      <c r="E20" s="545" t="e">
        <f>'财务指标 '!K13</f>
        <v>#DIV/0!</v>
      </c>
      <c r="G20" s="405" t="str">
        <f t="shared" si="1"/>
        <v>平均总资产回报率（%）</v>
      </c>
      <c r="H20" s="424" t="e">
        <f>B20</f>
        <v>#DIV/0!</v>
      </c>
      <c r="I20" s="424" t="e">
        <f t="shared" si="6"/>
        <v>#DIV/0!</v>
      </c>
      <c r="J20" s="427" t="e">
        <f>'财务指标 '!J36</f>
        <v>#DIV/0!</v>
      </c>
    </row>
    <row r="21" spans="1:10" ht="30">
      <c r="A21" s="406" t="s">
        <v>1736</v>
      </c>
      <c r="B21" s="395" t="e">
        <f>'财务指标 '!H12</f>
        <v>#DIV/0!</v>
      </c>
      <c r="C21" s="395" t="e">
        <f>'财务指标 '!I12</f>
        <v>#DIV/0!</v>
      </c>
      <c r="D21" s="395" t="e">
        <f>'财务指标 '!J12</f>
        <v>#DIV/0!</v>
      </c>
      <c r="E21" s="545" t="e">
        <f>'财务指标 '!K12</f>
        <v>#DIV/0!</v>
      </c>
      <c r="G21" s="405" t="str">
        <f t="shared" si="1"/>
        <v>加权平均净资产收益率（%）</v>
      </c>
      <c r="H21" s="424" t="e">
        <f t="shared" ref="H21:H22" si="8">B21</f>
        <v>#DIV/0!</v>
      </c>
      <c r="I21" s="424" t="e">
        <f t="shared" si="6"/>
        <v>#DIV/0!</v>
      </c>
      <c r="J21" s="427" t="e">
        <f>'财务指标 '!J35</f>
        <v>#DIV/0!</v>
      </c>
    </row>
    <row r="22" spans="1:10" ht="44.25">
      <c r="A22" s="406" t="s">
        <v>1737</v>
      </c>
      <c r="B22" s="555" t="e">
        <f>B10/(B6+C6)*2*100</f>
        <v>#DIV/0!</v>
      </c>
      <c r="C22" s="555" t="e">
        <f t="shared" ref="C22:D22" si="9">C10/(C6+D6)*2*100</f>
        <v>#DIV/0!</v>
      </c>
      <c r="D22" s="555" t="e">
        <f t="shared" si="9"/>
        <v>#DIV/0!</v>
      </c>
      <c r="E22" s="556" t="e">
        <f>E10/E6*100</f>
        <v>#DIV/0!</v>
      </c>
      <c r="G22" s="405" t="str">
        <f t="shared" si="1"/>
        <v>扣除非经常性损益后加权平均净资产收益率（%）</v>
      </c>
      <c r="H22" s="424" t="e">
        <f t="shared" si="8"/>
        <v>#DIV/0!</v>
      </c>
      <c r="I22" s="424" t="e">
        <f t="shared" si="6"/>
        <v>#DIV/0!</v>
      </c>
      <c r="J22" s="544" t="e">
        <f>J10/J6*100</f>
        <v>#DIV/0!</v>
      </c>
    </row>
    <row r="23" spans="1:10">
      <c r="A23" s="406" t="s">
        <v>1738</v>
      </c>
      <c r="B23" s="395">
        <f>'财务指标 '!H15</f>
        <v>0</v>
      </c>
      <c r="C23" s="395">
        <f>'财务指标 '!I15</f>
        <v>0</v>
      </c>
      <c r="D23" s="395">
        <f>'财务指标 '!J15</f>
        <v>0</v>
      </c>
      <c r="E23" s="545">
        <f>'财务指标 '!K15</f>
        <v>0</v>
      </c>
      <c r="G23" s="405" t="str">
        <f t="shared" si="1"/>
        <v>EBITDA（万元）</v>
      </c>
      <c r="H23" s="392">
        <f>B23</f>
        <v>0</v>
      </c>
      <c r="I23" s="392">
        <f t="shared" si="6"/>
        <v>0</v>
      </c>
      <c r="J23" s="393">
        <f t="shared" si="7"/>
        <v>0</v>
      </c>
    </row>
    <row r="24" spans="1:10">
      <c r="A24" s="406" t="s">
        <v>1739</v>
      </c>
      <c r="B24" s="395" t="e">
        <f>'财务指标 '!H16</f>
        <v>#DIV/0!</v>
      </c>
      <c r="C24" s="395" t="e">
        <f>'财务指标 '!I16</f>
        <v>#DIV/0!</v>
      </c>
      <c r="D24" s="395" t="e">
        <f>'财务指标 '!J16</f>
        <v>#DIV/0!</v>
      </c>
      <c r="E24" s="545" t="e">
        <f>'财务指标 '!K16</f>
        <v>#DIV/0!</v>
      </c>
      <c r="G24" s="405" t="str">
        <f t="shared" si="1"/>
        <v>EBITDA全部债务比</v>
      </c>
      <c r="H24" s="392" t="e">
        <f t="shared" ref="H24:H26" si="10">B24</f>
        <v>#DIV/0!</v>
      </c>
      <c r="I24" s="392" t="e">
        <f t="shared" si="6"/>
        <v>#DIV/0!</v>
      </c>
      <c r="J24" s="393" t="e">
        <f t="shared" si="7"/>
        <v>#DIV/0!</v>
      </c>
    </row>
    <row r="25" spans="1:10">
      <c r="A25" s="407" t="s">
        <v>1740</v>
      </c>
      <c r="B25" s="395" t="e">
        <f>'财务指标 '!H17</f>
        <v>#DIV/0!</v>
      </c>
      <c r="C25" s="395" t="e">
        <f>'财务指标 '!I17</f>
        <v>#DIV/0!</v>
      </c>
      <c r="D25" s="395" t="e">
        <f>'财务指标 '!J17</f>
        <v>#DIV/0!</v>
      </c>
      <c r="E25" s="545" t="e">
        <f>'财务指标 '!K17</f>
        <v>#DIV/0!</v>
      </c>
      <c r="G25" s="405" t="str">
        <f t="shared" si="1"/>
        <v>EBITDA利息倍数</v>
      </c>
      <c r="H25" s="392" t="e">
        <f t="shared" si="10"/>
        <v>#DIV/0!</v>
      </c>
      <c r="I25" s="392" t="e">
        <f t="shared" si="6"/>
        <v>#DIV/0!</v>
      </c>
      <c r="J25" s="393" t="e">
        <f t="shared" si="7"/>
        <v>#DIV/0!</v>
      </c>
    </row>
    <row r="26" spans="1:10">
      <c r="A26" s="557" t="s">
        <v>3496</v>
      </c>
      <c r="B26" s="395" t="e">
        <f>'财务指标 '!H19</f>
        <v>#DIV/0!</v>
      </c>
      <c r="C26" s="395" t="e">
        <f>'财务指标 '!I19</f>
        <v>#DIV/0!</v>
      </c>
      <c r="D26" s="395" t="e">
        <f>'财务指标 '!J19</f>
        <v>#DIV/0!</v>
      </c>
      <c r="E26" s="545" t="e">
        <f>'财务指标 '!K19</f>
        <v>#DIV/0!</v>
      </c>
      <c r="G26" s="405" t="str">
        <f t="shared" si="1"/>
        <v>应收账款周转率</v>
      </c>
      <c r="H26" s="392" t="e">
        <f t="shared" si="10"/>
        <v>#DIV/0!</v>
      </c>
      <c r="I26" s="392" t="e">
        <f t="shared" si="6"/>
        <v>#DIV/0!</v>
      </c>
      <c r="J26" s="409" t="e">
        <f>'财务指标 '!J42</f>
        <v>#DIV/0!</v>
      </c>
    </row>
    <row r="27" spans="1:10" ht="28.15" customHeight="1" thickBot="1">
      <c r="A27" s="558" t="s">
        <v>3498</v>
      </c>
      <c r="B27" s="559" t="e">
        <f>'财务指标 '!H20</f>
        <v>#DIV/0!</v>
      </c>
      <c r="C27" s="559" t="e">
        <f>'财务指标 '!I20</f>
        <v>#DIV/0!</v>
      </c>
      <c r="D27" s="559" t="e">
        <f>'财务指标 '!J20</f>
        <v>#DIV/0!</v>
      </c>
      <c r="E27" s="560" t="e">
        <f>'财务指标 '!K20</f>
        <v>#DIV/0!</v>
      </c>
      <c r="G27" s="405" t="str">
        <f t="shared" si="1"/>
        <v>存货周转率</v>
      </c>
      <c r="H27" s="392" t="e">
        <f t="shared" ref="H27:I27" si="11">B27</f>
        <v>#DIV/0!</v>
      </c>
      <c r="I27" s="392" t="e">
        <f t="shared" si="11"/>
        <v>#DIV/0!</v>
      </c>
      <c r="J27" s="409" t="e">
        <f>'财务指标 '!J43</f>
        <v>#DIV/0!</v>
      </c>
    </row>
    <row r="28" spans="1:10">
      <c r="G28" s="546" t="s">
        <v>1741</v>
      </c>
      <c r="H28" s="392">
        <f>'财务指标 '!B4</f>
        <v>0</v>
      </c>
      <c r="I28" s="392">
        <f>'财务指标 '!C4</f>
        <v>0</v>
      </c>
      <c r="J28" s="393">
        <f>'财务指标 '!D4</f>
        <v>0</v>
      </c>
    </row>
    <row r="29" spans="1:10">
      <c r="G29" s="546" t="s">
        <v>1742</v>
      </c>
      <c r="H29" s="392">
        <f>'合并资产负债表 '!F14</f>
        <v>0</v>
      </c>
      <c r="I29" s="392">
        <f>'合并资产负债表 '!G14</f>
        <v>0</v>
      </c>
      <c r="J29" s="393">
        <f>'合并资产负债表 '!H14</f>
        <v>0</v>
      </c>
    </row>
    <row r="30" spans="1:10">
      <c r="G30" s="547" t="s">
        <v>1743</v>
      </c>
      <c r="H30" s="396">
        <f>必填信息!B19</f>
        <v>0</v>
      </c>
      <c r="I30" s="396">
        <f>必填信息!C19</f>
        <v>0</v>
      </c>
      <c r="J30" s="548">
        <f>必填信息!D19</f>
        <v>0</v>
      </c>
    </row>
    <row r="31" spans="1:10" ht="16.5" thickBot="1">
      <c r="G31" s="549" t="s">
        <v>1744</v>
      </c>
      <c r="H31" s="550">
        <f>必填信息!B20</f>
        <v>0</v>
      </c>
      <c r="I31" s="550">
        <f>必填信息!C20</f>
        <v>0</v>
      </c>
      <c r="J31" s="551">
        <f>必填信息!D20</f>
        <v>0</v>
      </c>
    </row>
  </sheetData>
  <mergeCells count="2">
    <mergeCell ref="A1:E1"/>
    <mergeCell ref="G1:J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EC7C6-CA65-49C2-99A4-8B9D045D7A4B}">
  <sheetPr codeName="Sheet11">
    <tabColor theme="9" tint="0.79998168889431442"/>
  </sheetPr>
  <dimension ref="A1:I109"/>
  <sheetViews>
    <sheetView zoomScale="79" zoomScaleNormal="85" workbookViewId="0">
      <pane xSplit="1" ySplit="3" topLeftCell="B4" activePane="bottomRight" state="frozen"/>
      <selection pane="topRight" activeCell="B1" sqref="B1"/>
      <selection pane="bottomLeft" activeCell="A2" sqref="A2"/>
      <selection pane="bottomRight" activeCell="B5" sqref="B5:E81"/>
    </sheetView>
  </sheetViews>
  <sheetFormatPr defaultColWidth="8.75" defaultRowHeight="15.75"/>
  <cols>
    <col min="1" max="1" width="22.25" style="8" customWidth="1"/>
    <col min="2" max="2" width="23.375" style="7" customWidth="1"/>
    <col min="3" max="3" width="24.75" style="8" customWidth="1"/>
    <col min="4" max="4" width="22.625" style="8" customWidth="1"/>
    <col min="5" max="5" width="23.125" style="8" customWidth="1"/>
    <col min="6" max="6" width="19.5" style="8" customWidth="1"/>
    <col min="7" max="7" width="20.125" style="8" customWidth="1"/>
    <col min="8" max="8" width="19.75" style="8" customWidth="1"/>
    <col min="9" max="9" width="22.125" style="8" customWidth="1"/>
    <col min="10" max="16384" width="8.75" style="8"/>
  </cols>
  <sheetData>
    <row r="1" spans="1:9" ht="16.5" thickBot="1">
      <c r="A1" s="56" t="s">
        <v>80</v>
      </c>
      <c r="B1" s="57"/>
      <c r="C1" s="28"/>
      <c r="D1" s="28"/>
      <c r="E1" s="28"/>
      <c r="F1" s="28"/>
      <c r="G1" s="28"/>
      <c r="H1" s="28"/>
      <c r="I1" s="28"/>
    </row>
    <row r="2" spans="1:9">
      <c r="A2" s="58"/>
      <c r="B2" s="725" t="s">
        <v>70</v>
      </c>
      <c r="C2" s="726"/>
      <c r="D2" s="726"/>
      <c r="E2" s="727"/>
      <c r="F2" s="728" t="s">
        <v>71</v>
      </c>
      <c r="G2" s="726"/>
      <c r="H2" s="726"/>
      <c r="I2" s="727"/>
    </row>
    <row r="3" spans="1:9">
      <c r="A3" s="59" t="s">
        <v>0</v>
      </c>
      <c r="B3" s="223">
        <f>必填信息!B5</f>
        <v>0</v>
      </c>
      <c r="C3" s="223">
        <f>必填信息!B4</f>
        <v>0</v>
      </c>
      <c r="D3" s="223">
        <f>必填信息!B3</f>
        <v>0</v>
      </c>
      <c r="E3" s="222">
        <f>必填信息!B2</f>
        <v>0</v>
      </c>
      <c r="F3" s="220">
        <f>B3</f>
        <v>0</v>
      </c>
      <c r="G3" s="219">
        <f>C3</f>
        <v>0</v>
      </c>
      <c r="H3" s="219">
        <f>D3</f>
        <v>0</v>
      </c>
      <c r="I3" s="218">
        <f>E3</f>
        <v>0</v>
      </c>
    </row>
    <row r="4" spans="1:9">
      <c r="A4" s="62" t="s">
        <v>103</v>
      </c>
      <c r="B4" s="63"/>
      <c r="C4" s="63"/>
      <c r="D4" s="63"/>
      <c r="E4" s="64"/>
      <c r="F4" s="65"/>
      <c r="G4" s="45"/>
      <c r="H4" s="45"/>
      <c r="I4" s="46"/>
    </row>
    <row r="5" spans="1:9">
      <c r="A5" s="144" t="s">
        <v>149</v>
      </c>
      <c r="B5" s="72"/>
      <c r="C5" s="72"/>
      <c r="D5" s="72"/>
      <c r="E5" s="73"/>
      <c r="F5" s="74">
        <f t="shared" ref="F5:I35" si="0">B5/10000</f>
        <v>0</v>
      </c>
      <c r="G5" s="75">
        <f t="shared" si="0"/>
        <v>0</v>
      </c>
      <c r="H5" s="75">
        <f t="shared" si="0"/>
        <v>0</v>
      </c>
      <c r="I5" s="229">
        <f t="shared" si="0"/>
        <v>0</v>
      </c>
    </row>
    <row r="6" spans="1:9" ht="25.5">
      <c r="A6" s="129" t="s">
        <v>7</v>
      </c>
      <c r="B6" s="72"/>
      <c r="C6" s="72"/>
      <c r="D6" s="72"/>
      <c r="E6" s="73"/>
      <c r="F6" s="74">
        <f t="shared" si="0"/>
        <v>0</v>
      </c>
      <c r="G6" s="75">
        <f t="shared" si="0"/>
        <v>0</v>
      </c>
      <c r="H6" s="75">
        <f t="shared" si="0"/>
        <v>0</v>
      </c>
      <c r="I6" s="229">
        <f t="shared" si="0"/>
        <v>0</v>
      </c>
    </row>
    <row r="7" spans="1:9">
      <c r="A7" s="129" t="s">
        <v>8</v>
      </c>
      <c r="B7" s="72"/>
      <c r="C7" s="72"/>
      <c r="D7" s="72"/>
      <c r="E7" s="73"/>
      <c r="F7" s="74">
        <f t="shared" si="0"/>
        <v>0</v>
      </c>
      <c r="G7" s="75">
        <f t="shared" si="0"/>
        <v>0</v>
      </c>
      <c r="H7" s="75">
        <f t="shared" si="0"/>
        <v>0</v>
      </c>
      <c r="I7" s="229">
        <f t="shared" si="0"/>
        <v>0</v>
      </c>
    </row>
    <row r="8" spans="1:9" ht="15" customHeight="1">
      <c r="A8" s="71" t="s">
        <v>150</v>
      </c>
      <c r="B8" s="72"/>
      <c r="C8" s="72"/>
      <c r="D8" s="72"/>
      <c r="E8" s="73"/>
      <c r="F8" s="74">
        <f t="shared" si="0"/>
        <v>0</v>
      </c>
      <c r="G8" s="75">
        <f t="shared" si="0"/>
        <v>0</v>
      </c>
      <c r="H8" s="75">
        <f t="shared" si="0"/>
        <v>0</v>
      </c>
      <c r="I8" s="229">
        <f t="shared" si="0"/>
        <v>0</v>
      </c>
    </row>
    <row r="9" spans="1:9">
      <c r="A9" s="71" t="s">
        <v>151</v>
      </c>
      <c r="B9" s="72"/>
      <c r="C9" s="72"/>
      <c r="D9" s="72"/>
      <c r="E9" s="73"/>
      <c r="F9" s="74">
        <f t="shared" si="0"/>
        <v>0</v>
      </c>
      <c r="G9" s="75">
        <f t="shared" si="0"/>
        <v>0</v>
      </c>
      <c r="H9" s="75">
        <f t="shared" si="0"/>
        <v>0</v>
      </c>
      <c r="I9" s="229">
        <f t="shared" si="0"/>
        <v>0</v>
      </c>
    </row>
    <row r="10" spans="1:9">
      <c r="A10" s="71" t="s">
        <v>41</v>
      </c>
      <c r="B10" s="72"/>
      <c r="C10" s="72"/>
      <c r="D10" s="72"/>
      <c r="E10" s="73"/>
      <c r="F10" s="74">
        <f>B10/10000</f>
        <v>0</v>
      </c>
      <c r="G10" s="75">
        <f t="shared" si="0"/>
        <v>0</v>
      </c>
      <c r="H10" s="75">
        <f t="shared" si="0"/>
        <v>0</v>
      </c>
      <c r="I10" s="229">
        <f t="shared" si="0"/>
        <v>0</v>
      </c>
    </row>
    <row r="11" spans="1:9">
      <c r="A11" s="71" t="s">
        <v>40</v>
      </c>
      <c r="B11" s="72"/>
      <c r="C11" s="72"/>
      <c r="D11" s="72"/>
      <c r="E11" s="73"/>
      <c r="F11" s="74">
        <f t="shared" si="0"/>
        <v>0</v>
      </c>
      <c r="G11" s="75">
        <f t="shared" si="0"/>
        <v>0</v>
      </c>
      <c r="H11" s="75">
        <f t="shared" si="0"/>
        <v>0</v>
      </c>
      <c r="I11" s="229">
        <f t="shared" si="0"/>
        <v>0</v>
      </c>
    </row>
    <row r="12" spans="1:9">
      <c r="A12" s="136" t="s">
        <v>152</v>
      </c>
      <c r="B12" s="137"/>
      <c r="C12" s="137"/>
      <c r="D12" s="137"/>
      <c r="E12" s="138"/>
      <c r="F12" s="139">
        <f t="shared" si="0"/>
        <v>0</v>
      </c>
      <c r="G12" s="140">
        <f t="shared" si="0"/>
        <v>0</v>
      </c>
      <c r="H12" s="140">
        <f t="shared" si="0"/>
        <v>0</v>
      </c>
      <c r="I12" s="230">
        <f t="shared" si="0"/>
        <v>0</v>
      </c>
    </row>
    <row r="13" spans="1:9">
      <c r="A13" s="136" t="s">
        <v>757</v>
      </c>
      <c r="B13" s="137"/>
      <c r="C13" s="137"/>
      <c r="D13" s="137"/>
      <c r="E13" s="138"/>
      <c r="F13" s="139">
        <f t="shared" si="0"/>
        <v>0</v>
      </c>
      <c r="G13" s="140">
        <f t="shared" si="0"/>
        <v>0</v>
      </c>
      <c r="H13" s="140">
        <f t="shared" si="0"/>
        <v>0</v>
      </c>
      <c r="I13" s="230">
        <f t="shared" si="0"/>
        <v>0</v>
      </c>
    </row>
    <row r="14" spans="1:9">
      <c r="A14" s="136" t="s">
        <v>758</v>
      </c>
      <c r="B14" s="137"/>
      <c r="C14" s="137"/>
      <c r="D14" s="137"/>
      <c r="E14" s="138"/>
      <c r="F14" s="139">
        <f t="shared" si="0"/>
        <v>0</v>
      </c>
      <c r="G14" s="140">
        <f t="shared" si="0"/>
        <v>0</v>
      </c>
      <c r="H14" s="140">
        <f t="shared" si="0"/>
        <v>0</v>
      </c>
      <c r="I14" s="230">
        <f t="shared" si="0"/>
        <v>0</v>
      </c>
    </row>
    <row r="15" spans="1:9">
      <c r="A15" s="71" t="s">
        <v>42</v>
      </c>
      <c r="B15" s="72"/>
      <c r="C15" s="72"/>
      <c r="D15" s="72"/>
      <c r="E15" s="73"/>
      <c r="F15" s="74">
        <f t="shared" si="0"/>
        <v>0</v>
      </c>
      <c r="G15" s="75">
        <f t="shared" si="0"/>
        <v>0</v>
      </c>
      <c r="H15" s="75">
        <f t="shared" si="0"/>
        <v>0</v>
      </c>
      <c r="I15" s="229">
        <f t="shared" si="0"/>
        <v>0</v>
      </c>
    </row>
    <row r="16" spans="1:9">
      <c r="A16" s="129" t="s">
        <v>153</v>
      </c>
      <c r="B16" s="72"/>
      <c r="C16" s="72"/>
      <c r="D16" s="72"/>
      <c r="E16" s="73"/>
      <c r="F16" s="74">
        <f t="shared" si="0"/>
        <v>0</v>
      </c>
      <c r="G16" s="75">
        <f t="shared" si="0"/>
        <v>0</v>
      </c>
      <c r="H16" s="75">
        <f t="shared" si="0"/>
        <v>0</v>
      </c>
      <c r="I16" s="229">
        <f t="shared" si="0"/>
        <v>0</v>
      </c>
    </row>
    <row r="17" spans="1:9">
      <c r="A17" s="71" t="s">
        <v>154</v>
      </c>
      <c r="B17" s="72"/>
      <c r="C17" s="72"/>
      <c r="D17" s="72"/>
      <c r="E17" s="73"/>
      <c r="F17" s="74">
        <f t="shared" si="0"/>
        <v>0</v>
      </c>
      <c r="G17" s="75">
        <f t="shared" si="0"/>
        <v>0</v>
      </c>
      <c r="H17" s="75">
        <f t="shared" si="0"/>
        <v>0</v>
      </c>
      <c r="I17" s="229">
        <f t="shared" si="0"/>
        <v>0</v>
      </c>
    </row>
    <row r="18" spans="1:9">
      <c r="A18" s="71" t="s">
        <v>43</v>
      </c>
      <c r="B18" s="72"/>
      <c r="C18" s="72"/>
      <c r="D18" s="72"/>
      <c r="E18" s="73"/>
      <c r="F18" s="74">
        <f t="shared" si="0"/>
        <v>0</v>
      </c>
      <c r="G18" s="75">
        <f t="shared" si="0"/>
        <v>0</v>
      </c>
      <c r="H18" s="75">
        <f t="shared" si="0"/>
        <v>0</v>
      </c>
      <c r="I18" s="229">
        <f t="shared" si="0"/>
        <v>0</v>
      </c>
    </row>
    <row r="19" spans="1:9" s="12" customFormat="1">
      <c r="A19" s="76" t="s">
        <v>44</v>
      </c>
      <c r="B19" s="77"/>
      <c r="C19" s="77"/>
      <c r="D19" s="77"/>
      <c r="E19" s="78"/>
      <c r="F19" s="79">
        <f t="shared" si="0"/>
        <v>0</v>
      </c>
      <c r="G19" s="80">
        <f t="shared" si="0"/>
        <v>0</v>
      </c>
      <c r="H19" s="80">
        <f t="shared" si="0"/>
        <v>0</v>
      </c>
      <c r="I19" s="231">
        <f t="shared" si="0"/>
        <v>0</v>
      </c>
    </row>
    <row r="20" spans="1:9">
      <c r="A20" s="62" t="s">
        <v>104</v>
      </c>
      <c r="B20" s="84"/>
      <c r="C20" s="84"/>
      <c r="D20" s="84"/>
      <c r="E20" s="85"/>
      <c r="F20" s="74"/>
      <c r="G20" s="75"/>
      <c r="H20" s="75"/>
      <c r="I20" s="229"/>
    </row>
    <row r="21" spans="1:9">
      <c r="A21" s="71" t="s">
        <v>45</v>
      </c>
      <c r="B21" s="72"/>
      <c r="C21" s="72"/>
      <c r="D21" s="72"/>
      <c r="E21" s="73"/>
      <c r="F21" s="74">
        <f t="shared" si="0"/>
        <v>0</v>
      </c>
      <c r="G21" s="75">
        <f t="shared" si="0"/>
        <v>0</v>
      </c>
      <c r="H21" s="75">
        <f t="shared" si="0"/>
        <v>0</v>
      </c>
      <c r="I21" s="229">
        <f t="shared" si="0"/>
        <v>0</v>
      </c>
    </row>
    <row r="22" spans="1:9">
      <c r="A22" s="71" t="s">
        <v>155</v>
      </c>
      <c r="B22" s="72"/>
      <c r="C22" s="72"/>
      <c r="D22" s="72"/>
      <c r="E22" s="73"/>
      <c r="F22" s="74">
        <f t="shared" si="0"/>
        <v>0</v>
      </c>
      <c r="G22" s="75">
        <f t="shared" si="0"/>
        <v>0</v>
      </c>
      <c r="H22" s="75">
        <f t="shared" si="0"/>
        <v>0</v>
      </c>
      <c r="I22" s="229">
        <f t="shared" si="0"/>
        <v>0</v>
      </c>
    </row>
    <row r="23" spans="1:9">
      <c r="A23" s="71" t="s">
        <v>156</v>
      </c>
      <c r="B23" s="72"/>
      <c r="C23" s="72"/>
      <c r="D23" s="72"/>
      <c r="E23" s="73"/>
      <c r="F23" s="74">
        <f t="shared" si="0"/>
        <v>0</v>
      </c>
      <c r="G23" s="75">
        <f t="shared" si="0"/>
        <v>0</v>
      </c>
      <c r="H23" s="75">
        <f t="shared" si="0"/>
        <v>0</v>
      </c>
      <c r="I23" s="229">
        <f t="shared" si="0"/>
        <v>0</v>
      </c>
    </row>
    <row r="24" spans="1:9">
      <c r="A24" s="71" t="s">
        <v>46</v>
      </c>
      <c r="B24" s="72"/>
      <c r="C24" s="72"/>
      <c r="D24" s="72"/>
      <c r="E24" s="73"/>
      <c r="F24" s="74">
        <f t="shared" si="0"/>
        <v>0</v>
      </c>
      <c r="G24" s="75">
        <f t="shared" si="0"/>
        <v>0</v>
      </c>
      <c r="H24" s="75">
        <f t="shared" si="0"/>
        <v>0</v>
      </c>
      <c r="I24" s="229">
        <f t="shared" si="0"/>
        <v>0</v>
      </c>
    </row>
    <row r="25" spans="1:9">
      <c r="A25" s="71" t="s">
        <v>47</v>
      </c>
      <c r="B25" s="72"/>
      <c r="C25" s="72"/>
      <c r="D25" s="72"/>
      <c r="E25" s="73"/>
      <c r="F25" s="74">
        <f t="shared" si="0"/>
        <v>0</v>
      </c>
      <c r="G25" s="75">
        <f t="shared" si="0"/>
        <v>0</v>
      </c>
      <c r="H25" s="75">
        <f t="shared" si="0"/>
        <v>0</v>
      </c>
      <c r="I25" s="229">
        <f t="shared" si="0"/>
        <v>0</v>
      </c>
    </row>
    <row r="26" spans="1:9">
      <c r="A26" s="71" t="s">
        <v>48</v>
      </c>
      <c r="B26" s="72"/>
      <c r="C26" s="72"/>
      <c r="D26" s="72"/>
      <c r="E26" s="73"/>
      <c r="F26" s="74">
        <f t="shared" si="0"/>
        <v>0</v>
      </c>
      <c r="G26" s="75">
        <f t="shared" si="0"/>
        <v>0</v>
      </c>
      <c r="H26" s="75">
        <f t="shared" si="0"/>
        <v>0</v>
      </c>
      <c r="I26" s="229">
        <f t="shared" si="0"/>
        <v>0</v>
      </c>
    </row>
    <row r="27" spans="1:9">
      <c r="A27" s="71" t="s">
        <v>49</v>
      </c>
      <c r="B27" s="72"/>
      <c r="C27" s="72"/>
      <c r="D27" s="72"/>
      <c r="E27" s="73"/>
      <c r="F27" s="74">
        <f t="shared" si="0"/>
        <v>0</v>
      </c>
      <c r="G27" s="75">
        <f t="shared" si="0"/>
        <v>0</v>
      </c>
      <c r="H27" s="75">
        <f t="shared" si="0"/>
        <v>0</v>
      </c>
      <c r="I27" s="229">
        <f t="shared" si="0"/>
        <v>0</v>
      </c>
    </row>
    <row r="28" spans="1:9">
      <c r="A28" s="71" t="s">
        <v>157</v>
      </c>
      <c r="B28" s="72"/>
      <c r="C28" s="72"/>
      <c r="D28" s="72"/>
      <c r="E28" s="73"/>
      <c r="F28" s="74">
        <f t="shared" si="0"/>
        <v>0</v>
      </c>
      <c r="G28" s="75">
        <f t="shared" si="0"/>
        <v>0</v>
      </c>
      <c r="H28" s="75">
        <f t="shared" si="0"/>
        <v>0</v>
      </c>
      <c r="I28" s="229">
        <f t="shared" si="0"/>
        <v>0</v>
      </c>
    </row>
    <row r="29" spans="1:9">
      <c r="A29" s="71" t="s">
        <v>158</v>
      </c>
      <c r="B29" s="72"/>
      <c r="C29" s="72"/>
      <c r="D29" s="72"/>
      <c r="E29" s="73"/>
      <c r="F29" s="74">
        <f t="shared" si="0"/>
        <v>0</v>
      </c>
      <c r="G29" s="75">
        <f t="shared" si="0"/>
        <v>0</v>
      </c>
      <c r="H29" s="75">
        <f t="shared" si="0"/>
        <v>0</v>
      </c>
      <c r="I29" s="229">
        <f t="shared" si="0"/>
        <v>0</v>
      </c>
    </row>
    <row r="30" spans="1:9">
      <c r="A30" s="71" t="s">
        <v>50</v>
      </c>
      <c r="B30" s="72"/>
      <c r="C30" s="72"/>
      <c r="D30" s="72"/>
      <c r="E30" s="73"/>
      <c r="F30" s="74">
        <f t="shared" si="0"/>
        <v>0</v>
      </c>
      <c r="G30" s="75">
        <f t="shared" si="0"/>
        <v>0</v>
      </c>
      <c r="H30" s="75">
        <f t="shared" si="0"/>
        <v>0</v>
      </c>
      <c r="I30" s="229">
        <f t="shared" si="0"/>
        <v>0</v>
      </c>
    </row>
    <row r="31" spans="1:9">
      <c r="A31" s="71" t="s">
        <v>159</v>
      </c>
      <c r="B31" s="72"/>
      <c r="C31" s="72"/>
      <c r="D31" s="72"/>
      <c r="E31" s="73"/>
      <c r="F31" s="74">
        <f t="shared" si="0"/>
        <v>0</v>
      </c>
      <c r="G31" s="75">
        <f t="shared" si="0"/>
        <v>0</v>
      </c>
      <c r="H31" s="75">
        <f t="shared" si="0"/>
        <v>0</v>
      </c>
      <c r="I31" s="229">
        <f t="shared" si="0"/>
        <v>0</v>
      </c>
    </row>
    <row r="32" spans="1:9">
      <c r="A32" s="71" t="s">
        <v>160</v>
      </c>
      <c r="B32" s="72"/>
      <c r="C32" s="72"/>
      <c r="D32" s="72"/>
      <c r="E32" s="73"/>
      <c r="F32" s="74">
        <f t="shared" si="0"/>
        <v>0</v>
      </c>
      <c r="G32" s="75">
        <f t="shared" si="0"/>
        <v>0</v>
      </c>
      <c r="H32" s="75">
        <f t="shared" si="0"/>
        <v>0</v>
      </c>
      <c r="I32" s="229">
        <f t="shared" si="0"/>
        <v>0</v>
      </c>
    </row>
    <row r="33" spans="1:9">
      <c r="A33" s="71" t="s">
        <v>51</v>
      </c>
      <c r="B33" s="72"/>
      <c r="C33" s="72"/>
      <c r="D33" s="72"/>
      <c r="E33" s="73"/>
      <c r="F33" s="74">
        <f t="shared" si="0"/>
        <v>0</v>
      </c>
      <c r="G33" s="75">
        <f t="shared" si="0"/>
        <v>0</v>
      </c>
      <c r="H33" s="75">
        <f t="shared" si="0"/>
        <v>0</v>
      </c>
      <c r="I33" s="229">
        <f t="shared" si="0"/>
        <v>0</v>
      </c>
    </row>
    <row r="34" spans="1:9">
      <c r="A34" s="71" t="s">
        <v>52</v>
      </c>
      <c r="B34" s="72"/>
      <c r="C34" s="72"/>
      <c r="D34" s="72"/>
      <c r="E34" s="73"/>
      <c r="F34" s="74">
        <f t="shared" si="0"/>
        <v>0</v>
      </c>
      <c r="G34" s="75">
        <f t="shared" si="0"/>
        <v>0</v>
      </c>
      <c r="H34" s="75">
        <f t="shared" si="0"/>
        <v>0</v>
      </c>
      <c r="I34" s="229">
        <f t="shared" si="0"/>
        <v>0</v>
      </c>
    </row>
    <row r="35" spans="1:9">
      <c r="A35" s="71" t="s">
        <v>161</v>
      </c>
      <c r="B35" s="72"/>
      <c r="C35" s="72"/>
      <c r="D35" s="72"/>
      <c r="E35" s="73"/>
      <c r="F35" s="74">
        <f t="shared" si="0"/>
        <v>0</v>
      </c>
      <c r="G35" s="75">
        <f t="shared" si="0"/>
        <v>0</v>
      </c>
      <c r="H35" s="75">
        <f t="shared" si="0"/>
        <v>0</v>
      </c>
      <c r="I35" s="229">
        <f t="shared" si="0"/>
        <v>0</v>
      </c>
    </row>
    <row r="36" spans="1:9" s="12" customFormat="1">
      <c r="A36" s="76" t="s">
        <v>53</v>
      </c>
      <c r="B36" s="77"/>
      <c r="C36" s="77"/>
      <c r="D36" s="77"/>
      <c r="E36" s="78"/>
      <c r="F36" s="79">
        <f t="shared" ref="F36:I65" si="1">B36/10000</f>
        <v>0</v>
      </c>
      <c r="G36" s="80">
        <f t="shared" si="1"/>
        <v>0</v>
      </c>
      <c r="H36" s="80">
        <f t="shared" si="1"/>
        <v>0</v>
      </c>
      <c r="I36" s="231">
        <f t="shared" si="1"/>
        <v>0</v>
      </c>
    </row>
    <row r="37" spans="1:9" s="12" customFormat="1">
      <c r="A37" s="86" t="s">
        <v>54</v>
      </c>
      <c r="B37" s="77"/>
      <c r="C37" s="77"/>
      <c r="D37" s="77"/>
      <c r="E37" s="78"/>
      <c r="F37" s="79">
        <f t="shared" si="1"/>
        <v>0</v>
      </c>
      <c r="G37" s="80">
        <f t="shared" si="1"/>
        <v>0</v>
      </c>
      <c r="H37" s="80">
        <f t="shared" si="1"/>
        <v>0</v>
      </c>
      <c r="I37" s="231">
        <f t="shared" si="1"/>
        <v>0</v>
      </c>
    </row>
    <row r="38" spans="1:9">
      <c r="A38" s="62" t="s">
        <v>105</v>
      </c>
      <c r="B38" s="84"/>
      <c r="C38" s="84"/>
      <c r="D38" s="84"/>
      <c r="E38" s="85"/>
      <c r="F38" s="74"/>
      <c r="G38" s="75"/>
      <c r="H38" s="75"/>
      <c r="I38" s="229"/>
    </row>
    <row r="39" spans="1:9">
      <c r="A39" s="71" t="s">
        <v>55</v>
      </c>
      <c r="B39" s="72"/>
      <c r="C39" s="72"/>
      <c r="D39" s="72"/>
      <c r="E39" s="73"/>
      <c r="F39" s="74">
        <f t="shared" si="1"/>
        <v>0</v>
      </c>
      <c r="G39" s="75">
        <f t="shared" si="1"/>
        <v>0</v>
      </c>
      <c r="H39" s="75">
        <f t="shared" si="1"/>
        <v>0</v>
      </c>
      <c r="I39" s="229">
        <f t="shared" si="1"/>
        <v>0</v>
      </c>
    </row>
    <row r="40" spans="1:9" ht="25.5">
      <c r="A40" s="129" t="s">
        <v>9</v>
      </c>
      <c r="B40" s="72"/>
      <c r="C40" s="72"/>
      <c r="D40" s="72"/>
      <c r="E40" s="73"/>
      <c r="F40" s="74">
        <f t="shared" si="1"/>
        <v>0</v>
      </c>
      <c r="G40" s="75">
        <f t="shared" si="1"/>
        <v>0</v>
      </c>
      <c r="H40" s="75">
        <f t="shared" si="1"/>
        <v>0</v>
      </c>
      <c r="I40" s="229">
        <f t="shared" si="1"/>
        <v>0</v>
      </c>
    </row>
    <row r="41" spans="1:9">
      <c r="A41" s="129" t="s">
        <v>10</v>
      </c>
      <c r="B41" s="72"/>
      <c r="C41" s="72"/>
      <c r="D41" s="72"/>
      <c r="E41" s="73"/>
      <c r="F41" s="74">
        <f t="shared" si="1"/>
        <v>0</v>
      </c>
      <c r="G41" s="75">
        <f t="shared" si="1"/>
        <v>0</v>
      </c>
      <c r="H41" s="75">
        <f t="shared" si="1"/>
        <v>0</v>
      </c>
      <c r="I41" s="229">
        <f t="shared" si="1"/>
        <v>0</v>
      </c>
    </row>
    <row r="42" spans="1:9">
      <c r="A42" s="71" t="s">
        <v>162</v>
      </c>
      <c r="B42" s="72"/>
      <c r="C42" s="72"/>
      <c r="D42" s="72"/>
      <c r="E42" s="73"/>
      <c r="F42" s="74">
        <f t="shared" si="1"/>
        <v>0</v>
      </c>
      <c r="G42" s="75">
        <f t="shared" si="1"/>
        <v>0</v>
      </c>
      <c r="H42" s="75">
        <f t="shared" si="1"/>
        <v>0</v>
      </c>
      <c r="I42" s="229">
        <f t="shared" si="1"/>
        <v>0</v>
      </c>
    </row>
    <row r="43" spans="1:9">
      <c r="A43" s="71" t="s">
        <v>163</v>
      </c>
      <c r="B43" s="72"/>
      <c r="C43" s="72"/>
      <c r="D43" s="72"/>
      <c r="E43" s="73"/>
      <c r="F43" s="74">
        <f t="shared" si="1"/>
        <v>0</v>
      </c>
      <c r="G43" s="75">
        <f t="shared" si="1"/>
        <v>0</v>
      </c>
      <c r="H43" s="75">
        <f t="shared" si="1"/>
        <v>0</v>
      </c>
      <c r="I43" s="229">
        <f t="shared" si="1"/>
        <v>0</v>
      </c>
    </row>
    <row r="44" spans="1:9">
      <c r="A44" s="71" t="s">
        <v>56</v>
      </c>
      <c r="B44" s="72"/>
      <c r="C44" s="72"/>
      <c r="D44" s="72"/>
      <c r="E44" s="73"/>
      <c r="F44" s="74">
        <f t="shared" si="1"/>
        <v>0</v>
      </c>
      <c r="G44" s="75">
        <f t="shared" si="1"/>
        <v>0</v>
      </c>
      <c r="H44" s="75">
        <f t="shared" si="1"/>
        <v>0</v>
      </c>
      <c r="I44" s="229">
        <f t="shared" si="1"/>
        <v>0</v>
      </c>
    </row>
    <row r="45" spans="1:9">
      <c r="A45" s="71" t="s">
        <v>57</v>
      </c>
      <c r="B45" s="72"/>
      <c r="C45" s="72"/>
      <c r="D45" s="72"/>
      <c r="E45" s="73"/>
      <c r="F45" s="74">
        <f t="shared" si="1"/>
        <v>0</v>
      </c>
      <c r="G45" s="75">
        <f t="shared" si="1"/>
        <v>0</v>
      </c>
      <c r="H45" s="75">
        <f t="shared" si="1"/>
        <v>0</v>
      </c>
      <c r="I45" s="229">
        <f t="shared" si="1"/>
        <v>0</v>
      </c>
    </row>
    <row r="46" spans="1:9">
      <c r="A46" s="71" t="s">
        <v>58</v>
      </c>
      <c r="B46" s="72"/>
      <c r="C46" s="72"/>
      <c r="D46" s="72"/>
      <c r="E46" s="73"/>
      <c r="F46" s="74">
        <f t="shared" si="1"/>
        <v>0</v>
      </c>
      <c r="G46" s="75">
        <f t="shared" si="1"/>
        <v>0</v>
      </c>
      <c r="H46" s="75">
        <f t="shared" si="1"/>
        <v>0</v>
      </c>
      <c r="I46" s="229">
        <f t="shared" si="1"/>
        <v>0</v>
      </c>
    </row>
    <row r="47" spans="1:9">
      <c r="A47" s="71" t="s">
        <v>59</v>
      </c>
      <c r="B47" s="72"/>
      <c r="C47" s="72"/>
      <c r="D47" s="72"/>
      <c r="E47" s="73"/>
      <c r="F47" s="74">
        <f t="shared" si="1"/>
        <v>0</v>
      </c>
      <c r="G47" s="75">
        <f t="shared" si="1"/>
        <v>0</v>
      </c>
      <c r="H47" s="75">
        <f t="shared" si="1"/>
        <v>0</v>
      </c>
      <c r="I47" s="229">
        <f t="shared" si="1"/>
        <v>0</v>
      </c>
    </row>
    <row r="48" spans="1:9">
      <c r="A48" s="136" t="s">
        <v>164</v>
      </c>
      <c r="B48" s="137"/>
      <c r="C48" s="137"/>
      <c r="D48" s="137"/>
      <c r="E48" s="138"/>
      <c r="F48" s="139">
        <f t="shared" si="1"/>
        <v>0</v>
      </c>
      <c r="G48" s="140">
        <f t="shared" si="1"/>
        <v>0</v>
      </c>
      <c r="H48" s="140">
        <f t="shared" si="1"/>
        <v>0</v>
      </c>
      <c r="I48" s="230">
        <f t="shared" si="1"/>
        <v>0</v>
      </c>
    </row>
    <row r="49" spans="1:9">
      <c r="A49" s="136" t="s">
        <v>760</v>
      </c>
      <c r="B49" s="137"/>
      <c r="C49" s="137"/>
      <c r="D49" s="137"/>
      <c r="E49" s="138"/>
      <c r="F49" s="139">
        <f t="shared" si="1"/>
        <v>0</v>
      </c>
      <c r="G49" s="140">
        <f t="shared" si="1"/>
        <v>0</v>
      </c>
      <c r="H49" s="140">
        <f t="shared" si="1"/>
        <v>0</v>
      </c>
      <c r="I49" s="230">
        <f t="shared" si="1"/>
        <v>0</v>
      </c>
    </row>
    <row r="50" spans="1:9">
      <c r="A50" s="136" t="s">
        <v>759</v>
      </c>
      <c r="B50" s="137"/>
      <c r="C50" s="137"/>
      <c r="D50" s="137"/>
      <c r="E50" s="138"/>
      <c r="F50" s="139">
        <f t="shared" si="1"/>
        <v>0</v>
      </c>
      <c r="G50" s="140">
        <f t="shared" si="1"/>
        <v>0</v>
      </c>
      <c r="H50" s="140">
        <f t="shared" si="1"/>
        <v>0</v>
      </c>
      <c r="I50" s="230">
        <f t="shared" si="1"/>
        <v>0</v>
      </c>
    </row>
    <row r="51" spans="1:9">
      <c r="A51" s="71" t="s">
        <v>165</v>
      </c>
      <c r="B51" s="72"/>
      <c r="C51" s="72"/>
      <c r="D51" s="72"/>
      <c r="E51" s="73"/>
      <c r="F51" s="74">
        <f t="shared" si="1"/>
        <v>0</v>
      </c>
      <c r="G51" s="75">
        <f t="shared" si="1"/>
        <v>0</v>
      </c>
      <c r="H51" s="75">
        <f t="shared" si="1"/>
        <v>0</v>
      </c>
      <c r="I51" s="229">
        <f t="shared" si="1"/>
        <v>0</v>
      </c>
    </row>
    <row r="52" spans="1:9">
      <c r="A52" s="71" t="s">
        <v>60</v>
      </c>
      <c r="B52" s="72"/>
      <c r="C52" s="72"/>
      <c r="D52" s="72"/>
      <c r="E52" s="73"/>
      <c r="F52" s="74">
        <f t="shared" si="1"/>
        <v>0</v>
      </c>
      <c r="G52" s="75">
        <f t="shared" si="1"/>
        <v>0</v>
      </c>
      <c r="H52" s="75">
        <f t="shared" si="1"/>
        <v>0</v>
      </c>
      <c r="I52" s="229">
        <f t="shared" si="1"/>
        <v>0</v>
      </c>
    </row>
    <row r="53" spans="1:9">
      <c r="A53" s="71" t="s">
        <v>166</v>
      </c>
      <c r="B53" s="72"/>
      <c r="C53" s="72"/>
      <c r="D53" s="72"/>
      <c r="E53" s="73"/>
      <c r="F53" s="74">
        <f t="shared" si="1"/>
        <v>0</v>
      </c>
      <c r="G53" s="75">
        <f t="shared" si="1"/>
        <v>0</v>
      </c>
      <c r="H53" s="75">
        <f t="shared" si="1"/>
        <v>0</v>
      </c>
      <c r="I53" s="229">
        <f t="shared" si="1"/>
        <v>0</v>
      </c>
    </row>
    <row r="54" spans="1:9" s="12" customFormat="1">
      <c r="A54" s="76" t="s">
        <v>61</v>
      </c>
      <c r="B54" s="77"/>
      <c r="C54" s="77"/>
      <c r="D54" s="77"/>
      <c r="E54" s="78"/>
      <c r="F54" s="79">
        <f t="shared" si="1"/>
        <v>0</v>
      </c>
      <c r="G54" s="80">
        <f t="shared" si="1"/>
        <v>0</v>
      </c>
      <c r="H54" s="80">
        <f t="shared" si="1"/>
        <v>0</v>
      </c>
      <c r="I54" s="231">
        <f t="shared" si="1"/>
        <v>0</v>
      </c>
    </row>
    <row r="55" spans="1:9">
      <c r="A55" s="62" t="s">
        <v>106</v>
      </c>
      <c r="B55" s="84"/>
      <c r="C55" s="84"/>
      <c r="D55" s="84"/>
      <c r="E55" s="85"/>
      <c r="F55" s="74"/>
      <c r="G55" s="75"/>
      <c r="H55" s="75"/>
      <c r="I55" s="229"/>
    </row>
    <row r="56" spans="1:9">
      <c r="A56" s="71" t="s">
        <v>62</v>
      </c>
      <c r="B56" s="72"/>
      <c r="C56" s="72"/>
      <c r="D56" s="72"/>
      <c r="E56" s="73"/>
      <c r="F56" s="74">
        <f t="shared" si="1"/>
        <v>0</v>
      </c>
      <c r="G56" s="75">
        <f t="shared" si="1"/>
        <v>0</v>
      </c>
      <c r="H56" s="75">
        <f t="shared" si="1"/>
        <v>0</v>
      </c>
      <c r="I56" s="229">
        <f t="shared" si="1"/>
        <v>0</v>
      </c>
    </row>
    <row r="57" spans="1:9">
      <c r="A57" s="71" t="s">
        <v>63</v>
      </c>
      <c r="B57" s="72"/>
      <c r="C57" s="72"/>
      <c r="D57" s="72"/>
      <c r="E57" s="73"/>
      <c r="F57" s="74">
        <f t="shared" si="1"/>
        <v>0</v>
      </c>
      <c r="G57" s="75">
        <f t="shared" si="1"/>
        <v>0</v>
      </c>
      <c r="H57" s="75">
        <f t="shared" si="1"/>
        <v>0</v>
      </c>
      <c r="I57" s="229">
        <f t="shared" si="1"/>
        <v>0</v>
      </c>
    </row>
    <row r="58" spans="1:9">
      <c r="A58" s="71" t="s">
        <v>167</v>
      </c>
      <c r="B58" s="72"/>
      <c r="C58" s="72"/>
      <c r="D58" s="72"/>
      <c r="E58" s="73"/>
      <c r="F58" s="74">
        <f t="shared" si="1"/>
        <v>0</v>
      </c>
      <c r="G58" s="75">
        <f t="shared" si="1"/>
        <v>0</v>
      </c>
      <c r="H58" s="75">
        <f t="shared" si="1"/>
        <v>0</v>
      </c>
      <c r="I58" s="229">
        <f t="shared" si="1"/>
        <v>0</v>
      </c>
    </row>
    <row r="59" spans="1:9">
      <c r="A59" s="71" t="s">
        <v>1713</v>
      </c>
      <c r="B59" s="72"/>
      <c r="C59" s="72"/>
      <c r="D59" s="72"/>
      <c r="E59" s="73"/>
      <c r="F59" s="74">
        <f t="shared" si="1"/>
        <v>0</v>
      </c>
      <c r="G59" s="75">
        <f t="shared" si="1"/>
        <v>0</v>
      </c>
      <c r="H59" s="75">
        <f t="shared" si="1"/>
        <v>0</v>
      </c>
      <c r="I59" s="229">
        <f t="shared" si="1"/>
        <v>0</v>
      </c>
    </row>
    <row r="60" spans="1:9">
      <c r="A60" s="71" t="s">
        <v>64</v>
      </c>
      <c r="B60" s="72"/>
      <c r="C60" s="72"/>
      <c r="D60" s="72"/>
      <c r="E60" s="73"/>
      <c r="F60" s="74">
        <f t="shared" si="1"/>
        <v>0</v>
      </c>
      <c r="G60" s="75">
        <f t="shared" si="1"/>
        <v>0</v>
      </c>
      <c r="H60" s="75">
        <f t="shared" si="1"/>
        <v>0</v>
      </c>
      <c r="I60" s="229">
        <f t="shared" si="1"/>
        <v>0</v>
      </c>
    </row>
    <row r="61" spans="1:9">
      <c r="A61" s="71" t="s">
        <v>169</v>
      </c>
      <c r="B61" s="72"/>
      <c r="C61" s="72"/>
      <c r="D61" s="72"/>
      <c r="E61" s="73"/>
      <c r="F61" s="74">
        <f t="shared" si="1"/>
        <v>0</v>
      </c>
      <c r="G61" s="75">
        <f t="shared" si="1"/>
        <v>0</v>
      </c>
      <c r="H61" s="75">
        <f t="shared" si="1"/>
        <v>0</v>
      </c>
      <c r="I61" s="229">
        <f t="shared" si="1"/>
        <v>0</v>
      </c>
    </row>
    <row r="62" spans="1:9">
      <c r="A62" s="71" t="s">
        <v>1712</v>
      </c>
      <c r="B62" s="72"/>
      <c r="C62" s="72"/>
      <c r="D62" s="72"/>
      <c r="E62" s="73"/>
      <c r="F62" s="74">
        <f t="shared" si="1"/>
        <v>0</v>
      </c>
      <c r="G62" s="75">
        <f t="shared" si="1"/>
        <v>0</v>
      </c>
      <c r="H62" s="75">
        <f t="shared" si="1"/>
        <v>0</v>
      </c>
      <c r="I62" s="229">
        <f t="shared" si="1"/>
        <v>0</v>
      </c>
    </row>
    <row r="63" spans="1:9">
      <c r="A63" s="71" t="s">
        <v>170</v>
      </c>
      <c r="B63" s="72"/>
      <c r="C63" s="72"/>
      <c r="D63" s="72"/>
      <c r="E63" s="73"/>
      <c r="F63" s="74">
        <f t="shared" si="1"/>
        <v>0</v>
      </c>
      <c r="G63" s="75">
        <f t="shared" si="1"/>
        <v>0</v>
      </c>
      <c r="H63" s="75">
        <f t="shared" si="1"/>
        <v>0</v>
      </c>
      <c r="I63" s="229">
        <f t="shared" si="1"/>
        <v>0</v>
      </c>
    </row>
    <row r="64" spans="1:9">
      <c r="A64" s="71" t="s">
        <v>171</v>
      </c>
      <c r="B64" s="72"/>
      <c r="C64" s="72"/>
      <c r="D64" s="72"/>
      <c r="E64" s="73"/>
      <c r="F64" s="74">
        <f t="shared" si="1"/>
        <v>0</v>
      </c>
      <c r="G64" s="75">
        <f t="shared" si="1"/>
        <v>0</v>
      </c>
      <c r="H64" s="75">
        <f t="shared" si="1"/>
        <v>0</v>
      </c>
      <c r="I64" s="229">
        <f t="shared" si="1"/>
        <v>0</v>
      </c>
    </row>
    <row r="65" spans="1:9">
      <c r="A65" s="71" t="s">
        <v>172</v>
      </c>
      <c r="B65" s="72"/>
      <c r="C65" s="72"/>
      <c r="D65" s="72"/>
      <c r="E65" s="73"/>
      <c r="F65" s="74">
        <f t="shared" si="1"/>
        <v>0</v>
      </c>
      <c r="G65" s="75">
        <f t="shared" si="1"/>
        <v>0</v>
      </c>
      <c r="H65" s="75">
        <f t="shared" si="1"/>
        <v>0</v>
      </c>
      <c r="I65" s="229">
        <f t="shared" si="1"/>
        <v>0</v>
      </c>
    </row>
    <row r="66" spans="1:9">
      <c r="A66" s="71" t="s">
        <v>173</v>
      </c>
      <c r="B66" s="72"/>
      <c r="C66" s="72"/>
      <c r="D66" s="72"/>
      <c r="E66" s="73"/>
      <c r="F66" s="74">
        <f t="shared" ref="F66:I81" si="2">B66/10000</f>
        <v>0</v>
      </c>
      <c r="G66" s="75">
        <f t="shared" si="2"/>
        <v>0</v>
      </c>
      <c r="H66" s="75">
        <f t="shared" si="2"/>
        <v>0</v>
      </c>
      <c r="I66" s="229">
        <f t="shared" si="2"/>
        <v>0</v>
      </c>
    </row>
    <row r="67" spans="1:9" s="12" customFormat="1">
      <c r="A67" s="76" t="s">
        <v>65</v>
      </c>
      <c r="B67" s="77"/>
      <c r="C67" s="77"/>
      <c r="D67" s="77"/>
      <c r="E67" s="78"/>
      <c r="F67" s="79">
        <f t="shared" si="2"/>
        <v>0</v>
      </c>
      <c r="G67" s="80">
        <f t="shared" si="2"/>
        <v>0</v>
      </c>
      <c r="H67" s="80">
        <f t="shared" si="2"/>
        <v>0</v>
      </c>
      <c r="I67" s="231">
        <f t="shared" si="2"/>
        <v>0</v>
      </c>
    </row>
    <row r="68" spans="1:9" s="12" customFormat="1">
      <c r="A68" s="76" t="s">
        <v>66</v>
      </c>
      <c r="B68" s="77"/>
      <c r="C68" s="77"/>
      <c r="D68" s="77"/>
      <c r="E68" s="78"/>
      <c r="F68" s="79">
        <f t="shared" si="2"/>
        <v>0</v>
      </c>
      <c r="G68" s="80">
        <f t="shared" si="2"/>
        <v>0</v>
      </c>
      <c r="H68" s="80">
        <f t="shared" si="2"/>
        <v>0</v>
      </c>
      <c r="I68" s="231">
        <f t="shared" si="2"/>
        <v>0</v>
      </c>
    </row>
    <row r="69" spans="1:9">
      <c r="A69" s="62" t="s">
        <v>107</v>
      </c>
      <c r="B69" s="84"/>
      <c r="C69" s="84"/>
      <c r="D69" s="84"/>
      <c r="E69" s="85"/>
      <c r="F69" s="74"/>
      <c r="G69" s="75"/>
      <c r="H69" s="75"/>
      <c r="I69" s="229"/>
    </row>
    <row r="70" spans="1:9">
      <c r="A70" s="71" t="s">
        <v>174</v>
      </c>
      <c r="B70" s="72"/>
      <c r="C70" s="72"/>
      <c r="D70" s="72"/>
      <c r="E70" s="73"/>
      <c r="F70" s="74">
        <f t="shared" si="2"/>
        <v>0</v>
      </c>
      <c r="G70" s="75">
        <f t="shared" si="2"/>
        <v>0</v>
      </c>
      <c r="H70" s="75">
        <f t="shared" si="2"/>
        <v>0</v>
      </c>
      <c r="I70" s="229">
        <f t="shared" si="2"/>
        <v>0</v>
      </c>
    </row>
    <row r="71" spans="1:9">
      <c r="A71" s="71" t="s">
        <v>175</v>
      </c>
      <c r="B71" s="72"/>
      <c r="C71" s="72"/>
      <c r="D71" s="72"/>
      <c r="E71" s="73"/>
      <c r="F71" s="74">
        <f t="shared" si="2"/>
        <v>0</v>
      </c>
      <c r="G71" s="75">
        <f t="shared" si="2"/>
        <v>0</v>
      </c>
      <c r="H71" s="75">
        <f t="shared" si="2"/>
        <v>0</v>
      </c>
      <c r="I71" s="229">
        <f t="shared" si="2"/>
        <v>0</v>
      </c>
    </row>
    <row r="72" spans="1:9">
      <c r="A72" s="71" t="s">
        <v>167</v>
      </c>
      <c r="B72" s="72"/>
      <c r="C72" s="72"/>
      <c r="D72" s="72"/>
      <c r="E72" s="73"/>
      <c r="F72" s="74">
        <f t="shared" si="2"/>
        <v>0</v>
      </c>
      <c r="G72" s="75">
        <f t="shared" si="2"/>
        <v>0</v>
      </c>
      <c r="H72" s="75">
        <f t="shared" si="2"/>
        <v>0</v>
      </c>
      <c r="I72" s="229">
        <f t="shared" si="2"/>
        <v>0</v>
      </c>
    </row>
    <row r="73" spans="1:9">
      <c r="A73" s="71" t="s">
        <v>168</v>
      </c>
      <c r="B73" s="72"/>
      <c r="C73" s="72"/>
      <c r="D73" s="72"/>
      <c r="E73" s="73"/>
      <c r="F73" s="74">
        <f t="shared" si="2"/>
        <v>0</v>
      </c>
      <c r="G73" s="75">
        <f t="shared" si="2"/>
        <v>0</v>
      </c>
      <c r="H73" s="75">
        <f t="shared" si="2"/>
        <v>0</v>
      </c>
      <c r="I73" s="229">
        <f t="shared" si="2"/>
        <v>0</v>
      </c>
    </row>
    <row r="74" spans="1:9">
      <c r="A74" s="71" t="s">
        <v>176</v>
      </c>
      <c r="B74" s="72"/>
      <c r="C74" s="72"/>
      <c r="D74" s="72"/>
      <c r="E74" s="73"/>
      <c r="F74" s="74">
        <f t="shared" si="2"/>
        <v>0</v>
      </c>
      <c r="G74" s="75">
        <f t="shared" si="2"/>
        <v>0</v>
      </c>
      <c r="H74" s="75">
        <f t="shared" si="2"/>
        <v>0</v>
      </c>
      <c r="I74" s="229">
        <f t="shared" si="2"/>
        <v>0</v>
      </c>
    </row>
    <row r="75" spans="1:9">
      <c r="A75" s="71" t="s">
        <v>177</v>
      </c>
      <c r="B75" s="72"/>
      <c r="C75" s="72"/>
      <c r="D75" s="72"/>
      <c r="E75" s="73"/>
      <c r="F75" s="74">
        <f t="shared" si="2"/>
        <v>0</v>
      </c>
      <c r="G75" s="75">
        <f t="shared" si="2"/>
        <v>0</v>
      </c>
      <c r="H75" s="75">
        <f t="shared" si="2"/>
        <v>0</v>
      </c>
      <c r="I75" s="229">
        <f t="shared" si="2"/>
        <v>0</v>
      </c>
    </row>
    <row r="76" spans="1:9">
      <c r="A76" s="71" t="s">
        <v>178</v>
      </c>
      <c r="B76" s="72"/>
      <c r="C76" s="72"/>
      <c r="D76" s="72"/>
      <c r="E76" s="73"/>
      <c r="F76" s="74">
        <f t="shared" si="2"/>
        <v>0</v>
      </c>
      <c r="G76" s="75">
        <f t="shared" si="2"/>
        <v>0</v>
      </c>
      <c r="H76" s="75">
        <f t="shared" si="2"/>
        <v>0</v>
      </c>
      <c r="I76" s="229">
        <f t="shared" si="2"/>
        <v>0</v>
      </c>
    </row>
    <row r="77" spans="1:9">
      <c r="A77" s="71" t="s">
        <v>179</v>
      </c>
      <c r="B77" s="72"/>
      <c r="C77" s="72"/>
      <c r="D77" s="72"/>
      <c r="E77" s="73"/>
      <c r="F77" s="74">
        <f t="shared" si="2"/>
        <v>0</v>
      </c>
      <c r="G77" s="75">
        <f t="shared" si="2"/>
        <v>0</v>
      </c>
      <c r="H77" s="75">
        <f t="shared" si="2"/>
        <v>0</v>
      </c>
      <c r="I77" s="229">
        <f t="shared" si="2"/>
        <v>0</v>
      </c>
    </row>
    <row r="78" spans="1:9">
      <c r="A78" s="71" t="s">
        <v>180</v>
      </c>
      <c r="B78" s="72"/>
      <c r="C78" s="72"/>
      <c r="D78" s="72"/>
      <c r="E78" s="73"/>
      <c r="F78" s="74">
        <f t="shared" si="2"/>
        <v>0</v>
      </c>
      <c r="G78" s="75">
        <f t="shared" si="2"/>
        <v>0</v>
      </c>
      <c r="H78" s="75">
        <f t="shared" si="2"/>
        <v>0</v>
      </c>
      <c r="I78" s="229">
        <f t="shared" si="2"/>
        <v>0</v>
      </c>
    </row>
    <row r="79" spans="1:9">
      <c r="A79" s="71" t="s">
        <v>181</v>
      </c>
      <c r="B79" s="72"/>
      <c r="C79" s="72"/>
      <c r="D79" s="72"/>
      <c r="E79" s="73"/>
      <c r="F79" s="74">
        <f t="shared" si="2"/>
        <v>0</v>
      </c>
      <c r="G79" s="75">
        <f t="shared" si="2"/>
        <v>0</v>
      </c>
      <c r="H79" s="75">
        <f t="shared" si="2"/>
        <v>0</v>
      </c>
      <c r="I79" s="229">
        <f t="shared" si="2"/>
        <v>0</v>
      </c>
    </row>
    <row r="80" spans="1:9" s="12" customFormat="1">
      <c r="A80" s="93" t="s">
        <v>184</v>
      </c>
      <c r="B80" s="77"/>
      <c r="C80" s="77"/>
      <c r="D80" s="77"/>
      <c r="E80" s="78"/>
      <c r="F80" s="94">
        <f t="shared" si="2"/>
        <v>0</v>
      </c>
      <c r="G80" s="95">
        <f t="shared" si="2"/>
        <v>0</v>
      </c>
      <c r="H80" s="95">
        <f t="shared" si="2"/>
        <v>0</v>
      </c>
      <c r="I80" s="231">
        <f t="shared" si="2"/>
        <v>0</v>
      </c>
    </row>
    <row r="81" spans="1:9" s="12" customFormat="1" ht="16.5" thickBot="1">
      <c r="A81" s="96" t="s">
        <v>185</v>
      </c>
      <c r="B81" s="97"/>
      <c r="C81" s="97"/>
      <c r="D81" s="97"/>
      <c r="E81" s="98"/>
      <c r="F81" s="99">
        <f t="shared" si="2"/>
        <v>0</v>
      </c>
      <c r="G81" s="100">
        <f t="shared" si="2"/>
        <v>0</v>
      </c>
      <c r="H81" s="100">
        <f t="shared" si="2"/>
        <v>0</v>
      </c>
      <c r="I81" s="232">
        <f t="shared" si="2"/>
        <v>0</v>
      </c>
    </row>
    <row r="82" spans="1:9">
      <c r="F82" s="13"/>
    </row>
    <row r="83" spans="1:9">
      <c r="F83" s="13"/>
      <c r="G83" s="13"/>
    </row>
    <row r="84" spans="1:9">
      <c r="A84" s="3" t="s">
        <v>12</v>
      </c>
      <c r="B84" s="4"/>
      <c r="C84" s="5"/>
      <c r="D84" s="5"/>
      <c r="E84" s="5"/>
      <c r="F84" s="5"/>
      <c r="G84" s="5"/>
      <c r="H84" s="5"/>
      <c r="I84" s="5"/>
    </row>
    <row r="85" spans="1:9">
      <c r="A85" s="5" t="s">
        <v>13</v>
      </c>
      <c r="B85" s="4">
        <f>SUM(B5:B18)-B12-B13-B14-B19</f>
        <v>0</v>
      </c>
      <c r="C85" s="4">
        <f t="shared" ref="C85:I85" si="3">SUM(C5:C18)-C12-C13-C14-C19</f>
        <v>0</v>
      </c>
      <c r="D85" s="4">
        <f t="shared" si="3"/>
        <v>0</v>
      </c>
      <c r="E85" s="4">
        <f t="shared" si="3"/>
        <v>0</v>
      </c>
      <c r="F85" s="4">
        <f t="shared" si="3"/>
        <v>0</v>
      </c>
      <c r="G85" s="4">
        <f t="shared" si="3"/>
        <v>0</v>
      </c>
      <c r="H85" s="4">
        <f t="shared" si="3"/>
        <v>0</v>
      </c>
      <c r="I85" s="4">
        <f t="shared" si="3"/>
        <v>0</v>
      </c>
    </row>
    <row r="86" spans="1:9">
      <c r="A86" s="5" t="s">
        <v>14</v>
      </c>
      <c r="B86" s="4">
        <f>SUM(B21:B35)-B36</f>
        <v>0</v>
      </c>
      <c r="C86" s="4">
        <f t="shared" ref="C86:I86" si="4">SUM(C21:C35)-C36</f>
        <v>0</v>
      </c>
      <c r="D86" s="4">
        <f t="shared" si="4"/>
        <v>0</v>
      </c>
      <c r="E86" s="4">
        <f t="shared" si="4"/>
        <v>0</v>
      </c>
      <c r="F86" s="4">
        <f t="shared" si="4"/>
        <v>0</v>
      </c>
      <c r="G86" s="4">
        <f t="shared" si="4"/>
        <v>0</v>
      </c>
      <c r="H86" s="4">
        <f t="shared" si="4"/>
        <v>0</v>
      </c>
      <c r="I86" s="4">
        <f t="shared" si="4"/>
        <v>0</v>
      </c>
    </row>
    <row r="87" spans="1:9">
      <c r="A87" s="5" t="s">
        <v>15</v>
      </c>
      <c r="B87" s="4">
        <f t="shared" ref="B87" si="5">B19+B36-B37</f>
        <v>0</v>
      </c>
      <c r="C87" s="4">
        <f t="shared" ref="C87:I87" si="6">C19+C36-C37</f>
        <v>0</v>
      </c>
      <c r="D87" s="4">
        <f t="shared" si="6"/>
        <v>0</v>
      </c>
      <c r="E87" s="4">
        <f t="shared" si="6"/>
        <v>0</v>
      </c>
      <c r="F87" s="4">
        <f t="shared" si="6"/>
        <v>0</v>
      </c>
      <c r="G87" s="4">
        <f t="shared" si="6"/>
        <v>0</v>
      </c>
      <c r="H87" s="4">
        <f t="shared" si="6"/>
        <v>0</v>
      </c>
      <c r="I87" s="4">
        <f t="shared" si="6"/>
        <v>0</v>
      </c>
    </row>
    <row r="88" spans="1:9">
      <c r="A88" s="5" t="s">
        <v>16</v>
      </c>
      <c r="B88" s="4">
        <f>SUM(B39:B53)-B48-B49-B50-B54</f>
        <v>0</v>
      </c>
      <c r="C88" s="4">
        <f t="shared" ref="C88:I88" si="7">SUM(C39:C53)-C48-C49-C50-C54</f>
        <v>0</v>
      </c>
      <c r="D88" s="4">
        <f t="shared" si="7"/>
        <v>0</v>
      </c>
      <c r="E88" s="4">
        <f t="shared" si="7"/>
        <v>0</v>
      </c>
      <c r="F88" s="4">
        <f t="shared" si="7"/>
        <v>0</v>
      </c>
      <c r="G88" s="4">
        <f t="shared" si="7"/>
        <v>0</v>
      </c>
      <c r="H88" s="4">
        <f t="shared" si="7"/>
        <v>0</v>
      </c>
      <c r="I88" s="4">
        <f t="shared" si="7"/>
        <v>0</v>
      </c>
    </row>
    <row r="89" spans="1:9">
      <c r="A89" s="5" t="s">
        <v>17</v>
      </c>
      <c r="B89" s="4">
        <f>SUM(B56:B66)-B58-B59-B61-B62-B67</f>
        <v>0</v>
      </c>
      <c r="C89" s="4">
        <f>SUM(C56:C66)-C58-C59-C61-C62-C67</f>
        <v>0</v>
      </c>
      <c r="D89" s="4">
        <f t="shared" ref="D89:I89" si="8">SUM(D56:D66)-D58-D59-D61-D62-D67</f>
        <v>0</v>
      </c>
      <c r="E89" s="4">
        <f t="shared" si="8"/>
        <v>0</v>
      </c>
      <c r="F89" s="4">
        <f t="shared" si="8"/>
        <v>0</v>
      </c>
      <c r="G89" s="4">
        <f t="shared" si="8"/>
        <v>0</v>
      </c>
      <c r="H89" s="4">
        <f t="shared" si="8"/>
        <v>0</v>
      </c>
      <c r="I89" s="4">
        <f t="shared" si="8"/>
        <v>0</v>
      </c>
    </row>
    <row r="90" spans="1:9">
      <c r="A90" s="5" t="s">
        <v>18</v>
      </c>
      <c r="B90" s="4">
        <f t="shared" ref="B90" si="9">B54+B67-B68</f>
        <v>0</v>
      </c>
      <c r="C90" s="4">
        <f t="shared" ref="C90:I90" si="10">C54+C67-C68</f>
        <v>0</v>
      </c>
      <c r="D90" s="4">
        <f t="shared" si="10"/>
        <v>0</v>
      </c>
      <c r="E90" s="4">
        <f t="shared" si="10"/>
        <v>0</v>
      </c>
      <c r="F90" s="4">
        <f t="shared" si="10"/>
        <v>0</v>
      </c>
      <c r="G90" s="4">
        <f t="shared" si="10"/>
        <v>0</v>
      </c>
      <c r="H90" s="4">
        <f t="shared" si="10"/>
        <v>0</v>
      </c>
      <c r="I90" s="4">
        <f t="shared" si="10"/>
        <v>0</v>
      </c>
    </row>
    <row r="91" spans="1:9">
      <c r="A91" s="5" t="s">
        <v>19</v>
      </c>
      <c r="B91" s="4">
        <f>B70+B71+B74+-B75+B76+B77+B78+B79-B80</f>
        <v>0</v>
      </c>
      <c r="C91" s="4">
        <f t="shared" ref="C91:I91" si="11">C70+C71+C74+-C75+C76+C77+C78+C79-C80</f>
        <v>0</v>
      </c>
      <c r="D91" s="4">
        <f t="shared" si="11"/>
        <v>0</v>
      </c>
      <c r="E91" s="4">
        <f t="shared" si="11"/>
        <v>0</v>
      </c>
      <c r="F91" s="4">
        <f t="shared" si="11"/>
        <v>0</v>
      </c>
      <c r="G91" s="4">
        <f t="shared" si="11"/>
        <v>0</v>
      </c>
      <c r="H91" s="4">
        <f t="shared" si="11"/>
        <v>0</v>
      </c>
      <c r="I91" s="4">
        <f t="shared" si="11"/>
        <v>0</v>
      </c>
    </row>
    <row r="92" spans="1:9">
      <c r="A92" s="5" t="s">
        <v>20</v>
      </c>
      <c r="B92" s="4">
        <f t="shared" ref="B92" si="12">B37-B81</f>
        <v>0</v>
      </c>
      <c r="C92" s="4">
        <f t="shared" ref="C92:I92" si="13">C37-C81</f>
        <v>0</v>
      </c>
      <c r="D92" s="4">
        <f t="shared" si="13"/>
        <v>0</v>
      </c>
      <c r="E92" s="4">
        <f t="shared" si="13"/>
        <v>0</v>
      </c>
      <c r="F92" s="4">
        <f t="shared" si="13"/>
        <v>0</v>
      </c>
      <c r="G92" s="4">
        <f t="shared" si="13"/>
        <v>0</v>
      </c>
      <c r="H92" s="4">
        <f t="shared" si="13"/>
        <v>0</v>
      </c>
      <c r="I92" s="4">
        <f t="shared" si="13"/>
        <v>0</v>
      </c>
    </row>
    <row r="96" spans="1:9">
      <c r="F96" s="14"/>
      <c r="G96" s="7"/>
    </row>
    <row r="97" spans="6:7">
      <c r="F97" s="15"/>
      <c r="G97" s="7"/>
    </row>
    <row r="98" spans="6:7">
      <c r="F98" s="14"/>
    </row>
    <row r="100" spans="6:7">
      <c r="F100" s="14"/>
    </row>
    <row r="101" spans="6:7">
      <c r="F101" s="16"/>
    </row>
    <row r="104" spans="6:7">
      <c r="F104" s="14"/>
    </row>
    <row r="105" spans="6:7">
      <c r="F105" s="7"/>
      <c r="G105" s="7"/>
    </row>
    <row r="108" spans="6:7">
      <c r="F108" s="14"/>
    </row>
    <row r="109" spans="6:7">
      <c r="F109" s="7"/>
      <c r="G109" s="7"/>
    </row>
  </sheetData>
  <mergeCells count="2">
    <mergeCell ref="B2:E2"/>
    <mergeCell ref="F2:I2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4B298-6A7A-4A99-B638-862F35263599}">
  <sheetPr codeName="Sheet12">
    <tabColor theme="9" tint="0.79998168889431442"/>
  </sheetPr>
  <dimension ref="A1:L45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2" sqref="A2"/>
      <selection pane="bottomRight" activeCell="B4" sqref="B4:E38"/>
    </sheetView>
  </sheetViews>
  <sheetFormatPr defaultColWidth="8.75" defaultRowHeight="15.75"/>
  <cols>
    <col min="1" max="1" width="38.75" style="8" customWidth="1"/>
    <col min="2" max="2" width="21.5" style="8" customWidth="1"/>
    <col min="3" max="3" width="22" style="8" customWidth="1"/>
    <col min="4" max="4" width="24.75" style="8" customWidth="1"/>
    <col min="5" max="5" width="23.75" style="8" customWidth="1"/>
    <col min="6" max="6" width="18.125" style="8" customWidth="1"/>
    <col min="7" max="7" width="16.75" style="8" customWidth="1"/>
    <col min="8" max="8" width="17.25" style="8" customWidth="1"/>
    <col min="9" max="9" width="16.875" style="8" customWidth="1"/>
    <col min="10" max="12" width="10.5" style="8" bestFit="1" customWidth="1"/>
    <col min="13" max="16384" width="8.75" style="8"/>
  </cols>
  <sheetData>
    <row r="1" spans="1:12" ht="16.5" thickBot="1">
      <c r="A1" s="27" t="s">
        <v>80</v>
      </c>
      <c r="B1" s="28"/>
      <c r="C1" s="28"/>
      <c r="D1" s="28"/>
      <c r="E1" s="28"/>
      <c r="F1" s="28"/>
      <c r="G1" s="28"/>
      <c r="H1" s="28"/>
      <c r="I1" s="28"/>
    </row>
    <row r="2" spans="1:12">
      <c r="A2" s="29"/>
      <c r="B2" s="657" t="s">
        <v>70</v>
      </c>
      <c r="C2" s="657"/>
      <c r="D2" s="657"/>
      <c r="E2" s="653"/>
      <c r="F2" s="735" t="s">
        <v>71</v>
      </c>
      <c r="G2" s="657"/>
      <c r="H2" s="657"/>
      <c r="I2" s="653"/>
    </row>
    <row r="3" spans="1:12">
      <c r="A3" s="221" t="s">
        <v>81</v>
      </c>
      <c r="B3" s="31">
        <f>'母公司资产负债表  '!B3</f>
        <v>0</v>
      </c>
      <c r="C3" s="31">
        <f>'母公司资产负债表  '!C3</f>
        <v>0</v>
      </c>
      <c r="D3" s="31">
        <f>'母公司资产负债表  '!D3</f>
        <v>0</v>
      </c>
      <c r="E3" s="31">
        <f>'母公司资产负债表  '!E3</f>
        <v>0</v>
      </c>
      <c r="F3" s="33">
        <f>B3</f>
        <v>0</v>
      </c>
      <c r="G3" s="31">
        <f t="shared" ref="G3:I3" si="0">C3</f>
        <v>0</v>
      </c>
      <c r="H3" s="31">
        <f t="shared" si="0"/>
        <v>0</v>
      </c>
      <c r="I3" s="32">
        <f t="shared" si="0"/>
        <v>0</v>
      </c>
    </row>
    <row r="4" spans="1:12" s="12" customFormat="1">
      <c r="A4" s="148" t="s">
        <v>206</v>
      </c>
      <c r="B4" s="36"/>
      <c r="C4" s="36"/>
      <c r="D4" s="36"/>
      <c r="E4" s="37"/>
      <c r="F4" s="38">
        <f t="shared" ref="F4:I38" si="1">B4/10000</f>
        <v>0</v>
      </c>
      <c r="G4" s="39">
        <f t="shared" si="1"/>
        <v>0</v>
      </c>
      <c r="H4" s="39">
        <f t="shared" si="1"/>
        <v>0</v>
      </c>
      <c r="I4" s="40">
        <f t="shared" si="1"/>
        <v>0</v>
      </c>
    </row>
    <row r="5" spans="1:12">
      <c r="A5" s="145" t="s">
        <v>187</v>
      </c>
      <c r="B5" s="42"/>
      <c r="C5" s="42"/>
      <c r="D5" s="42"/>
      <c r="E5" s="43"/>
      <c r="F5" s="44">
        <f t="shared" si="1"/>
        <v>0</v>
      </c>
      <c r="G5" s="45">
        <f t="shared" si="1"/>
        <v>0</v>
      </c>
      <c r="H5" s="45">
        <f t="shared" si="1"/>
        <v>0</v>
      </c>
      <c r="I5" s="46">
        <f t="shared" si="1"/>
        <v>0</v>
      </c>
    </row>
    <row r="6" spans="1:12">
      <c r="A6" s="41" t="s">
        <v>188</v>
      </c>
      <c r="B6" s="42"/>
      <c r="C6" s="42"/>
      <c r="D6" s="42"/>
      <c r="E6" s="43"/>
      <c r="F6" s="44">
        <f t="shared" si="1"/>
        <v>0</v>
      </c>
      <c r="G6" s="45">
        <f t="shared" si="1"/>
        <v>0</v>
      </c>
      <c r="H6" s="45">
        <f t="shared" si="1"/>
        <v>0</v>
      </c>
      <c r="I6" s="46">
        <f t="shared" si="1"/>
        <v>0</v>
      </c>
    </row>
    <row r="7" spans="1:12">
      <c r="A7" s="41" t="s">
        <v>189</v>
      </c>
      <c r="B7" s="42"/>
      <c r="C7" s="42"/>
      <c r="D7" s="42"/>
      <c r="E7" s="43"/>
      <c r="F7" s="44">
        <f t="shared" si="1"/>
        <v>0</v>
      </c>
      <c r="G7" s="45">
        <f t="shared" si="1"/>
        <v>0</v>
      </c>
      <c r="H7" s="45">
        <f t="shared" si="1"/>
        <v>0</v>
      </c>
      <c r="I7" s="46">
        <f t="shared" si="1"/>
        <v>0</v>
      </c>
    </row>
    <row r="8" spans="1:12">
      <c r="A8" s="41" t="s">
        <v>190</v>
      </c>
      <c r="B8" s="42"/>
      <c r="C8" s="42"/>
      <c r="D8" s="42"/>
      <c r="E8" s="43"/>
      <c r="F8" s="44">
        <f t="shared" si="1"/>
        <v>0</v>
      </c>
      <c r="G8" s="45">
        <f t="shared" si="1"/>
        <v>0</v>
      </c>
      <c r="H8" s="45">
        <f t="shared" si="1"/>
        <v>0</v>
      </c>
      <c r="I8" s="46">
        <f t="shared" si="1"/>
        <v>0</v>
      </c>
    </row>
    <row r="9" spans="1:12">
      <c r="A9" s="41" t="s">
        <v>191</v>
      </c>
      <c r="B9" s="42"/>
      <c r="C9" s="42"/>
      <c r="D9" s="42"/>
      <c r="E9" s="43"/>
      <c r="F9" s="44">
        <f t="shared" si="1"/>
        <v>0</v>
      </c>
      <c r="G9" s="45">
        <f t="shared" si="1"/>
        <v>0</v>
      </c>
      <c r="H9" s="45">
        <f t="shared" si="1"/>
        <v>0</v>
      </c>
      <c r="I9" s="46">
        <f t="shared" si="1"/>
        <v>0</v>
      </c>
    </row>
    <row r="10" spans="1:12">
      <c r="A10" s="41" t="s">
        <v>192</v>
      </c>
      <c r="B10" s="42"/>
      <c r="C10" s="42"/>
      <c r="D10" s="42"/>
      <c r="E10" s="43"/>
      <c r="F10" s="44">
        <f t="shared" si="1"/>
        <v>0</v>
      </c>
      <c r="G10" s="45">
        <f t="shared" si="1"/>
        <v>0</v>
      </c>
      <c r="H10" s="45">
        <f t="shared" si="1"/>
        <v>0</v>
      </c>
      <c r="I10" s="46">
        <f t="shared" si="1"/>
        <v>0</v>
      </c>
    </row>
    <row r="11" spans="1:12">
      <c r="A11" s="41" t="s">
        <v>193</v>
      </c>
      <c r="B11" s="42"/>
      <c r="C11" s="42"/>
      <c r="D11" s="42"/>
      <c r="E11" s="43"/>
      <c r="F11" s="44">
        <f t="shared" si="1"/>
        <v>0</v>
      </c>
      <c r="G11" s="45">
        <f t="shared" si="1"/>
        <v>0</v>
      </c>
      <c r="H11" s="45">
        <f t="shared" si="1"/>
        <v>0</v>
      </c>
      <c r="I11" s="46">
        <f t="shared" si="1"/>
        <v>0</v>
      </c>
      <c r="J11" s="7"/>
      <c r="K11" s="7"/>
      <c r="L11" s="7"/>
    </row>
    <row r="12" spans="1:12">
      <c r="A12" s="41" t="s">
        <v>194</v>
      </c>
      <c r="B12" s="42"/>
      <c r="C12" s="42"/>
      <c r="D12" s="42"/>
      <c r="E12" s="43"/>
      <c r="F12" s="44">
        <f t="shared" si="1"/>
        <v>0</v>
      </c>
      <c r="G12" s="45">
        <f t="shared" si="1"/>
        <v>0</v>
      </c>
      <c r="H12" s="45">
        <f t="shared" si="1"/>
        <v>0</v>
      </c>
      <c r="I12" s="46">
        <f t="shared" si="1"/>
        <v>0</v>
      </c>
    </row>
    <row r="13" spans="1:12">
      <c r="A13" s="41" t="s">
        <v>195</v>
      </c>
      <c r="B13" s="42"/>
      <c r="C13" s="42"/>
      <c r="D13" s="42"/>
      <c r="E13" s="43"/>
      <c r="F13" s="44">
        <f t="shared" si="1"/>
        <v>0</v>
      </c>
      <c r="G13" s="45">
        <f t="shared" si="1"/>
        <v>0</v>
      </c>
      <c r="H13" s="45">
        <f t="shared" si="1"/>
        <v>0</v>
      </c>
      <c r="I13" s="46">
        <f t="shared" si="1"/>
        <v>0</v>
      </c>
      <c r="J13" s="7"/>
      <c r="K13" s="7"/>
      <c r="L13" s="7"/>
    </row>
    <row r="14" spans="1:12">
      <c r="A14" s="41" t="s">
        <v>196</v>
      </c>
      <c r="B14" s="42"/>
      <c r="C14" s="42"/>
      <c r="D14" s="42"/>
      <c r="E14" s="43"/>
      <c r="F14" s="44">
        <f t="shared" si="1"/>
        <v>0</v>
      </c>
      <c r="G14" s="45">
        <f t="shared" si="1"/>
        <v>0</v>
      </c>
      <c r="H14" s="45">
        <f t="shared" si="1"/>
        <v>0</v>
      </c>
      <c r="I14" s="46">
        <f t="shared" si="1"/>
        <v>0</v>
      </c>
    </row>
    <row r="15" spans="1:12">
      <c r="A15" s="146" t="s">
        <v>197</v>
      </c>
      <c r="B15" s="42"/>
      <c r="C15" s="42"/>
      <c r="D15" s="42"/>
      <c r="E15" s="43"/>
      <c r="F15" s="44">
        <f t="shared" si="1"/>
        <v>0</v>
      </c>
      <c r="G15" s="45">
        <f t="shared" si="1"/>
        <v>0</v>
      </c>
      <c r="H15" s="45">
        <f t="shared" si="1"/>
        <v>0</v>
      </c>
      <c r="I15" s="46">
        <f t="shared" si="1"/>
        <v>0</v>
      </c>
      <c r="J15" s="14"/>
      <c r="K15" s="14"/>
      <c r="L15" s="14"/>
    </row>
    <row r="16" spans="1:12">
      <c r="A16" s="41" t="s">
        <v>83</v>
      </c>
      <c r="B16" s="42"/>
      <c r="C16" s="42"/>
      <c r="D16" s="42"/>
      <c r="E16" s="43"/>
      <c r="F16" s="44">
        <f t="shared" si="1"/>
        <v>0</v>
      </c>
      <c r="G16" s="45">
        <f t="shared" si="1"/>
        <v>0</v>
      </c>
      <c r="H16" s="45">
        <f t="shared" si="1"/>
        <v>0</v>
      </c>
      <c r="I16" s="46">
        <f t="shared" si="1"/>
        <v>0</v>
      </c>
      <c r="J16" s="7"/>
      <c r="K16" s="7"/>
      <c r="L16" s="7"/>
    </row>
    <row r="17" spans="1:9">
      <c r="A17" s="41" t="s">
        <v>186</v>
      </c>
      <c r="B17" s="42"/>
      <c r="C17" s="42"/>
      <c r="D17" s="42"/>
      <c r="E17" s="43"/>
      <c r="F17" s="44">
        <f t="shared" si="1"/>
        <v>0</v>
      </c>
      <c r="G17" s="45">
        <f t="shared" si="1"/>
        <v>0</v>
      </c>
      <c r="H17" s="45">
        <f t="shared" si="1"/>
        <v>0</v>
      </c>
      <c r="I17" s="46">
        <f t="shared" si="1"/>
        <v>0</v>
      </c>
    </row>
    <row r="18" spans="1:9">
      <c r="A18" s="41" t="s">
        <v>84</v>
      </c>
      <c r="B18" s="42"/>
      <c r="C18" s="42"/>
      <c r="D18" s="42"/>
      <c r="E18" s="43"/>
      <c r="F18" s="44">
        <f t="shared" si="1"/>
        <v>0</v>
      </c>
      <c r="G18" s="45">
        <f t="shared" si="1"/>
        <v>0</v>
      </c>
      <c r="H18" s="45">
        <f t="shared" si="1"/>
        <v>0</v>
      </c>
      <c r="I18" s="46">
        <f t="shared" si="1"/>
        <v>0</v>
      </c>
    </row>
    <row r="19" spans="1:9" s="12" customFormat="1">
      <c r="A19" s="147" t="s">
        <v>198</v>
      </c>
      <c r="B19" s="36"/>
      <c r="C19" s="36"/>
      <c r="D19" s="36"/>
      <c r="E19" s="37"/>
      <c r="F19" s="38">
        <f t="shared" si="1"/>
        <v>0</v>
      </c>
      <c r="G19" s="39">
        <f t="shared" si="1"/>
        <v>0</v>
      </c>
      <c r="H19" s="39">
        <f t="shared" si="1"/>
        <v>0</v>
      </c>
      <c r="I19" s="40">
        <f t="shared" si="1"/>
        <v>0</v>
      </c>
    </row>
    <row r="20" spans="1:9">
      <c r="A20" s="41" t="s">
        <v>85</v>
      </c>
      <c r="B20" s="42"/>
      <c r="C20" s="42"/>
      <c r="D20" s="42"/>
      <c r="E20" s="43"/>
      <c r="F20" s="44">
        <f t="shared" si="1"/>
        <v>0</v>
      </c>
      <c r="G20" s="45">
        <f t="shared" si="1"/>
        <v>0</v>
      </c>
      <c r="H20" s="45">
        <f t="shared" si="1"/>
        <v>0</v>
      </c>
      <c r="I20" s="46">
        <f t="shared" si="1"/>
        <v>0</v>
      </c>
    </row>
    <row r="21" spans="1:9">
      <c r="A21" s="41" t="s">
        <v>86</v>
      </c>
      <c r="B21" s="42"/>
      <c r="C21" s="42"/>
      <c r="D21" s="42"/>
      <c r="E21" s="43"/>
      <c r="F21" s="44">
        <f t="shared" si="1"/>
        <v>0</v>
      </c>
      <c r="G21" s="45">
        <f t="shared" si="1"/>
        <v>0</v>
      </c>
      <c r="H21" s="45">
        <f t="shared" si="1"/>
        <v>0</v>
      </c>
      <c r="I21" s="46">
        <f t="shared" si="1"/>
        <v>0</v>
      </c>
    </row>
    <row r="22" spans="1:9" s="12" customFormat="1">
      <c r="A22" s="147" t="s">
        <v>199</v>
      </c>
      <c r="B22" s="36"/>
      <c r="C22" s="36"/>
      <c r="D22" s="36"/>
      <c r="E22" s="37"/>
      <c r="F22" s="38">
        <f t="shared" si="1"/>
        <v>0</v>
      </c>
      <c r="G22" s="39">
        <f t="shared" si="1"/>
        <v>0</v>
      </c>
      <c r="H22" s="39">
        <f t="shared" si="1"/>
        <v>0</v>
      </c>
      <c r="I22" s="40">
        <f t="shared" si="1"/>
        <v>0</v>
      </c>
    </row>
    <row r="23" spans="1:9">
      <c r="A23" s="41" t="s">
        <v>87</v>
      </c>
      <c r="B23" s="42"/>
      <c r="C23" s="42"/>
      <c r="D23" s="42"/>
      <c r="E23" s="43"/>
      <c r="F23" s="44">
        <f t="shared" si="1"/>
        <v>0</v>
      </c>
      <c r="G23" s="45">
        <f t="shared" si="1"/>
        <v>0</v>
      </c>
      <c r="H23" s="45">
        <f t="shared" si="1"/>
        <v>0</v>
      </c>
      <c r="I23" s="46">
        <f t="shared" si="1"/>
        <v>0</v>
      </c>
    </row>
    <row r="24" spans="1:9" s="12" customFormat="1">
      <c r="A24" s="147" t="s">
        <v>200</v>
      </c>
      <c r="B24" s="36"/>
      <c r="C24" s="36"/>
      <c r="D24" s="36"/>
      <c r="E24" s="37"/>
      <c r="F24" s="38">
        <f t="shared" si="1"/>
        <v>0</v>
      </c>
      <c r="G24" s="39">
        <f t="shared" si="1"/>
        <v>0</v>
      </c>
      <c r="H24" s="39">
        <f t="shared" si="1"/>
        <v>0</v>
      </c>
      <c r="I24" s="40">
        <f t="shared" si="1"/>
        <v>0</v>
      </c>
    </row>
    <row r="25" spans="1:9">
      <c r="A25" s="41" t="s">
        <v>89</v>
      </c>
      <c r="B25" s="42"/>
      <c r="C25" s="42"/>
      <c r="D25" s="42"/>
      <c r="E25" s="43"/>
      <c r="F25" s="44">
        <f t="shared" si="1"/>
        <v>0</v>
      </c>
      <c r="G25" s="45">
        <f t="shared" si="1"/>
        <v>0</v>
      </c>
      <c r="H25" s="45">
        <f t="shared" si="1"/>
        <v>0</v>
      </c>
      <c r="I25" s="46">
        <f t="shared" si="1"/>
        <v>0</v>
      </c>
    </row>
    <row r="26" spans="1:9">
      <c r="A26" s="41" t="s">
        <v>90</v>
      </c>
      <c r="B26" s="42"/>
      <c r="C26" s="42"/>
      <c r="D26" s="42"/>
      <c r="E26" s="43"/>
      <c r="F26" s="44">
        <f t="shared" si="1"/>
        <v>0</v>
      </c>
      <c r="G26" s="45">
        <f t="shared" si="1"/>
        <v>0</v>
      </c>
      <c r="H26" s="45">
        <f t="shared" si="1"/>
        <v>0</v>
      </c>
      <c r="I26" s="46">
        <f t="shared" si="1"/>
        <v>0</v>
      </c>
    </row>
    <row r="27" spans="1:9" s="12" customFormat="1">
      <c r="A27" s="148" t="s">
        <v>201</v>
      </c>
      <c r="B27" s="36"/>
      <c r="C27" s="47"/>
      <c r="D27" s="36"/>
      <c r="E27" s="37"/>
      <c r="F27" s="38">
        <f t="shared" si="1"/>
        <v>0</v>
      </c>
      <c r="G27" s="39">
        <f t="shared" si="1"/>
        <v>0</v>
      </c>
      <c r="H27" s="39">
        <f t="shared" si="1"/>
        <v>0</v>
      </c>
      <c r="I27" s="40">
        <f t="shared" si="1"/>
        <v>0</v>
      </c>
    </row>
    <row r="28" spans="1:9">
      <c r="A28" s="41" t="s">
        <v>94</v>
      </c>
      <c r="B28" s="42"/>
      <c r="C28" s="49"/>
      <c r="D28" s="42"/>
      <c r="E28" s="43"/>
      <c r="F28" s="44">
        <f t="shared" si="1"/>
        <v>0</v>
      </c>
      <c r="G28" s="45">
        <f t="shared" si="1"/>
        <v>0</v>
      </c>
      <c r="H28" s="45">
        <f t="shared" si="1"/>
        <v>0</v>
      </c>
      <c r="I28" s="46">
        <f t="shared" si="1"/>
        <v>0</v>
      </c>
    </row>
    <row r="29" spans="1:9">
      <c r="A29" s="50" t="s">
        <v>95</v>
      </c>
      <c r="B29" s="42"/>
      <c r="C29" s="49"/>
      <c r="D29" s="42"/>
      <c r="E29" s="43"/>
      <c r="F29" s="44">
        <f t="shared" si="1"/>
        <v>0</v>
      </c>
      <c r="G29" s="45">
        <f t="shared" si="1"/>
        <v>0</v>
      </c>
      <c r="H29" s="45">
        <f t="shared" si="1"/>
        <v>0</v>
      </c>
      <c r="I29" s="46">
        <f t="shared" si="1"/>
        <v>0</v>
      </c>
    </row>
    <row r="30" spans="1:9">
      <c r="A30" s="50" t="s">
        <v>96</v>
      </c>
      <c r="B30" s="42"/>
      <c r="C30" s="49"/>
      <c r="D30" s="42"/>
      <c r="E30" s="43"/>
      <c r="F30" s="44">
        <f t="shared" si="1"/>
        <v>0</v>
      </c>
      <c r="G30" s="45">
        <f t="shared" si="1"/>
        <v>0</v>
      </c>
      <c r="H30" s="45">
        <f t="shared" si="1"/>
        <v>0</v>
      </c>
      <c r="I30" s="46">
        <f t="shared" si="1"/>
        <v>0</v>
      </c>
    </row>
    <row r="31" spans="1:9">
      <c r="A31" s="50" t="s">
        <v>202</v>
      </c>
      <c r="B31" s="42"/>
      <c r="C31" s="49"/>
      <c r="D31" s="42"/>
      <c r="E31" s="43"/>
      <c r="F31" s="44">
        <f t="shared" si="1"/>
        <v>0</v>
      </c>
      <c r="G31" s="45">
        <f t="shared" si="1"/>
        <v>0</v>
      </c>
      <c r="H31" s="45">
        <f t="shared" si="1"/>
        <v>0</v>
      </c>
      <c r="I31" s="46">
        <f t="shared" si="1"/>
        <v>0</v>
      </c>
    </row>
    <row r="32" spans="1:9">
      <c r="A32" s="50" t="s">
        <v>97</v>
      </c>
      <c r="B32" s="42"/>
      <c r="C32" s="51"/>
      <c r="D32" s="42"/>
      <c r="E32" s="43"/>
      <c r="F32" s="44">
        <f t="shared" si="1"/>
        <v>0</v>
      </c>
      <c r="G32" s="45">
        <f t="shared" si="1"/>
        <v>0</v>
      </c>
      <c r="H32" s="45">
        <f t="shared" si="1"/>
        <v>0</v>
      </c>
      <c r="I32" s="46">
        <f t="shared" si="1"/>
        <v>0</v>
      </c>
    </row>
    <row r="33" spans="1:9">
      <c r="A33" s="50" t="s">
        <v>98</v>
      </c>
      <c r="B33" s="42"/>
      <c r="C33" s="49"/>
      <c r="D33" s="42"/>
      <c r="E33" s="43"/>
      <c r="F33" s="44">
        <f t="shared" si="1"/>
        <v>0</v>
      </c>
      <c r="G33" s="45">
        <f t="shared" si="1"/>
        <v>0</v>
      </c>
      <c r="H33" s="45">
        <f t="shared" si="1"/>
        <v>0</v>
      </c>
      <c r="I33" s="46">
        <f t="shared" si="1"/>
        <v>0</v>
      </c>
    </row>
    <row r="34" spans="1:9">
      <c r="A34" s="50" t="s">
        <v>99</v>
      </c>
      <c r="B34" s="42"/>
      <c r="C34" s="49"/>
      <c r="D34" s="42"/>
      <c r="E34" s="43"/>
      <c r="F34" s="44">
        <f t="shared" si="1"/>
        <v>0</v>
      </c>
      <c r="G34" s="45">
        <f t="shared" si="1"/>
        <v>0</v>
      </c>
      <c r="H34" s="45">
        <f t="shared" si="1"/>
        <v>0</v>
      </c>
      <c r="I34" s="46">
        <f t="shared" si="1"/>
        <v>0</v>
      </c>
    </row>
    <row r="35" spans="1:9">
      <c r="A35" s="50" t="s">
        <v>100</v>
      </c>
      <c r="B35" s="42"/>
      <c r="C35" s="42"/>
      <c r="D35" s="42"/>
      <c r="E35" s="43"/>
      <c r="F35" s="44">
        <f t="shared" si="1"/>
        <v>0</v>
      </c>
      <c r="G35" s="45">
        <f t="shared" si="1"/>
        <v>0</v>
      </c>
      <c r="H35" s="45">
        <f t="shared" si="1"/>
        <v>0</v>
      </c>
      <c r="I35" s="46">
        <f t="shared" si="1"/>
        <v>0</v>
      </c>
    </row>
    <row r="36" spans="1:9">
      <c r="A36" s="50" t="s">
        <v>101</v>
      </c>
      <c r="B36" s="42"/>
      <c r="C36" s="42"/>
      <c r="D36" s="42"/>
      <c r="E36" s="43"/>
      <c r="F36" s="44">
        <f t="shared" si="1"/>
        <v>0</v>
      </c>
      <c r="G36" s="45">
        <f t="shared" si="1"/>
        <v>0</v>
      </c>
      <c r="H36" s="45">
        <f t="shared" si="1"/>
        <v>0</v>
      </c>
      <c r="I36" s="46">
        <f t="shared" si="1"/>
        <v>0</v>
      </c>
    </row>
    <row r="37" spans="1:9">
      <c r="A37" s="50" t="s">
        <v>102</v>
      </c>
      <c r="B37" s="42"/>
      <c r="C37" s="42"/>
      <c r="D37" s="42"/>
      <c r="E37" s="43"/>
      <c r="F37" s="44">
        <f t="shared" si="1"/>
        <v>0</v>
      </c>
      <c r="G37" s="45">
        <f t="shared" si="1"/>
        <v>0</v>
      </c>
      <c r="H37" s="45">
        <f t="shared" si="1"/>
        <v>0</v>
      </c>
      <c r="I37" s="46">
        <f t="shared" si="1"/>
        <v>0</v>
      </c>
    </row>
    <row r="38" spans="1:9" s="12" customFormat="1">
      <c r="A38" s="148" t="s">
        <v>203</v>
      </c>
      <c r="B38" s="36"/>
      <c r="C38" s="36"/>
      <c r="D38" s="36"/>
      <c r="E38" s="37"/>
      <c r="F38" s="38">
        <f t="shared" si="1"/>
        <v>0</v>
      </c>
      <c r="G38" s="39">
        <f t="shared" si="1"/>
        <v>0</v>
      </c>
      <c r="H38" s="39">
        <f t="shared" si="1"/>
        <v>0</v>
      </c>
      <c r="I38" s="40">
        <f t="shared" si="1"/>
        <v>0</v>
      </c>
    </row>
    <row r="41" spans="1:9">
      <c r="A41" s="3" t="s">
        <v>12</v>
      </c>
      <c r="B41" s="5"/>
      <c r="C41" s="5"/>
      <c r="D41" s="5"/>
      <c r="E41" s="5"/>
      <c r="F41" s="5"/>
      <c r="G41" s="5"/>
      <c r="H41" s="5"/>
      <c r="I41" s="5"/>
    </row>
    <row r="42" spans="1:9">
      <c r="A42" s="5" t="s">
        <v>21</v>
      </c>
      <c r="B42" s="4">
        <f t="shared" ref="B42:I42" si="2">B4-B5-B6-B7-B8-B9-B10+B13+B14+B16+B17+B18-B19</f>
        <v>0</v>
      </c>
      <c r="C42" s="4">
        <f t="shared" si="2"/>
        <v>0</v>
      </c>
      <c r="D42" s="4">
        <f t="shared" si="2"/>
        <v>0</v>
      </c>
      <c r="E42" s="4">
        <f t="shared" si="2"/>
        <v>0</v>
      </c>
      <c r="F42" s="4">
        <f t="shared" si="2"/>
        <v>0</v>
      </c>
      <c r="G42" s="4">
        <f t="shared" si="2"/>
        <v>0</v>
      </c>
      <c r="H42" s="4">
        <f t="shared" si="2"/>
        <v>0</v>
      </c>
      <c r="I42" s="4">
        <f t="shared" si="2"/>
        <v>0</v>
      </c>
    </row>
    <row r="43" spans="1:9">
      <c r="A43" s="5" t="s">
        <v>22</v>
      </c>
      <c r="B43" s="4">
        <f t="shared" ref="B43:I43" si="3">B19+B20-B21-B22</f>
        <v>0</v>
      </c>
      <c r="C43" s="4">
        <f t="shared" si="3"/>
        <v>0</v>
      </c>
      <c r="D43" s="4">
        <f t="shared" si="3"/>
        <v>0</v>
      </c>
      <c r="E43" s="4">
        <f t="shared" si="3"/>
        <v>0</v>
      </c>
      <c r="F43" s="4">
        <f t="shared" si="3"/>
        <v>0</v>
      </c>
      <c r="G43" s="4">
        <f t="shared" si="3"/>
        <v>0</v>
      </c>
      <c r="H43" s="4">
        <f t="shared" si="3"/>
        <v>0</v>
      </c>
      <c r="I43" s="4">
        <f t="shared" si="3"/>
        <v>0</v>
      </c>
    </row>
    <row r="44" spans="1:9">
      <c r="A44" s="5" t="s">
        <v>23</v>
      </c>
      <c r="B44" s="4">
        <f t="shared" ref="B44:I44" si="4">B22-B23-B24</f>
        <v>0</v>
      </c>
      <c r="C44" s="4">
        <f t="shared" si="4"/>
        <v>0</v>
      </c>
      <c r="D44" s="4">
        <f t="shared" si="4"/>
        <v>0</v>
      </c>
      <c r="E44" s="4">
        <f t="shared" si="4"/>
        <v>0</v>
      </c>
      <c r="F44" s="4">
        <f t="shared" si="4"/>
        <v>0</v>
      </c>
      <c r="G44" s="4">
        <f t="shared" si="4"/>
        <v>0</v>
      </c>
      <c r="H44" s="4">
        <f t="shared" si="4"/>
        <v>0</v>
      </c>
      <c r="I44" s="4">
        <f t="shared" si="4"/>
        <v>0</v>
      </c>
    </row>
    <row r="45" spans="1:9">
      <c r="A45" s="5" t="s">
        <v>24</v>
      </c>
      <c r="B45" s="4">
        <f>B24+B27-B38</f>
        <v>0</v>
      </c>
      <c r="C45" s="4">
        <f t="shared" ref="C45:I45" si="5">C24+C27-C38</f>
        <v>0</v>
      </c>
      <c r="D45" s="4">
        <f t="shared" si="5"/>
        <v>0</v>
      </c>
      <c r="E45" s="4">
        <f t="shared" si="5"/>
        <v>0</v>
      </c>
      <c r="F45" s="4">
        <f t="shared" si="5"/>
        <v>0</v>
      </c>
      <c r="G45" s="4">
        <f t="shared" si="5"/>
        <v>0</v>
      </c>
      <c r="H45" s="4">
        <f t="shared" si="5"/>
        <v>0</v>
      </c>
      <c r="I45" s="4">
        <f t="shared" si="5"/>
        <v>0</v>
      </c>
    </row>
  </sheetData>
  <mergeCells count="2">
    <mergeCell ref="B2:E2"/>
    <mergeCell ref="F2:I2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F2C1-F2CB-4E8F-8076-3D1475B01657}">
  <sheetPr codeName="Sheet13">
    <tabColor theme="9" tint="0.79998168889431442"/>
  </sheetPr>
  <dimension ref="A1:I65"/>
  <sheetViews>
    <sheetView zoomScale="55" zoomScaleNormal="55" workbookViewId="0">
      <pane xSplit="1" ySplit="3" topLeftCell="B22" activePane="bottomRight" state="frozen"/>
      <selection pane="topRight" activeCell="B1" sqref="B1"/>
      <selection pane="bottomLeft" activeCell="A2" sqref="A2"/>
      <selection pane="bottomRight" activeCell="E56" sqref="E56"/>
    </sheetView>
  </sheetViews>
  <sheetFormatPr defaultColWidth="8.75" defaultRowHeight="15.75"/>
  <cols>
    <col min="1" max="1" width="51.75" style="9" bestFit="1" customWidth="1"/>
    <col min="2" max="3" width="21.75" style="1" bestFit="1" customWidth="1"/>
    <col min="4" max="4" width="22.25" style="1" bestFit="1" customWidth="1"/>
    <col min="5" max="5" width="21.75" style="1" bestFit="1" customWidth="1"/>
    <col min="6" max="6" width="18.375" style="1" bestFit="1" customWidth="1"/>
    <col min="7" max="7" width="18.125" style="1" customWidth="1"/>
    <col min="8" max="8" width="17" style="1" customWidth="1"/>
    <col min="9" max="9" width="17.25" style="1" customWidth="1"/>
    <col min="10" max="16384" width="8.75" style="1"/>
  </cols>
  <sheetData>
    <row r="1" spans="1:9" ht="16.5" thickBot="1">
      <c r="A1" s="27" t="s">
        <v>80</v>
      </c>
      <c r="B1" s="101"/>
      <c r="C1" s="101"/>
      <c r="D1" s="101"/>
      <c r="E1" s="101"/>
      <c r="F1" s="101"/>
      <c r="G1" s="101"/>
      <c r="H1" s="101"/>
      <c r="I1" s="101"/>
    </row>
    <row r="2" spans="1:9" s="8" customFormat="1" ht="16.149999999999999" customHeight="1">
      <c r="A2" s="29"/>
      <c r="B2" s="657" t="s">
        <v>70</v>
      </c>
      <c r="C2" s="657"/>
      <c r="D2" s="657"/>
      <c r="E2" s="653"/>
      <c r="F2" s="655" t="s">
        <v>71</v>
      </c>
      <c r="G2" s="657"/>
      <c r="H2" s="657"/>
      <c r="I2" s="653"/>
    </row>
    <row r="3" spans="1:9" s="8" customFormat="1">
      <c r="A3" s="221" t="s">
        <v>81</v>
      </c>
      <c r="B3" s="31">
        <f>'母公司利润表 '!B3</f>
        <v>0</v>
      </c>
      <c r="C3" s="31">
        <f>'母公司利润表 '!C3</f>
        <v>0</v>
      </c>
      <c r="D3" s="31">
        <f>'母公司利润表 '!D3</f>
        <v>0</v>
      </c>
      <c r="E3" s="31">
        <f>'母公司利润表 '!E3</f>
        <v>0</v>
      </c>
      <c r="F3" s="221">
        <f>B3</f>
        <v>0</v>
      </c>
      <c r="G3" s="31">
        <f t="shared" ref="G3:I3" si="0">C3</f>
        <v>0</v>
      </c>
      <c r="H3" s="31">
        <f t="shared" si="0"/>
        <v>0</v>
      </c>
      <c r="I3" s="32">
        <f t="shared" si="0"/>
        <v>0</v>
      </c>
    </row>
    <row r="4" spans="1:9" s="25" customFormat="1">
      <c r="A4" s="102" t="s">
        <v>108</v>
      </c>
      <c r="B4" s="103"/>
      <c r="C4" s="103"/>
      <c r="D4" s="103"/>
      <c r="E4" s="104"/>
      <c r="F4" s="266"/>
      <c r="G4" s="106"/>
      <c r="H4" s="107"/>
      <c r="I4" s="267"/>
    </row>
    <row r="5" spans="1:9" s="25" customFormat="1">
      <c r="A5" s="41" t="s">
        <v>109</v>
      </c>
      <c r="B5" s="49"/>
      <c r="C5" s="49"/>
      <c r="D5" s="49"/>
      <c r="E5" s="108"/>
      <c r="F5" s="268">
        <f t="shared" ref="F5:I14" si="1">B5/10000</f>
        <v>0</v>
      </c>
      <c r="G5" s="110">
        <f t="shared" si="1"/>
        <v>0</v>
      </c>
      <c r="H5" s="110">
        <f t="shared" si="1"/>
        <v>0</v>
      </c>
      <c r="I5" s="269">
        <f t="shared" si="1"/>
        <v>0</v>
      </c>
    </row>
    <row r="6" spans="1:9" s="25" customFormat="1">
      <c r="A6" s="41" t="s">
        <v>110</v>
      </c>
      <c r="B6" s="49"/>
      <c r="C6" s="49"/>
      <c r="D6" s="49"/>
      <c r="E6" s="108"/>
      <c r="F6" s="268">
        <f t="shared" si="1"/>
        <v>0</v>
      </c>
      <c r="G6" s="110">
        <f t="shared" si="1"/>
        <v>0</v>
      </c>
      <c r="H6" s="110">
        <f t="shared" si="1"/>
        <v>0</v>
      </c>
      <c r="I6" s="269">
        <f t="shared" si="1"/>
        <v>0</v>
      </c>
    </row>
    <row r="7" spans="1:9" s="25" customFormat="1">
      <c r="A7" s="41" t="s">
        <v>111</v>
      </c>
      <c r="B7" s="49"/>
      <c r="C7" s="49"/>
      <c r="D7" s="49"/>
      <c r="E7" s="108"/>
      <c r="F7" s="268">
        <f t="shared" si="1"/>
        <v>0</v>
      </c>
      <c r="G7" s="110">
        <f t="shared" si="1"/>
        <v>0</v>
      </c>
      <c r="H7" s="110">
        <f t="shared" si="1"/>
        <v>0</v>
      </c>
      <c r="I7" s="269">
        <f t="shared" si="1"/>
        <v>0</v>
      </c>
    </row>
    <row r="8" spans="1:9" s="26" customFormat="1">
      <c r="A8" s="35" t="s">
        <v>112</v>
      </c>
      <c r="B8" s="51"/>
      <c r="C8" s="51"/>
      <c r="D8" s="51"/>
      <c r="E8" s="111"/>
      <c r="F8" s="270">
        <f t="shared" si="1"/>
        <v>0</v>
      </c>
      <c r="G8" s="113">
        <f t="shared" si="1"/>
        <v>0</v>
      </c>
      <c r="H8" s="113">
        <f t="shared" si="1"/>
        <v>0</v>
      </c>
      <c r="I8" s="271">
        <f t="shared" si="1"/>
        <v>0</v>
      </c>
    </row>
    <row r="9" spans="1:9" s="25" customFormat="1">
      <c r="A9" s="41" t="s">
        <v>113</v>
      </c>
      <c r="B9" s="49"/>
      <c r="C9" s="49"/>
      <c r="D9" s="49"/>
      <c r="E9" s="108"/>
      <c r="F9" s="268">
        <f t="shared" si="1"/>
        <v>0</v>
      </c>
      <c r="G9" s="110">
        <f t="shared" si="1"/>
        <v>0</v>
      </c>
      <c r="H9" s="110">
        <f t="shared" si="1"/>
        <v>0</v>
      </c>
      <c r="I9" s="269">
        <f t="shared" si="1"/>
        <v>0</v>
      </c>
    </row>
    <row r="10" spans="1:9" s="25" customFormat="1">
      <c r="A10" s="41" t="s">
        <v>114</v>
      </c>
      <c r="B10" s="49"/>
      <c r="C10" s="49"/>
      <c r="D10" s="49"/>
      <c r="E10" s="108"/>
      <c r="F10" s="268">
        <f t="shared" si="1"/>
        <v>0</v>
      </c>
      <c r="G10" s="110">
        <f t="shared" si="1"/>
        <v>0</v>
      </c>
      <c r="H10" s="110">
        <f t="shared" si="1"/>
        <v>0</v>
      </c>
      <c r="I10" s="269">
        <f t="shared" si="1"/>
        <v>0</v>
      </c>
    </row>
    <row r="11" spans="1:9" s="25" customFormat="1">
      <c r="A11" s="41" t="s">
        <v>115</v>
      </c>
      <c r="B11" s="49"/>
      <c r="C11" s="49"/>
      <c r="D11" s="49"/>
      <c r="E11" s="108"/>
      <c r="F11" s="268">
        <f t="shared" si="1"/>
        <v>0</v>
      </c>
      <c r="G11" s="110">
        <f t="shared" si="1"/>
        <v>0</v>
      </c>
      <c r="H11" s="110">
        <f t="shared" si="1"/>
        <v>0</v>
      </c>
      <c r="I11" s="269">
        <f t="shared" si="1"/>
        <v>0</v>
      </c>
    </row>
    <row r="12" spans="1:9" s="25" customFormat="1">
      <c r="A12" s="41" t="s">
        <v>116</v>
      </c>
      <c r="B12" s="49"/>
      <c r="C12" s="49"/>
      <c r="D12" s="49"/>
      <c r="E12" s="108"/>
      <c r="F12" s="268">
        <f t="shared" si="1"/>
        <v>0</v>
      </c>
      <c r="G12" s="110">
        <f t="shared" si="1"/>
        <v>0</v>
      </c>
      <c r="H12" s="110">
        <f t="shared" si="1"/>
        <v>0</v>
      </c>
      <c r="I12" s="269">
        <f t="shared" si="1"/>
        <v>0</v>
      </c>
    </row>
    <row r="13" spans="1:9" s="26" customFormat="1">
      <c r="A13" s="35" t="s">
        <v>117</v>
      </c>
      <c r="B13" s="51"/>
      <c r="C13" s="51"/>
      <c r="D13" s="51"/>
      <c r="E13" s="111"/>
      <c r="F13" s="270">
        <f t="shared" si="1"/>
        <v>0</v>
      </c>
      <c r="G13" s="113">
        <f t="shared" si="1"/>
        <v>0</v>
      </c>
      <c r="H13" s="113">
        <f t="shared" si="1"/>
        <v>0</v>
      </c>
      <c r="I13" s="271">
        <f t="shared" si="1"/>
        <v>0</v>
      </c>
    </row>
    <row r="14" spans="1:9" s="26" customFormat="1">
      <c r="A14" s="35" t="s">
        <v>118</v>
      </c>
      <c r="B14" s="51"/>
      <c r="C14" s="51"/>
      <c r="D14" s="51"/>
      <c r="E14" s="111"/>
      <c r="F14" s="270">
        <f t="shared" si="1"/>
        <v>0</v>
      </c>
      <c r="G14" s="113">
        <f t="shared" si="1"/>
        <v>0</v>
      </c>
      <c r="H14" s="113">
        <f t="shared" si="1"/>
        <v>0</v>
      </c>
      <c r="I14" s="271">
        <f t="shared" si="1"/>
        <v>0</v>
      </c>
    </row>
    <row r="15" spans="1:9" s="25" customFormat="1">
      <c r="A15" s="102" t="s">
        <v>119</v>
      </c>
      <c r="B15" s="114"/>
      <c r="C15" s="114"/>
      <c r="D15" s="103"/>
      <c r="E15" s="104"/>
      <c r="F15" s="268"/>
      <c r="G15" s="110"/>
      <c r="H15" s="110"/>
      <c r="I15" s="269"/>
    </row>
    <row r="16" spans="1:9" s="25" customFormat="1">
      <c r="A16" s="41" t="s">
        <v>120</v>
      </c>
      <c r="B16" s="115"/>
      <c r="C16" s="115"/>
      <c r="D16" s="49"/>
      <c r="E16" s="108"/>
      <c r="F16" s="268">
        <f t="shared" ref="F16:I27" si="2">B16/10000</f>
        <v>0</v>
      </c>
      <c r="G16" s="110">
        <f t="shared" si="2"/>
        <v>0</v>
      </c>
      <c r="H16" s="110">
        <f t="shared" si="2"/>
        <v>0</v>
      </c>
      <c r="I16" s="269">
        <f t="shared" si="2"/>
        <v>0</v>
      </c>
    </row>
    <row r="17" spans="1:9" s="25" customFormat="1">
      <c r="A17" s="41" t="s">
        <v>121</v>
      </c>
      <c r="B17" s="115"/>
      <c r="C17" s="115"/>
      <c r="D17" s="49"/>
      <c r="E17" s="108"/>
      <c r="F17" s="268">
        <f t="shared" si="2"/>
        <v>0</v>
      </c>
      <c r="G17" s="110">
        <f t="shared" si="2"/>
        <v>0</v>
      </c>
      <c r="H17" s="110">
        <f t="shared" si="2"/>
        <v>0</v>
      </c>
      <c r="I17" s="269">
        <f t="shared" si="2"/>
        <v>0</v>
      </c>
    </row>
    <row r="18" spans="1:9" s="25" customFormat="1">
      <c r="A18" s="41" t="s">
        <v>122</v>
      </c>
      <c r="B18" s="115"/>
      <c r="C18" s="115"/>
      <c r="D18" s="49"/>
      <c r="E18" s="108"/>
      <c r="F18" s="268">
        <f t="shared" si="2"/>
        <v>0</v>
      </c>
      <c r="G18" s="110">
        <f t="shared" si="2"/>
        <v>0</v>
      </c>
      <c r="H18" s="110">
        <f t="shared" si="2"/>
        <v>0</v>
      </c>
      <c r="I18" s="269">
        <f t="shared" si="2"/>
        <v>0</v>
      </c>
    </row>
    <row r="19" spans="1:9" s="25" customFormat="1">
      <c r="A19" s="41" t="s">
        <v>123</v>
      </c>
      <c r="B19" s="116"/>
      <c r="C19" s="117"/>
      <c r="D19" s="115"/>
      <c r="E19" s="118"/>
      <c r="F19" s="268">
        <f t="shared" si="2"/>
        <v>0</v>
      </c>
      <c r="G19" s="110">
        <f t="shared" si="2"/>
        <v>0</v>
      </c>
      <c r="H19" s="110">
        <f t="shared" si="2"/>
        <v>0</v>
      </c>
      <c r="I19" s="269">
        <f t="shared" si="2"/>
        <v>0</v>
      </c>
    </row>
    <row r="20" spans="1:9" s="25" customFormat="1">
      <c r="A20" s="41" t="s">
        <v>124</v>
      </c>
      <c r="B20" s="119"/>
      <c r="C20" s="49"/>
      <c r="D20" s="49"/>
      <c r="E20" s="108"/>
      <c r="F20" s="268">
        <f t="shared" si="2"/>
        <v>0</v>
      </c>
      <c r="G20" s="110">
        <f t="shared" si="2"/>
        <v>0</v>
      </c>
      <c r="H20" s="110">
        <f t="shared" si="2"/>
        <v>0</v>
      </c>
      <c r="I20" s="269">
        <f t="shared" si="2"/>
        <v>0</v>
      </c>
    </row>
    <row r="21" spans="1:9" s="26" customFormat="1">
      <c r="A21" s="35" t="s">
        <v>125</v>
      </c>
      <c r="B21" s="51"/>
      <c r="C21" s="51"/>
      <c r="D21" s="51"/>
      <c r="E21" s="111"/>
      <c r="F21" s="270">
        <f t="shared" si="2"/>
        <v>0</v>
      </c>
      <c r="G21" s="113">
        <f t="shared" si="2"/>
        <v>0</v>
      </c>
      <c r="H21" s="113">
        <f t="shared" si="2"/>
        <v>0</v>
      </c>
      <c r="I21" s="271">
        <f t="shared" si="2"/>
        <v>0</v>
      </c>
    </row>
    <row r="22" spans="1:9" s="25" customFormat="1">
      <c r="A22" s="41" t="s">
        <v>126</v>
      </c>
      <c r="B22" s="49"/>
      <c r="C22" s="49"/>
      <c r="D22" s="49"/>
      <c r="E22" s="108"/>
      <c r="F22" s="268">
        <f t="shared" si="2"/>
        <v>0</v>
      </c>
      <c r="G22" s="110">
        <f t="shared" si="2"/>
        <v>0</v>
      </c>
      <c r="H22" s="110">
        <f t="shared" si="2"/>
        <v>0</v>
      </c>
      <c r="I22" s="269">
        <f t="shared" si="2"/>
        <v>0</v>
      </c>
    </row>
    <row r="23" spans="1:9" s="25" customFormat="1">
      <c r="A23" s="41" t="s">
        <v>127</v>
      </c>
      <c r="B23" s="49"/>
      <c r="C23" s="49"/>
      <c r="D23" s="49"/>
      <c r="E23" s="108"/>
      <c r="F23" s="268">
        <f t="shared" si="2"/>
        <v>0</v>
      </c>
      <c r="G23" s="110">
        <f t="shared" si="2"/>
        <v>0</v>
      </c>
      <c r="H23" s="110">
        <f t="shared" si="2"/>
        <v>0</v>
      </c>
      <c r="I23" s="269">
        <f t="shared" si="2"/>
        <v>0</v>
      </c>
    </row>
    <row r="24" spans="1:9" s="25" customFormat="1">
      <c r="A24" s="41" t="s">
        <v>128</v>
      </c>
      <c r="B24" s="119"/>
      <c r="C24" s="49"/>
      <c r="D24" s="49"/>
      <c r="E24" s="108"/>
      <c r="F24" s="268">
        <f t="shared" si="2"/>
        <v>0</v>
      </c>
      <c r="G24" s="110">
        <f t="shared" si="2"/>
        <v>0</v>
      </c>
      <c r="H24" s="110">
        <f t="shared" si="2"/>
        <v>0</v>
      </c>
      <c r="I24" s="269">
        <f t="shared" si="2"/>
        <v>0</v>
      </c>
    </row>
    <row r="25" spans="1:9" s="25" customFormat="1">
      <c r="A25" s="41" t="s">
        <v>129</v>
      </c>
      <c r="B25" s="119"/>
      <c r="C25" s="49"/>
      <c r="D25" s="49"/>
      <c r="E25" s="108"/>
      <c r="F25" s="268">
        <f t="shared" si="2"/>
        <v>0</v>
      </c>
      <c r="G25" s="110">
        <f t="shared" si="2"/>
        <v>0</v>
      </c>
      <c r="H25" s="110">
        <f t="shared" si="2"/>
        <v>0</v>
      </c>
      <c r="I25" s="269">
        <f t="shared" si="2"/>
        <v>0</v>
      </c>
    </row>
    <row r="26" spans="1:9" s="26" customFormat="1">
      <c r="A26" s="35" t="s">
        <v>130</v>
      </c>
      <c r="B26" s="51"/>
      <c r="C26" s="51"/>
      <c r="D26" s="51"/>
      <c r="E26" s="111"/>
      <c r="F26" s="270">
        <f t="shared" si="2"/>
        <v>0</v>
      </c>
      <c r="G26" s="113">
        <f t="shared" si="2"/>
        <v>0</v>
      </c>
      <c r="H26" s="113">
        <f t="shared" si="2"/>
        <v>0</v>
      </c>
      <c r="I26" s="271">
        <f t="shared" si="2"/>
        <v>0</v>
      </c>
    </row>
    <row r="27" spans="1:9" s="26" customFormat="1">
      <c r="A27" s="35" t="s">
        <v>131</v>
      </c>
      <c r="B27" s="51"/>
      <c r="C27" s="51"/>
      <c r="D27" s="51"/>
      <c r="E27" s="111"/>
      <c r="F27" s="270">
        <f t="shared" si="2"/>
        <v>0</v>
      </c>
      <c r="G27" s="113">
        <f t="shared" si="2"/>
        <v>0</v>
      </c>
      <c r="H27" s="113">
        <f t="shared" si="2"/>
        <v>0</v>
      </c>
      <c r="I27" s="271">
        <f t="shared" si="2"/>
        <v>0</v>
      </c>
    </row>
    <row r="28" spans="1:9" s="25" customFormat="1">
      <c r="A28" s="102" t="s">
        <v>132</v>
      </c>
      <c r="B28" s="120"/>
      <c r="C28" s="103"/>
      <c r="D28" s="103"/>
      <c r="E28" s="104"/>
      <c r="F28" s="268"/>
      <c r="G28" s="110"/>
      <c r="H28" s="110"/>
      <c r="I28" s="269"/>
    </row>
    <row r="29" spans="1:9" s="25" customFormat="1">
      <c r="A29" s="41" t="s">
        <v>133</v>
      </c>
      <c r="B29" s="119"/>
      <c r="C29" s="49"/>
      <c r="D29" s="49"/>
      <c r="E29" s="108"/>
      <c r="F29" s="268">
        <f t="shared" ref="F29:I42" si="3">B29/10000</f>
        <v>0</v>
      </c>
      <c r="G29" s="110">
        <f t="shared" si="3"/>
        <v>0</v>
      </c>
      <c r="H29" s="110">
        <f t="shared" si="3"/>
        <v>0</v>
      </c>
      <c r="I29" s="269">
        <f t="shared" si="3"/>
        <v>0</v>
      </c>
    </row>
    <row r="30" spans="1:9" s="25" customFormat="1">
      <c r="A30" s="41" t="s">
        <v>134</v>
      </c>
      <c r="B30" s="49"/>
      <c r="C30" s="49"/>
      <c r="D30" s="49"/>
      <c r="E30" s="108"/>
      <c r="F30" s="268">
        <f t="shared" si="3"/>
        <v>0</v>
      </c>
      <c r="G30" s="110">
        <f t="shared" si="3"/>
        <v>0</v>
      </c>
      <c r="H30" s="110">
        <f t="shared" si="3"/>
        <v>0</v>
      </c>
      <c r="I30" s="269">
        <f t="shared" si="3"/>
        <v>0</v>
      </c>
    </row>
    <row r="31" spans="1:9" s="25" customFormat="1">
      <c r="A31" s="41" t="s">
        <v>136</v>
      </c>
      <c r="B31" s="49"/>
      <c r="C31" s="49"/>
      <c r="D31" s="49"/>
      <c r="E31" s="108"/>
      <c r="F31" s="268">
        <f t="shared" si="3"/>
        <v>0</v>
      </c>
      <c r="G31" s="110">
        <f t="shared" si="3"/>
        <v>0</v>
      </c>
      <c r="H31" s="110">
        <f t="shared" si="3"/>
        <v>0</v>
      </c>
      <c r="I31" s="269">
        <f t="shared" si="3"/>
        <v>0</v>
      </c>
    </row>
    <row r="32" spans="1:9" s="25" customFormat="1">
      <c r="A32" s="151" t="s">
        <v>135</v>
      </c>
      <c r="B32" s="152"/>
      <c r="C32" s="152"/>
      <c r="D32" s="152"/>
      <c r="E32" s="153"/>
      <c r="F32" s="272">
        <f t="shared" si="3"/>
        <v>0</v>
      </c>
      <c r="G32" s="155">
        <f t="shared" si="3"/>
        <v>0</v>
      </c>
      <c r="H32" s="155">
        <f t="shared" si="3"/>
        <v>0</v>
      </c>
      <c r="I32" s="273">
        <f t="shared" si="3"/>
        <v>0</v>
      </c>
    </row>
    <row r="33" spans="1:9" s="26" customFormat="1">
      <c r="A33" s="35" t="s">
        <v>137</v>
      </c>
      <c r="B33" s="51"/>
      <c r="C33" s="51"/>
      <c r="D33" s="51"/>
      <c r="E33" s="111"/>
      <c r="F33" s="270">
        <f t="shared" si="3"/>
        <v>0</v>
      </c>
      <c r="G33" s="113">
        <f t="shared" si="3"/>
        <v>0</v>
      </c>
      <c r="H33" s="113">
        <f t="shared" si="3"/>
        <v>0</v>
      </c>
      <c r="I33" s="271">
        <f t="shared" si="3"/>
        <v>0</v>
      </c>
    </row>
    <row r="34" spans="1:9" s="25" customFormat="1">
      <c r="A34" s="41" t="s">
        <v>138</v>
      </c>
      <c r="B34" s="49"/>
      <c r="C34" s="49"/>
      <c r="D34" s="49"/>
      <c r="E34" s="108"/>
      <c r="F34" s="268">
        <f t="shared" si="3"/>
        <v>0</v>
      </c>
      <c r="G34" s="110">
        <f t="shared" si="3"/>
        <v>0</v>
      </c>
      <c r="H34" s="110">
        <f t="shared" si="3"/>
        <v>0</v>
      </c>
      <c r="I34" s="269">
        <f t="shared" si="3"/>
        <v>0</v>
      </c>
    </row>
    <row r="35" spans="1:9" s="25" customFormat="1">
      <c r="A35" s="41" t="s">
        <v>139</v>
      </c>
      <c r="B35" s="49"/>
      <c r="C35" s="49"/>
      <c r="D35" s="49"/>
      <c r="E35" s="108"/>
      <c r="F35" s="268">
        <f t="shared" si="3"/>
        <v>0</v>
      </c>
      <c r="G35" s="110">
        <f t="shared" si="3"/>
        <v>0</v>
      </c>
      <c r="H35" s="110">
        <f t="shared" si="3"/>
        <v>0</v>
      </c>
      <c r="I35" s="269">
        <f t="shared" si="3"/>
        <v>0</v>
      </c>
    </row>
    <row r="36" spans="1:9" s="25" customFormat="1">
      <c r="A36" s="41" t="s">
        <v>140</v>
      </c>
      <c r="B36" s="49"/>
      <c r="C36" s="49"/>
      <c r="D36" s="49"/>
      <c r="E36" s="108"/>
      <c r="F36" s="268">
        <f t="shared" si="3"/>
        <v>0</v>
      </c>
      <c r="G36" s="110">
        <f t="shared" si="3"/>
        <v>0</v>
      </c>
      <c r="H36" s="110">
        <f t="shared" si="3"/>
        <v>0</v>
      </c>
      <c r="I36" s="269">
        <f t="shared" si="3"/>
        <v>0</v>
      </c>
    </row>
    <row r="37" spans="1:9" s="26" customFormat="1">
      <c r="A37" s="35" t="s">
        <v>141</v>
      </c>
      <c r="B37" s="51"/>
      <c r="C37" s="51"/>
      <c r="D37" s="51"/>
      <c r="E37" s="111"/>
      <c r="F37" s="270">
        <f t="shared" si="3"/>
        <v>0</v>
      </c>
      <c r="G37" s="113">
        <f t="shared" si="3"/>
        <v>0</v>
      </c>
      <c r="H37" s="113">
        <f t="shared" si="3"/>
        <v>0</v>
      </c>
      <c r="I37" s="271">
        <f t="shared" si="3"/>
        <v>0</v>
      </c>
    </row>
    <row r="38" spans="1:9" s="26" customFormat="1">
      <c r="A38" s="35" t="s">
        <v>142</v>
      </c>
      <c r="B38" s="51"/>
      <c r="C38" s="51"/>
      <c r="D38" s="51"/>
      <c r="E38" s="111"/>
      <c r="F38" s="270">
        <f t="shared" si="3"/>
        <v>0</v>
      </c>
      <c r="G38" s="113">
        <f t="shared" si="3"/>
        <v>0</v>
      </c>
      <c r="H38" s="113">
        <f t="shared" si="3"/>
        <v>0</v>
      </c>
      <c r="I38" s="271">
        <f t="shared" si="3"/>
        <v>0</v>
      </c>
    </row>
    <row r="39" spans="1:9" s="26" customFormat="1">
      <c r="A39" s="35" t="s">
        <v>143</v>
      </c>
      <c r="B39" s="36"/>
      <c r="C39" s="121"/>
      <c r="D39" s="51"/>
      <c r="E39" s="111"/>
      <c r="F39" s="270">
        <f t="shared" si="3"/>
        <v>0</v>
      </c>
      <c r="G39" s="113">
        <f t="shared" si="3"/>
        <v>0</v>
      </c>
      <c r="H39" s="113">
        <f t="shared" si="3"/>
        <v>0</v>
      </c>
      <c r="I39" s="271">
        <f t="shared" si="3"/>
        <v>0</v>
      </c>
    </row>
    <row r="40" spans="1:9" s="26" customFormat="1">
      <c r="A40" s="35" t="s">
        <v>144</v>
      </c>
      <c r="B40" s="122"/>
      <c r="C40" s="122"/>
      <c r="D40" s="122"/>
      <c r="E40" s="123"/>
      <c r="F40" s="270">
        <f t="shared" si="3"/>
        <v>0</v>
      </c>
      <c r="G40" s="113">
        <f t="shared" si="3"/>
        <v>0</v>
      </c>
      <c r="H40" s="113">
        <f t="shared" si="3"/>
        <v>0</v>
      </c>
      <c r="I40" s="271">
        <f t="shared" si="3"/>
        <v>0</v>
      </c>
    </row>
    <row r="41" spans="1:9" s="25" customFormat="1">
      <c r="A41" s="41" t="s">
        <v>145</v>
      </c>
      <c r="B41" s="124"/>
      <c r="C41" s="124"/>
      <c r="D41" s="124"/>
      <c r="E41" s="125"/>
      <c r="F41" s="268">
        <f t="shared" si="3"/>
        <v>0</v>
      </c>
      <c r="G41" s="110">
        <f t="shared" si="3"/>
        <v>0</v>
      </c>
      <c r="H41" s="110">
        <f t="shared" si="3"/>
        <v>0</v>
      </c>
      <c r="I41" s="269">
        <f t="shared" si="3"/>
        <v>0</v>
      </c>
    </row>
    <row r="42" spans="1:9" s="26" customFormat="1" ht="16.5" thickBot="1">
      <c r="A42" s="126" t="s">
        <v>146</v>
      </c>
      <c r="B42" s="127"/>
      <c r="C42" s="127"/>
      <c r="D42" s="127"/>
      <c r="E42" s="128"/>
      <c r="F42" s="274">
        <f t="shared" si="3"/>
        <v>0</v>
      </c>
      <c r="G42" s="275">
        <f t="shared" si="3"/>
        <v>0</v>
      </c>
      <c r="H42" s="275">
        <f t="shared" si="3"/>
        <v>0</v>
      </c>
      <c r="I42" s="276">
        <f t="shared" si="3"/>
        <v>0</v>
      </c>
    </row>
    <row r="43" spans="1:9">
      <c r="B43" s="10"/>
      <c r="C43" s="10"/>
      <c r="D43" s="10"/>
      <c r="E43" s="10"/>
      <c r="F43" s="2"/>
      <c r="G43" s="2"/>
      <c r="H43" s="2"/>
      <c r="I43" s="2"/>
    </row>
    <row r="44" spans="1:9">
      <c r="B44" s="10"/>
      <c r="C44" s="10"/>
      <c r="D44" s="10"/>
      <c r="E44" s="10"/>
      <c r="F44" s="10"/>
      <c r="G44" s="10"/>
      <c r="H44" s="10"/>
      <c r="I44" s="2"/>
    </row>
    <row r="45" spans="1:9">
      <c r="A45" s="17" t="s">
        <v>12</v>
      </c>
      <c r="B45" s="18"/>
      <c r="C45" s="18"/>
      <c r="D45" s="18"/>
      <c r="E45" s="18"/>
      <c r="F45" s="19"/>
      <c r="G45" s="19"/>
      <c r="H45" s="19"/>
      <c r="I45" s="20"/>
    </row>
    <row r="46" spans="1:9">
      <c r="A46" s="21" t="s">
        <v>25</v>
      </c>
      <c r="B46" s="20">
        <f>SUM(B5:B7)-B8</f>
        <v>0</v>
      </c>
      <c r="C46" s="20">
        <f t="shared" ref="C46:I46" si="4">SUM(C5:C7)-C8</f>
        <v>0</v>
      </c>
      <c r="D46" s="20">
        <f t="shared" si="4"/>
        <v>0</v>
      </c>
      <c r="E46" s="20">
        <f t="shared" si="4"/>
        <v>0</v>
      </c>
      <c r="F46" s="20">
        <f t="shared" si="4"/>
        <v>0</v>
      </c>
      <c r="G46" s="20">
        <f t="shared" si="4"/>
        <v>0</v>
      </c>
      <c r="H46" s="20">
        <f t="shared" si="4"/>
        <v>0</v>
      </c>
      <c r="I46" s="20">
        <f t="shared" si="4"/>
        <v>0</v>
      </c>
    </row>
    <row r="47" spans="1:9">
      <c r="A47" s="21" t="s">
        <v>26</v>
      </c>
      <c r="B47" s="20">
        <f>SUM(B9:B12)-B13</f>
        <v>0</v>
      </c>
      <c r="C47" s="20">
        <f t="shared" ref="C47:I47" si="5">SUM(C9:C12)-C13</f>
        <v>0</v>
      </c>
      <c r="D47" s="20">
        <f t="shared" si="5"/>
        <v>0</v>
      </c>
      <c r="E47" s="20">
        <f t="shared" si="5"/>
        <v>0</v>
      </c>
      <c r="F47" s="20">
        <f t="shared" si="5"/>
        <v>0</v>
      </c>
      <c r="G47" s="20">
        <f t="shared" si="5"/>
        <v>0</v>
      </c>
      <c r="H47" s="20">
        <f t="shared" si="5"/>
        <v>0</v>
      </c>
      <c r="I47" s="20">
        <f t="shared" si="5"/>
        <v>0</v>
      </c>
    </row>
    <row r="48" spans="1:9">
      <c r="A48" s="21" t="s">
        <v>27</v>
      </c>
      <c r="B48" s="20">
        <f>B8-B13-B14</f>
        <v>0</v>
      </c>
      <c r="C48" s="20">
        <f t="shared" ref="C48:I48" si="6">C8-C13-C14</f>
        <v>0</v>
      </c>
      <c r="D48" s="20">
        <f t="shared" si="6"/>
        <v>0</v>
      </c>
      <c r="E48" s="20">
        <f t="shared" si="6"/>
        <v>0</v>
      </c>
      <c r="F48" s="20">
        <f t="shared" si="6"/>
        <v>0</v>
      </c>
      <c r="G48" s="20">
        <f t="shared" si="6"/>
        <v>0</v>
      </c>
      <c r="H48" s="20">
        <f t="shared" si="6"/>
        <v>0</v>
      </c>
      <c r="I48" s="20">
        <f t="shared" si="6"/>
        <v>0</v>
      </c>
    </row>
    <row r="49" spans="1:9">
      <c r="A49" s="21" t="s">
        <v>28</v>
      </c>
      <c r="B49" s="20">
        <f>SUM(B16:B20)-B21</f>
        <v>0</v>
      </c>
      <c r="C49" s="20">
        <f t="shared" ref="C49:I49" si="7">SUM(C16:C20)-C21</f>
        <v>0</v>
      </c>
      <c r="D49" s="20">
        <f t="shared" si="7"/>
        <v>0</v>
      </c>
      <c r="E49" s="20">
        <f t="shared" si="7"/>
        <v>0</v>
      </c>
      <c r="F49" s="20">
        <f t="shared" si="7"/>
        <v>0</v>
      </c>
      <c r="G49" s="20">
        <f t="shared" si="7"/>
        <v>0</v>
      </c>
      <c r="H49" s="20">
        <f t="shared" si="7"/>
        <v>0</v>
      </c>
      <c r="I49" s="20">
        <f t="shared" si="7"/>
        <v>0</v>
      </c>
    </row>
    <row r="50" spans="1:9">
      <c r="A50" s="21" t="s">
        <v>26</v>
      </c>
      <c r="B50" s="20">
        <f>SUM(B22:B25)-B26</f>
        <v>0</v>
      </c>
      <c r="C50" s="20">
        <f t="shared" ref="C50:I50" si="8">SUM(C22:C25)-C26</f>
        <v>0</v>
      </c>
      <c r="D50" s="20">
        <f t="shared" si="8"/>
        <v>0</v>
      </c>
      <c r="E50" s="20">
        <f t="shared" si="8"/>
        <v>0</v>
      </c>
      <c r="F50" s="20">
        <f t="shared" si="8"/>
        <v>0</v>
      </c>
      <c r="G50" s="20">
        <f t="shared" si="8"/>
        <v>0</v>
      </c>
      <c r="H50" s="20">
        <f t="shared" si="8"/>
        <v>0</v>
      </c>
      <c r="I50" s="20">
        <f t="shared" si="8"/>
        <v>0</v>
      </c>
    </row>
    <row r="51" spans="1:9">
      <c r="A51" s="21" t="s">
        <v>27</v>
      </c>
      <c r="B51" s="20">
        <f>B21-B26-B27</f>
        <v>0</v>
      </c>
      <c r="C51" s="20">
        <f t="shared" ref="C51:I51" si="9">C21-C26-C27</f>
        <v>0</v>
      </c>
      <c r="D51" s="20">
        <f t="shared" si="9"/>
        <v>0</v>
      </c>
      <c r="E51" s="20">
        <f t="shared" si="9"/>
        <v>0</v>
      </c>
      <c r="F51" s="20">
        <f t="shared" si="9"/>
        <v>0</v>
      </c>
      <c r="G51" s="20">
        <f t="shared" si="9"/>
        <v>0</v>
      </c>
      <c r="H51" s="20">
        <f t="shared" si="9"/>
        <v>0</v>
      </c>
      <c r="I51" s="20">
        <f t="shared" si="9"/>
        <v>0</v>
      </c>
    </row>
    <row r="52" spans="1:9">
      <c r="A52" s="21" t="s">
        <v>29</v>
      </c>
      <c r="B52" s="22">
        <f>SUM(B29:B32)-B33</f>
        <v>0</v>
      </c>
      <c r="C52" s="22">
        <f t="shared" ref="C52:I52" si="10">SUM(C29:C32)-C33</f>
        <v>0</v>
      </c>
      <c r="D52" s="22">
        <f t="shared" si="10"/>
        <v>0</v>
      </c>
      <c r="E52" s="22">
        <f t="shared" si="10"/>
        <v>0</v>
      </c>
      <c r="F52" s="22">
        <f t="shared" si="10"/>
        <v>0</v>
      </c>
      <c r="G52" s="22">
        <f t="shared" si="10"/>
        <v>0</v>
      </c>
      <c r="H52" s="22">
        <f t="shared" si="10"/>
        <v>0</v>
      </c>
      <c r="I52" s="22">
        <f t="shared" si="10"/>
        <v>0</v>
      </c>
    </row>
    <row r="53" spans="1:9">
      <c r="A53" s="21" t="s">
        <v>26</v>
      </c>
      <c r="B53" s="22">
        <f>SUM(B34:B36)-B37</f>
        <v>0</v>
      </c>
      <c r="C53" s="22">
        <f t="shared" ref="C53:I53" si="11">SUM(C34:C36)-C37</f>
        <v>0</v>
      </c>
      <c r="D53" s="22">
        <f t="shared" si="11"/>
        <v>0</v>
      </c>
      <c r="E53" s="22">
        <f t="shared" si="11"/>
        <v>0</v>
      </c>
      <c r="F53" s="22">
        <f t="shared" si="11"/>
        <v>0</v>
      </c>
      <c r="G53" s="22">
        <f t="shared" si="11"/>
        <v>0</v>
      </c>
      <c r="H53" s="22">
        <f t="shared" si="11"/>
        <v>0</v>
      </c>
      <c r="I53" s="22">
        <f t="shared" si="11"/>
        <v>0</v>
      </c>
    </row>
    <row r="54" spans="1:9">
      <c r="A54" s="21" t="s">
        <v>27</v>
      </c>
      <c r="B54" s="22">
        <f>B33-B37-B38</f>
        <v>0</v>
      </c>
      <c r="C54" s="22">
        <f t="shared" ref="C54:I54" si="12">C33-C37-C38</f>
        <v>0</v>
      </c>
      <c r="D54" s="22">
        <f t="shared" si="12"/>
        <v>0</v>
      </c>
      <c r="E54" s="22">
        <f t="shared" si="12"/>
        <v>0</v>
      </c>
      <c r="F54" s="22">
        <f t="shared" si="12"/>
        <v>0</v>
      </c>
      <c r="G54" s="22">
        <f t="shared" si="12"/>
        <v>0</v>
      </c>
      <c r="H54" s="22">
        <f t="shared" si="12"/>
        <v>0</v>
      </c>
      <c r="I54" s="22">
        <f t="shared" si="12"/>
        <v>0</v>
      </c>
    </row>
    <row r="55" spans="1:9">
      <c r="A55" s="21" t="s">
        <v>30</v>
      </c>
      <c r="B55" s="22">
        <f>B40+B41-B42</f>
        <v>0</v>
      </c>
      <c r="C55" s="22">
        <f t="shared" ref="C55:I55" si="13">C40+C41-C42</f>
        <v>0</v>
      </c>
      <c r="D55" s="22">
        <f t="shared" si="13"/>
        <v>0</v>
      </c>
      <c r="E55" s="22">
        <f t="shared" si="13"/>
        <v>0</v>
      </c>
      <c r="F55" s="22">
        <f t="shared" si="13"/>
        <v>0</v>
      </c>
      <c r="G55" s="22">
        <f t="shared" si="13"/>
        <v>0</v>
      </c>
      <c r="H55" s="22">
        <f t="shared" si="13"/>
        <v>0</v>
      </c>
      <c r="I55" s="22">
        <f t="shared" si="13"/>
        <v>0</v>
      </c>
    </row>
    <row r="56" spans="1:9">
      <c r="A56" s="23" t="s">
        <v>31</v>
      </c>
      <c r="B56" s="24">
        <f>B42-'母公司资产负债表  '!B5</f>
        <v>0</v>
      </c>
      <c r="C56" s="24">
        <f>C42-'母公司资产负债表  '!C5</f>
        <v>0</v>
      </c>
      <c r="D56" s="24">
        <f>D42-'母公司资产负债表  '!D5</f>
        <v>0</v>
      </c>
      <c r="E56" s="24">
        <f>E42-'母公司资产负债表  '!E5</f>
        <v>0</v>
      </c>
      <c r="F56" s="24">
        <f>F42-'合并资产负债表 '!F5</f>
        <v>0</v>
      </c>
      <c r="G56" s="24">
        <f>G42-'合并资产负债表 '!G5</f>
        <v>0</v>
      </c>
      <c r="H56" s="24">
        <f>H42-'合并资产负债表 '!H5</f>
        <v>0</v>
      </c>
      <c r="I56" s="24">
        <f>I42-'合并资产负债表 '!I5</f>
        <v>0</v>
      </c>
    </row>
    <row r="65" spans="6:6">
      <c r="F65" s="2"/>
    </row>
  </sheetData>
  <mergeCells count="2">
    <mergeCell ref="B2:E2"/>
    <mergeCell ref="F2:I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补流缺口</vt:lpstr>
      <vt:lpstr>替换要素</vt:lpstr>
      <vt:lpstr>注释</vt:lpstr>
      <vt:lpstr>必填信息</vt:lpstr>
      <vt:lpstr>合并资产负债表 </vt:lpstr>
      <vt:lpstr>合并利润表 </vt:lpstr>
      <vt:lpstr>合并现金流量表</vt:lpstr>
      <vt:lpstr>BS结构</vt:lpstr>
      <vt:lpstr>BS结构变动</vt:lpstr>
      <vt:lpstr>财务指标 </vt:lpstr>
      <vt:lpstr>担保方主要数据</vt:lpstr>
      <vt:lpstr>4-11主要财务数据和指标</vt:lpstr>
      <vt:lpstr>母公司资产负债表  </vt:lpstr>
      <vt:lpstr>母公司利润表 </vt:lpstr>
      <vt:lpstr>母公司现金流量表</vt:lpstr>
      <vt:lpstr>'财务指标 '!_Hlk517104455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yuanjie</dc:creator>
  <cp:lastModifiedBy>hongyu li</cp:lastModifiedBy>
  <dcterms:created xsi:type="dcterms:W3CDTF">2015-08-17T08:21:12Z</dcterms:created>
  <dcterms:modified xsi:type="dcterms:W3CDTF">2021-05-20T02:26:46Z</dcterms:modified>
</cp:coreProperties>
</file>